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drawings/charts/chart6.xml" ContentType="application/vnd.openxmlformats-officedocument.drawingml.chart+xml"/>
  <Override PartName="/xl/worksheets/sheet8.xml" ContentType="application/vnd.openxmlformats-officedocument.spreadsheetml.worksheet+xml"/>
  <Override PartName="/xl/drawings/drawing5.xml" ContentType="application/vnd.openxmlformats-officedocument.drawing+xml"/>
  <Override PartName="/xl/drawings/charts/chart7.xml" ContentType="application/vnd.openxmlformats-officedocument.drawingml.chart+xml"/>
  <Override PartName="/xl/worksheets/sheet9.xml" ContentType="application/vnd.openxmlformats-officedocument.spreadsheetml.worksheet+xml"/>
  <Override PartName="/xl/drawings/drawing6.xml" ContentType="application/vnd.openxmlformats-officedocument.drawing+xml"/>
  <Override PartName="/xl/drawings/charts/chart8.xml" ContentType="application/vnd.openxmlformats-officedocument.drawingml.chart+xml"/>
  <Override PartName="/xl/worksheets/sheet10.xml" ContentType="application/vnd.openxmlformats-officedocument.spreadsheetml.worksheet+xml"/>
  <Override PartName="/xl/drawings/drawing7.xml" ContentType="application/vnd.openxmlformats-officedocument.drawing+xml"/>
  <Override PartName="/xl/drawings/charts/chart9.xml" ContentType="application/vnd.openxmlformats-officedocument.drawingml.chart+xml"/>
  <Override PartName="/xl/worksheets/sheet11.xml" ContentType="application/vnd.openxmlformats-officedocument.spreadsheetml.worksheet+xml"/>
  <Override PartName="/xl/drawings/drawing8.xml" ContentType="application/vnd.openxmlformats-officedocument.drawing+xml"/>
  <Override PartName="/xl/drawings/charts/chart10.xml" ContentType="application/vnd.openxmlformats-officedocument.drawingml.chart+xml"/>
  <Override PartName="/xl/worksheets/sheet12.xml" ContentType="application/vnd.openxmlformats-officedocument.spreadsheetml.worksheet+xml"/>
  <Override PartName="/xl/drawings/drawing9.xml" ContentType="application/vnd.openxmlformats-officedocument.drawing+xml"/>
  <Override PartName="/xl/drawings/charts/chart11.xml" ContentType="application/vnd.openxmlformats-officedocument.drawingml.char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10.xml" ContentType="application/vnd.openxmlformats-officedocument.drawing+xml"/>
  <Override PartName="/xl/drawings/charts/chart12.xml" ContentType="application/vnd.openxmlformats-officedocument.drawingml.chart+xml"/>
  <Override PartName="/xl/worksheets/sheet15.xml" ContentType="application/vnd.openxmlformats-officedocument.spreadsheetml.worksheet+xml"/>
  <Override PartName="/xl/drawings/drawing11.xml" ContentType="application/vnd.openxmlformats-officedocument.drawing+xml"/>
  <Override PartName="/xl/drawings/charts/chart13.xml" ContentType="application/vnd.openxmlformats-officedocument.drawingml.chart+xml"/>
  <Override PartName="/xl/worksheets/sheet16.xml" ContentType="application/vnd.openxmlformats-officedocument.spreadsheetml.worksheet+xml"/>
  <Override PartName="/xl/drawings/drawing12.xml" ContentType="application/vnd.openxmlformats-officedocument.drawing+xml"/>
  <Override PartName="/xl/drawings/charts/chart1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239e71a13745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3213fcead7614955"/>
    <x:sheet xmlns:r="http://schemas.openxmlformats.org/officeDocument/2006/relationships" name="Executive Dashboard" sheetId="2" r:id="R62d49beef1014049"/>
    <x:sheet xmlns:r="http://schemas.openxmlformats.org/officeDocument/2006/relationships" name="Scenario Control" sheetId="3" r:id="R233c76b8f4a44ecf"/>
    <x:sheet xmlns:r="http://schemas.openxmlformats.org/officeDocument/2006/relationships" name="Income Statement" sheetId="4" r:id="R626e63173ea0462e"/>
    <x:sheet xmlns:r="http://schemas.openxmlformats.org/officeDocument/2006/relationships" name="Budget vs Actual" sheetId="5" r:id="R614c0a1a84874d64"/>
    <x:sheet xmlns:r="http://schemas.openxmlformats.org/officeDocument/2006/relationships" name="Rolling Forecast" sheetId="6" r:id="Rccec6192610f439d"/>
    <x:sheet xmlns:r="http://schemas.openxmlformats.org/officeDocument/2006/relationships" name="Revenue Drivers" sheetId="7" r:id="R733f0506a2544752"/>
    <x:sheet xmlns:r="http://schemas.openxmlformats.org/officeDocument/2006/relationships" name="Opex Planning" sheetId="8" r:id="Rbf34ddf826614c5a"/>
    <x:sheet xmlns:r="http://schemas.openxmlformats.org/officeDocument/2006/relationships" name="Cash Flow" sheetId="9" r:id="R830623484c624bf8"/>
    <x:sheet xmlns:r="http://schemas.openxmlformats.org/officeDocument/2006/relationships" name="Working Capital" sheetId="10" r:id="Rc446b334caae49ad"/>
    <x:sheet xmlns:r="http://schemas.openxmlformats.org/officeDocument/2006/relationships" name="Headcount Plan" sheetId="11" r:id="Rb81d87896b844a1c"/>
    <x:sheet xmlns:r="http://schemas.openxmlformats.org/officeDocument/2006/relationships" name="Capex Plan" sheetId="12" r:id="Rf308a61d16c646ee"/>
    <x:sheet xmlns:r="http://schemas.openxmlformats.org/officeDocument/2006/relationships" name="Department Budget" sheetId="13" r:id="R2135e92d3ab6486e"/>
    <x:sheet xmlns:r="http://schemas.openxmlformats.org/officeDocument/2006/relationships" name="Business Unit" sheetId="14" r:id="R5548de764ae6457a"/>
    <x:sheet xmlns:r="http://schemas.openxmlformats.org/officeDocument/2006/relationships" name="Forecast Accuracy" sheetId="15" r:id="R63a6fea386354fe3"/>
    <x:sheet xmlns:r="http://schemas.openxmlformats.org/officeDocument/2006/relationships" name="Risk Analysis" sheetId="16" r:id="R436c11ead26d4b3a"/>
    <x:sheet xmlns:r="http://schemas.openxmlformats.org/officeDocument/2006/relationships" name="Assumptions" sheetId="17" r:id="R7ad90e97a46647e8"/>
    <x:sheet xmlns:r="http://schemas.openxmlformats.org/officeDocument/2006/relationships" name="Checks" sheetId="18" r:id="R6e3aeca722bd4259"/>
    <x:sheet xmlns:r="http://schemas.openxmlformats.org/officeDocument/2006/relationships" name="Data Dictionary" sheetId="19" r:id="Rba10b9f7fa964109"/>
    <x:sheet xmlns:r="http://schemas.openxmlformats.org/officeDocument/2006/relationships" name="Sources" sheetId="20" r:id="Rf8fe7fe915eb4817"/>
    <x:sheet xmlns:r="http://schemas.openxmlformats.org/officeDocument/2006/relationships" name="Dashboard Data" sheetId="21" r:id="Rd695a63f3a5d4d23"/>
    <x:sheet xmlns:r="http://schemas.openxmlformats.org/officeDocument/2006/relationships" name="P&amp;L Data" sheetId="22" r:id="R077f89f36a16433a"/>
    <x:sheet xmlns:r="http://schemas.openxmlformats.org/officeDocument/2006/relationships" name="Scenario Data" sheetId="23" r:id="R3a208eee209f4ea7"/>
    <x:sheet xmlns:r="http://schemas.openxmlformats.org/officeDocument/2006/relationships" name="Cash Data" sheetId="24" r:id="R99d70064646a4265"/>
    <x:sheet xmlns:r="http://schemas.openxmlformats.org/officeDocument/2006/relationships" name="WC Data" sheetId="25" r:id="Ra5fd895056f14a2b"/>
    <x:sheet xmlns:r="http://schemas.openxmlformats.org/officeDocument/2006/relationships" name="Department Data" sheetId="26" r:id="R473ef6084fbb4a33"/>
    <x:sheet xmlns:r="http://schemas.openxmlformats.org/officeDocument/2006/relationships" name="BU Data" sheetId="27" r:id="Reda469f06466469b"/>
    <x:sheet xmlns:r="http://schemas.openxmlformats.org/officeDocument/2006/relationships" name="Headcount Data" sheetId="28" r:id="Ra1888c94c8b248e9"/>
    <x:sheet xmlns:r="http://schemas.openxmlformats.org/officeDocument/2006/relationships" name="Capex Data" sheetId="29" r:id="Rd90d50527fb24ef3"/>
    <x:sheet xmlns:r="http://schemas.openxmlformats.org/officeDocument/2006/relationships" name="Model Data" sheetId="30" r:id="R3945fc6868794bd5"/>
    <x:sheet xmlns:r="http://schemas.openxmlformats.org/officeDocument/2006/relationships" name="Variance Data" sheetId="31" r:id="Raba1c622b15547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%;[Red](0.0%);-"/>
    <x:numFmt numFmtId="201" formatCode="0.0 &quot;days&quot;"/>
    <x:numFmt numFmtId="202" formatCode="0.0 &quot;days&quot;;[Red](0.0 &quot;days&quot;);-"/>
    <x:numFmt numFmtId="203" formatCode="0.0"/>
    <x:numFmt numFmtId="204" formatCode="#,##0;[Red](#,##0);-"/>
  </x:numFmts>
  <x:fonts count="27">
    <x:font>
      <x:sz val="11"/>
      <x:name val="Carlito"/>
    </x:font>
    <x:font>
      <x:b/>
      <x:sz val="20"/>
      <x:color rgb="FFFFFFFF"/>
      <x:name val="Carlito"/>
    </x:font>
    <x:font>
      <x:i/>
      <x:sz val="10"/>
      <x:color rgb="FFD7E3F7"/>
      <x:name val="Carlito"/>
    </x:font>
    <x:font>
      <x:sz val="8"/>
      <x:color rgb="FF172033"/>
      <x:name val="Carlito"/>
    </x:font>
    <x:font>
      <x:b/>
      <x:sz val="8"/>
      <x:color rgb="FFFFFFFF"/>
      <x:name val="Carlito"/>
    </x:font>
    <x:font>
      <x:b/>
      <x:sz val="26"/>
      <x:color rgb="FFFFFFFF"/>
      <x:name val="Carlito"/>
    </x:font>
    <x:font>
      <x:b/>
      <x:sz val="12"/>
      <x:color rgb="FFFFFFFF"/>
      <x:name val="Carlito"/>
    </x:font>
    <x:font>
      <x:sz val="14"/>
      <x:color rgb="FF172033"/>
      <x:name val="Carlito"/>
    </x:font>
    <x:font>
      <x:b/>
      <x:sz val="12"/>
      <x:color rgb="FF081525"/>
      <x:name val="Carlito"/>
    </x:font>
    <x:font>
      <x:i/>
      <x:sz val="10"/>
      <x:color rgb="FF667085"/>
      <x:name val="Carlito"/>
    </x:font>
    <x:font>
      <x:sz val="9"/>
      <x:color rgb="FF172033"/>
      <x:name val="Carlito"/>
    </x:font>
    <x:font>
      <x:b/>
      <x:sz val="9"/>
      <x:color rgb="FFFFFFFF"/>
      <x:name val="Carlito"/>
    </x:font>
    <x:font>
      <x:sz val="9"/>
      <x:color rgb="FF0000FF"/>
      <x:name val="Carlito"/>
    </x:font>
    <x:font>
      <x:b/>
      <x:sz val="10"/>
      <x:color rgb="FFFFFFFF"/>
      <x:name val="Carlito"/>
    </x:font>
    <x:font>
      <x:b/>
      <x:sz val="9"/>
      <x:color rgb="FF0000FF"/>
      <x:name val="Carlito"/>
    </x:font>
    <x:font>
      <x:sz val="9"/>
      <x:color rgb="FF008000"/>
      <x:name val="Carlito"/>
    </x:font>
    <x:font>
      <x:sz val="11"/>
      <x:color rgb="FF008000"/>
      <x:name val="Carlito"/>
    </x:font>
    <x:font>
      <x:sz val="10"/>
      <x:color rgb="FF172033"/>
      <x:name val="Carlito"/>
    </x:font>
    <x:font>
      <x:sz val="10"/>
      <x:color rgb="FF008000"/>
      <x:name val="Carlito"/>
    </x:font>
    <x:font>
      <x:b/>
      <x:sz val="10"/>
      <x:color rgb="FF172033"/>
      <x:name val="Carlito"/>
    </x:font>
    <x:font>
      <x:b/>
      <x:sz val="10"/>
      <x:color rgb="FF008000"/>
      <x:name val="Carlito"/>
    </x:font>
    <x:font>
      <x:b/>
      <x:sz val="9"/>
      <x:color rgb="FF667085"/>
      <x:name val="Carlito"/>
    </x:font>
    <x:font>
      <x:b/>
      <x:sz val="19"/>
      <x:color rgb="FF2F6BFF"/>
      <x:name val="Carlito"/>
    </x:font>
    <x:font>
      <x:b/>
      <x:sz val="19"/>
      <x:color rgb="FF39C6F4"/>
      <x:name val="Carlito"/>
    </x:font>
    <x:font>
      <x:b/>
      <x:sz val="19"/>
      <x:color rgb="FF0F9D7A"/>
      <x:name val="Carlito"/>
    </x:font>
    <x:font>
      <x:b/>
      <x:sz val="19"/>
      <x:color rgb="FFF6B73C"/>
      <x:name val="Carlito"/>
    </x:font>
    <x:font>
      <x:sz val="12"/>
      <x:color rgb="FF081525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81525"/>
      </x:patternFill>
    </x:fill>
    <x:fill>
      <x:patternFill patternType="solid">
        <x:fgColor rgb="FF10233D"/>
      </x:patternFill>
    </x:fill>
    <x:fill>
      <x:patternFill patternType="solid">
        <x:fgColor rgb="FF2F6BFF"/>
      </x:patternFill>
    </x:fill>
    <x:fill>
      <x:patternFill patternType="solid">
        <x:fgColor rgb="FFF4F7FB"/>
      </x:patternFill>
    </x:fill>
    <x:fill>
      <x:patternFill patternType="solid">
        <x:fgColor rgb="FFEAF5FF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</x:fills>
  <x:borders count="23">
    <x:border/>
    <x:border>
      <x:left style="thin">
        <x:color rgb="FFD8E0EA"/>
      </x:left>
      <x:right style="thin">
        <x:color rgb="FFD8E0EA"/>
      </x:right>
      <x:top style="thin">
        <x:color rgb="FFD8E0EA"/>
      </x:top>
      <x:bottom style="thin">
        <x:color rgb="FFD8E0EA"/>
      </x:bottom>
    </x:border>
    <x:border>
      <x:left style="thin">
        <x:color rgb="FF10233D"/>
      </x:left>
      <x:right style="thin">
        <x:color rgb="FF10233D"/>
      </x:right>
      <x:top style="thin">
        <x:color rgb="FF10233D"/>
      </x:top>
      <x:bottom style="thin">
        <x:color rgb="FF10233D"/>
      </x:bottom>
    </x:border>
    <x:border>
      <x:left style="thin">
        <x:color rgb="FFD8E0EA"/>
      </x:left>
      <x:top style="thin">
        <x:color rgb="FFD8E0EA"/>
      </x:top>
    </x:border>
    <x:border>
      <x:top style="thin">
        <x:color rgb="FFD8E0EA"/>
      </x:top>
    </x:border>
    <x:border>
      <x:right style="thin">
        <x:color rgb="FFD8E0EA"/>
      </x:right>
      <x:top style="thin">
        <x:color rgb="FFD8E0EA"/>
      </x:top>
    </x:border>
    <x:border>
      <x:left style="thin">
        <x:color rgb="FFD8E0EA"/>
      </x:left>
    </x:border>
    <x:border>
      <x:right style="thin">
        <x:color rgb="FFD8E0EA"/>
      </x:right>
    </x:border>
    <x:border>
      <x:left style="thin">
        <x:color rgb="FFD8E0EA"/>
      </x:left>
      <x:bottom style="thin">
        <x:color rgb="FFD8E0EA"/>
      </x:bottom>
    </x:border>
    <x:border>
      <x:bottom style="thin">
        <x:color rgb="FFD8E0EA"/>
      </x:bottom>
    </x:border>
    <x:border>
      <x:right style="thin">
        <x:color rgb="FFD8E0EA"/>
      </x:right>
      <x:bottom style="thin">
        <x:color rgb="FFD8E0EA"/>
      </x:bottom>
    </x:border>
    <x:border>
      <x:left style="thin">
        <x:color rgb="FF39C6F4"/>
      </x:left>
      <x:top style="thin">
        <x:color rgb="FF39C6F4"/>
      </x:top>
    </x:border>
    <x:border>
      <x:top style="thin">
        <x:color rgb="FF39C6F4"/>
      </x:top>
    </x:border>
    <x:border>
      <x:right style="thin">
        <x:color rgb="FF39C6F4"/>
      </x:right>
      <x:top style="thin">
        <x:color rgb="FF39C6F4"/>
      </x:top>
    </x:border>
    <x:border>
      <x:left style="thin">
        <x:color rgb="FF39C6F4"/>
      </x:left>
    </x:border>
    <x:border>
      <x:right style="thin">
        <x:color rgb="FF39C6F4"/>
      </x:right>
    </x:border>
    <x:border>
      <x:left style="thin">
        <x:color rgb="FF39C6F4"/>
      </x:left>
      <x:bottom style="thin">
        <x:color rgb="FF39C6F4"/>
      </x:bottom>
    </x:border>
    <x:border>
      <x:bottom style="thin">
        <x:color rgb="FF39C6F4"/>
      </x:bottom>
    </x:border>
    <x:border>
      <x:right style="thin">
        <x:color rgb="FF39C6F4"/>
      </x:right>
      <x:bottom style="thin">
        <x:color rgb="FF39C6F4"/>
      </x:bottom>
    </x:border>
    <x:border>
      <x:left style="thin">
        <x:color rgb="FFD8E0EA"/>
      </x:left>
      <x:right style="thin">
        <x:color rgb="FFD8E0EA"/>
      </x:right>
      <x:top style="thin">
        <x:color rgb="FF10233D"/>
      </x:top>
      <x:bottom style="thin">
        <x:color rgb="FFD8E0EA"/>
      </x:bottom>
    </x:border>
    <x:border>
      <x:left style="thin">
        <x:color rgb="FFD8E0EA"/>
      </x:left>
      <x:top style="thin">
        <x:color rgb="FFD8E0EA"/>
      </x:top>
      <x:bottom style="thin">
        <x:color rgb="FFD8E0EA"/>
      </x:bottom>
    </x:border>
    <x:border>
      <x:top style="thin">
        <x:color rgb="FFD8E0EA"/>
      </x:top>
      <x:bottom style="thin">
        <x:color rgb="FFD8E0EA"/>
      </x:bottom>
    </x:border>
    <x:border>
      <x:right style="thin">
        <x:color rgb="FFD8E0EA"/>
      </x:right>
      <x:top style="thin">
        <x:color rgb="FFD8E0EA"/>
      </x:top>
      <x:bottom style="thin">
        <x:color rgb="FFD8E0EA"/>
      </x:bottom>
    </x:border>
  </x:borders>
  <x:cellStyleXfs count="1">
    <x:xf numFmtId="0" fontId="0" fillId="0" borderId="0"/>
  </x:cellStyleXfs>
  <x:cellXfs count="27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3" xfId="0" applyNumberFormat="1" applyFont="1" applyFill="1" applyBorder="1"/>
    <x:xf numFmtId="0" fontId="7" fillId="5" borderId="4" xfId="0" applyNumberFormat="1" applyFont="1" applyFill="1" applyBorder="1"/>
    <x:xf numFmtId="0" fontId="7" fillId="5" borderId="5" xfId="0" applyNumberFormat="1" applyFont="1" applyFill="1" applyBorder="1"/>
    <x:xf numFmtId="0" fontId="7" fillId="5" borderId="6" xfId="0" applyNumberFormat="1" applyFont="1" applyFill="1" applyBorder="1"/>
    <x:xf numFmtId="0" fontId="7" fillId="5" borderId="7" xfId="0" applyNumberFormat="1" applyFont="1" applyFill="1" applyBorder="1"/>
    <x:xf numFmtId="0" fontId="7" fillId="5" borderId="8" xfId="0" applyNumberFormat="1" applyFont="1" applyFill="1" applyBorder="1"/>
    <x:xf numFmtId="0" fontId="7" fillId="5" borderId="9" xfId="0" applyNumberFormat="1" applyFont="1" applyFill="1" applyBorder="1"/>
    <x:xf numFmtId="0" fontId="7" fillId="5" borderId="10" xfId="0" applyNumberFormat="1" applyFont="1" applyFill="1" applyBorder="1"/>
    <x:xf numFmtId="0" fontId="7" fillId="5" borderId="3" xfId="0" applyNumberFormat="1" applyFont="1" applyFill="1" applyBorder="1" applyAlignment="1">
      <x:alignment wrapText="1"/>
    </x:xf>
    <x:xf numFmtId="0" fontId="7" fillId="5" borderId="4" xfId="0" applyNumberFormat="1" applyFont="1" applyFill="1" applyBorder="1" applyAlignment="1">
      <x:alignment wrapText="1"/>
    </x:xf>
    <x:xf numFmtId="0" fontId="7" fillId="5" borderId="5" xfId="0" applyNumberFormat="1" applyFont="1" applyFill="1" applyBorder="1" applyAlignment="1">
      <x:alignment wrapText="1"/>
    </x:xf>
    <x:xf numFmtId="0" fontId="7" fillId="5" borderId="6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wrapText="1"/>
    </x:xf>
    <x:xf numFmtId="0" fontId="7" fillId="5" borderId="7" xfId="0" applyNumberFormat="1" applyFont="1" applyFill="1" applyBorder="1" applyAlignment="1">
      <x:alignment wrapText="1"/>
    </x:xf>
    <x:xf numFmtId="0" fontId="7" fillId="5" borderId="8" xfId="0" applyNumberFormat="1" applyFont="1" applyFill="1" applyBorder="1" applyAlignment="1">
      <x:alignment wrapText="1"/>
    </x:xf>
    <x:xf numFmtId="0" fontId="7" fillId="5" borderId="9" xfId="0" applyNumberFormat="1" applyFont="1" applyFill="1" applyBorder="1" applyAlignment="1">
      <x:alignment wrapText="1"/>
    </x:xf>
    <x:xf numFmtId="0" fontId="7" fillId="5" borderId="10" xfId="0" applyNumberFormat="1" applyFont="1" applyFill="1" applyBorder="1" applyAlignment="1">
      <x:alignment wrapText="1"/>
    </x:xf>
    <x:xf numFmtId="0" fontId="7" fillId="5" borderId="3" xfId="0" applyNumberFormat="1" applyFont="1" applyFill="1" applyBorder="1" applyAlignment="1">
      <x:alignment vertical="center" wrapText="1"/>
    </x:xf>
    <x:xf numFmtId="0" fontId="7" fillId="5" borderId="4" xfId="0" applyNumberFormat="1" applyFont="1" applyFill="1" applyBorder="1" applyAlignment="1">
      <x:alignment vertical="center" wrapText="1"/>
    </x:xf>
    <x:xf numFmtId="0" fontId="7" fillId="5" borderId="5" xfId="0" applyNumberFormat="1" applyFont="1" applyFill="1" applyBorder="1" applyAlignment="1">
      <x:alignment vertical="center" wrapText="1"/>
    </x:xf>
    <x:xf numFmtId="0" fontId="7" fillId="5" borderId="6" xfId="0" applyNumberFormat="1" applyFont="1" applyFill="1" applyBorder="1" applyAlignment="1">
      <x:alignment vertical="center" wrapText="1"/>
    </x:xf>
    <x:xf numFmtId="0" fontId="7" fillId="5" borderId="0" xfId="0" applyNumberFormat="1" applyFont="1" applyFill="1" applyBorder="1" applyAlignment="1">
      <x:alignment vertical="center" wrapText="1"/>
    </x:xf>
    <x:xf numFmtId="0" fontId="7" fillId="5" borderId="7" xfId="0" applyNumberFormat="1" applyFont="1" applyFill="1" applyBorder="1" applyAlignment="1">
      <x:alignment vertical="center" wrapText="1"/>
    </x:xf>
    <x:xf numFmtId="0" fontId="7" fillId="5" borderId="8" xfId="0" applyNumberFormat="1" applyFont="1" applyFill="1" applyBorder="1" applyAlignment="1">
      <x:alignment vertical="center" wrapText="1"/>
    </x:xf>
    <x:xf numFmtId="0" fontId="7" fillId="5" borderId="9" xfId="0" applyNumberFormat="1" applyFont="1" applyFill="1" applyBorder="1" applyAlignment="1">
      <x:alignment vertical="center" wrapText="1"/>
    </x:xf>
    <x:xf numFmtId="0" fontId="7" fillId="5" borderId="1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11" xfId="0" applyNumberFormat="1" applyFont="1" applyFill="1" applyBorder="1"/>
    <x:xf numFmtId="0" fontId="8" fillId="6" borderId="12" xfId="0" applyNumberFormat="1" applyFont="1" applyFill="1" applyBorder="1"/>
    <x:xf numFmtId="0" fontId="8" fillId="6" borderId="13" xfId="0" applyNumberFormat="1" applyFont="1" applyFill="1" applyBorder="1"/>
    <x:xf numFmtId="0" fontId="8" fillId="6" borderId="14" xfId="0" applyNumberFormat="1" applyFont="1" applyFill="1" applyBorder="1"/>
    <x:xf numFmtId="0" fontId="8" fillId="6" borderId="15" xfId="0" applyNumberFormat="1" applyFont="1" applyFill="1" applyBorder="1"/>
    <x:xf numFmtId="0" fontId="8" fillId="6" borderId="16" xfId="0" applyNumberFormat="1" applyFont="1" applyFill="1" applyBorder="1"/>
    <x:xf numFmtId="0" fontId="8" fillId="6" borderId="17" xfId="0" applyNumberFormat="1" applyFont="1" applyFill="1" applyBorder="1"/>
    <x:xf numFmtId="0" fontId="8" fillId="6" borderId="18" xfId="0" applyNumberFormat="1" applyFont="1" applyFill="1" applyBorder="1"/>
    <x:xf numFmtId="0" fontId="8" fillId="6" borderId="11" xfId="0" applyNumberFormat="1" applyFont="1" applyFill="1" applyBorder="1" applyAlignment="1">
      <x:alignment wrapText="1"/>
    </x:xf>
    <x:xf numFmtId="0" fontId="8" fillId="6" borderId="12" xfId="0" applyNumberFormat="1" applyFont="1" applyFill="1" applyBorder="1" applyAlignment="1">
      <x:alignment wrapText="1"/>
    </x:xf>
    <x:xf numFmtId="0" fontId="8" fillId="6" borderId="13" xfId="0" applyNumberFormat="1" applyFont="1" applyFill="1" applyBorder="1" applyAlignment="1">
      <x:alignment wrapText="1"/>
    </x:xf>
    <x:xf numFmtId="0" fontId="8" fillId="6" borderId="14" xfId="0" applyNumberFormat="1" applyFont="1" applyFill="1" applyBorder="1" applyAlignment="1">
      <x:alignment wrapText="1"/>
    </x:xf>
    <x:xf numFmtId="0" fontId="8" fillId="6" borderId="0" xfId="0" applyNumberFormat="1" applyFont="1" applyFill="1" applyBorder="1" applyAlignment="1">
      <x:alignment wrapText="1"/>
    </x:xf>
    <x:xf numFmtId="0" fontId="8" fillId="6" borderId="15" xfId="0" applyNumberFormat="1" applyFont="1" applyFill="1" applyBorder="1" applyAlignment="1">
      <x:alignment wrapText="1"/>
    </x:xf>
    <x:xf numFmtId="0" fontId="8" fillId="6" borderId="16" xfId="0" applyNumberFormat="1" applyFont="1" applyFill="1" applyBorder="1" applyAlignment="1">
      <x:alignment wrapText="1"/>
    </x:xf>
    <x:xf numFmtId="0" fontId="8" fillId="6" borderId="17" xfId="0" applyNumberFormat="1" applyFont="1" applyFill="1" applyBorder="1" applyAlignment="1">
      <x:alignment wrapText="1"/>
    </x:xf>
    <x:xf numFmtId="0" fontId="8" fillId="6" borderId="18" xfId="0" applyNumberFormat="1" applyFont="1" applyFill="1" applyBorder="1" applyAlignment="1">
      <x:alignment wrapText="1"/>
    </x:xf>
    <x:xf numFmtId="0" fontId="8" fillId="6" borderId="11" xfId="0" applyNumberFormat="1" applyFont="1" applyFill="1" applyBorder="1" applyAlignment="1">
      <x:alignment vertical="center" wrapText="1"/>
    </x:xf>
    <x:xf numFmtId="0" fontId="8" fillId="6" borderId="12" xfId="0" applyNumberFormat="1" applyFont="1" applyFill="1" applyBorder="1" applyAlignment="1">
      <x:alignment vertical="center" wrapText="1"/>
    </x:xf>
    <x:xf numFmtId="0" fontId="8" fillId="6" borderId="13" xfId="0" applyNumberFormat="1" applyFont="1" applyFill="1" applyBorder="1" applyAlignment="1">
      <x:alignment vertical="center" wrapText="1"/>
    </x:xf>
    <x:xf numFmtId="0" fontId="8" fillId="6" borderId="14" xfId="0" applyNumberFormat="1" applyFont="1" applyFill="1" applyBorder="1" applyAlignment="1">
      <x:alignment vertical="center" wrapText="1"/>
    </x:xf>
    <x:xf numFmtId="0" fontId="8" fillId="6" borderId="0" xfId="0" applyNumberFormat="1" applyFont="1" applyFill="1" applyBorder="1" applyAlignment="1">
      <x:alignment vertical="center" wrapText="1"/>
    </x:xf>
    <x:xf numFmtId="0" fontId="8" fillId="6" borderId="15" xfId="0" applyNumberFormat="1" applyFont="1" applyFill="1" applyBorder="1" applyAlignment="1">
      <x:alignment vertical="center" wrapText="1"/>
    </x:xf>
    <x:xf numFmtId="0" fontId="8" fillId="6" borderId="16" xfId="0" applyNumberFormat="1" applyFont="1" applyFill="1" applyBorder="1" applyAlignment="1">
      <x:alignment vertical="center" wrapText="1"/>
    </x:xf>
    <x:xf numFmtId="0" fontId="8" fillId="6" borderId="17" xfId="0" applyNumberFormat="1" applyFont="1" applyFill="1" applyBorder="1" applyAlignment="1">
      <x:alignment vertical="center" wrapText="1"/>
    </x:xf>
    <x:xf numFmtId="0" fontId="8" fillId="6" borderId="18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0" xfId="0" applyNumberFormat="1" applyFont="1" applyFill="1" applyBorder="1" applyAlignment="1">
      <x:alignment wrapText="1"/>
    </x:xf>
    <x:xf numFmtId="0" fontId="9" fillId="7" borderId="0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/>
    <x:xf numFmtId="0" fontId="10" fillId="0" borderId="1" xfId="0" applyNumberFormat="1" applyFont="1" applyFill="1" applyBorder="1"/>
    <x:xf numFmtId="0" fontId="10" fillId="0" borderId="1" xfId="0" applyNumberFormat="1" applyFont="1" applyFill="1" applyBorder="1" applyAlignment="1">
      <x:alignment vertical="center"/>
    </x:xf>
    <x:xf numFmtId="0" fontId="10" fillId="3" borderId="1" xfId="0" applyNumberFormat="1" applyFont="1" applyFill="1" applyBorder="1" applyAlignment="1">
      <x:alignment vertical="center"/>
    </x:xf>
    <x:xf numFmtId="0" fontId="11" fillId="3" borderId="1" xfId="0" applyNumberFormat="1" applyFont="1" applyFill="1" applyBorder="1" applyAlignment="1">
      <x:alignment vertical="center"/>
    </x:xf>
    <x:xf numFmtId="0" fontId="11" fillId="3" borderId="2" xfId="0" applyNumberFormat="1" applyFont="1" applyFill="1" applyBorder="1" applyAlignment="1">
      <x:alignment vertical="center"/>
    </x:xf>
    <x:xf numFmtId="0" fontId="11" fillId="3" borderId="2" xfId="0" applyNumberFormat="1" applyFont="1" applyFill="1" applyBorder="1" applyAlignment="1">
      <x:alignment vertical="center" wrapText="1"/>
    </x:xf>
    <x:xf numFmtId="0" fontId="10" fillId="8" borderId="1" xfId="0" applyNumberFormat="1" applyFont="1" applyFill="1" applyBorder="1" applyAlignment="1">
      <x:alignment vertical="center"/>
    </x:xf>
    <x:xf numFmtId="0" fontId="12" fillId="8" borderId="1" xfId="0" applyNumberFormat="1" applyFont="1" applyFill="1" applyBorder="1" applyAlignment="1">
      <x:alignment vertical="center"/>
    </x:xf>
    <x:xf numFmtId="200" fontId="12" fillId="8" borderId="1" xfId="0" applyNumberFormat="1" applyFont="1" applyFill="1" applyBorder="1" applyAlignment="1">
      <x:alignment vertical="center"/>
    </x:xf>
    <x:xf numFmtId="201" fontId="12" fillId="8" borderId="1" xfId="0" applyNumberFormat="1" applyFont="1" applyFill="1" applyBorder="1" applyAlignment="1">
      <x:alignment vertical="center"/>
    </x:xf>
    <x:xf numFmtId="0" fontId="13" fillId="3" borderId="0" xfId="0" applyNumberFormat="1" applyFont="1" applyFill="1" applyBorder="1"/>
    <x:xf numFmtId="0" fontId="13" fillId="3" borderId="0" xfId="0" applyNumberFormat="1" applyFont="1" applyFill="1" applyBorder="1" applyAlignment="1">
      <x:alignment vertical="center"/>
    </x:xf>
    <x:xf numFmtId="0" fontId="11" fillId="8" borderId="2" xfId="0" applyNumberFormat="1" applyFont="1" applyFill="1" applyBorder="1" applyAlignment="1">
      <x:alignment vertical="center" wrapText="1"/>
    </x:xf>
    <x:xf numFmtId="0" fontId="14" fillId="8" borderId="2" xfId="0" applyNumberFormat="1" applyFont="1" applyFill="1" applyBorder="1" applyAlignment="1">
      <x:alignment vertical="center" wrapText="1"/>
    </x:xf>
    <x:xf numFmtId="0" fontId="15" fillId="0" borderId="1" xfId="0" applyNumberFormat="1" applyFont="1" applyFill="1" applyBorder="1" applyAlignment="1">
      <x:alignment vertical="center"/>
    </x:xf>
    <x:xf numFmtId="0" fontId="16" fillId="0" borderId="0" xfId="0" applyNumberFormat="1" applyFont="1" applyFill="1" applyBorder="1"/>
    <x:xf numFmtId="200" fontId="15" fillId="0" borderId="1" xfId="0" applyNumberFormat="1" applyFont="1" applyFill="1" applyBorder="1" applyAlignment="1">
      <x:alignment vertical="center"/>
    </x:xf>
    <x:xf numFmtId="202" fontId="15" fillId="0" borderId="1" xfId="0" applyNumberFormat="1" applyFont="1" applyFill="1" applyBorder="1" applyAlignment="1">
      <x:alignment vertical="center"/>
    </x:xf>
    <x:xf numFmtId="203" fontId="10" fillId="0" borderId="1" xfId="0" applyNumberFormat="1" applyFont="1" applyFill="1" applyBorder="1" applyAlignment="1">
      <x:alignment vertical="center"/>
    </x:xf>
    <x:xf numFmtId="200" fontId="10" fillId="0" borderId="1" xfId="0" applyNumberFormat="1" applyFont="1" applyFill="1" applyBorder="1" applyAlignment="1">
      <x:alignment vertical="center"/>
    </x:xf>
    <x:xf numFmtId="202" fontId="10" fillId="0" borderId="1" xfId="0" applyNumberFormat="1" applyFont="1" applyFill="1" applyBorder="1" applyAlignment="1">
      <x:alignment vertical="center"/>
    </x:xf>
    <x:xf numFmtId="203" fontId="15" fillId="0" borderId="1" xfId="0" applyNumberFormat="1" applyFont="1" applyFill="1" applyBorder="1" applyAlignment="1">
      <x:alignment vertical="center"/>
    </x:xf>
    <x:xf numFmtId="203" fontId="3" fillId="0" borderId="1" xfId="0" applyNumberFormat="1" applyFont="1" applyFill="1" applyBorder="1" applyAlignment="1">
      <x:alignment vertical="center"/>
    </x:xf>
    <x:xf numFmtId="200" fontId="3" fillId="0" borderId="1" xfId="0" applyNumberFormat="1" applyFont="1" applyFill="1" applyBorder="1" applyAlignment="1">
      <x:alignment vertical="center"/>
    </x:xf>
    <x:xf numFmtId="0" fontId="17" fillId="0" borderId="0" xfId="0" applyNumberFormat="1" applyFont="1" applyFill="1" applyBorder="1"/>
    <x:xf numFmtId="0" fontId="17" fillId="0" borderId="1" xfId="0" applyNumberFormat="1" applyFont="1" applyFill="1" applyBorder="1"/>
    <x:xf numFmtId="0" fontId="17" fillId="0" borderId="1" xfId="0" applyNumberFormat="1" applyFont="1" applyFill="1" applyBorder="1" applyAlignment="1">
      <x:alignment vertical="center"/>
    </x:xf>
    <x:xf numFmtId="0" fontId="17" fillId="3" borderId="1" xfId="0" applyNumberFormat="1" applyFont="1" applyFill="1" applyBorder="1" applyAlignment="1">
      <x:alignment vertical="center"/>
    </x:xf>
    <x:xf numFmtId="0" fontId="18" fillId="0" borderId="1" xfId="0" applyNumberFormat="1" applyFont="1" applyFill="1" applyBorder="1" applyAlignment="1">
      <x:alignment vertical="center"/>
    </x:xf>
    <x:xf numFmtId="203" fontId="18" fillId="0" borderId="1" xfId="0" applyNumberFormat="1" applyFont="1" applyFill="1" applyBorder="1" applyAlignment="1">
      <x:alignment vertical="center"/>
    </x:xf>
    <x:xf numFmtId="200" fontId="18" fillId="0" borderId="1" xfId="0" applyNumberFormat="1" applyFont="1" applyFill="1" applyBorder="1" applyAlignment="1">
      <x:alignment vertical="center"/>
    </x:xf>
    <x:xf numFmtId="0" fontId="17" fillId="5" borderId="1" xfId="0" applyNumberFormat="1" applyFont="1" applyFill="1" applyBorder="1" applyAlignment="1">
      <x:alignment vertical="center"/>
    </x:xf>
    <x:xf numFmtId="203" fontId="18" fillId="5" borderId="1" xfId="0" applyNumberFormat="1" applyFont="1" applyFill="1" applyBorder="1" applyAlignment="1">
      <x:alignment vertical="center"/>
    </x:xf>
    <x:xf numFmtId="0" fontId="19" fillId="5" borderId="1" xfId="0" applyNumberFormat="1" applyFont="1" applyFill="1" applyBorder="1" applyAlignment="1">
      <x:alignment vertical="center"/>
    </x:xf>
    <x:xf numFmtId="203" fontId="19" fillId="5" borderId="1" xfId="0" applyNumberFormat="1" applyFont="1" applyFill="1" applyBorder="1" applyAlignment="1">
      <x:alignment vertical="center"/>
    </x:xf>
    <x:xf numFmtId="0" fontId="19" fillId="5" borderId="19" xfId="0" applyNumberFormat="1" applyFont="1" applyFill="1" applyBorder="1" applyAlignment="1">
      <x:alignment vertical="center"/>
    </x:xf>
    <x:xf numFmtId="203" fontId="19" fillId="5" borderId="19" xfId="0" applyNumberFormat="1" applyFont="1" applyFill="1" applyBorder="1" applyAlignment="1">
      <x:alignment vertical="center"/>
    </x:xf>
    <x:xf numFmtId="203" fontId="20" fillId="5" borderId="19" xfId="0" applyNumberFormat="1" applyFont="1" applyFill="1" applyBorder="1" applyAlignment="1">
      <x:alignment vertical="center"/>
    </x:xf>
    <x:xf numFmtId="0" fontId="17" fillId="6" borderId="1" xfId="0" applyNumberFormat="1" applyFont="1" applyFill="1" applyBorder="1" applyAlignment="1">
      <x:alignment vertical="center"/>
    </x:xf>
    <x:xf numFmtId="203" fontId="18" fillId="6" borderId="1" xfId="0" applyNumberFormat="1" applyFont="1" applyFill="1" applyBorder="1" applyAlignment="1">
      <x:alignment vertical="center"/>
    </x:xf>
    <x:xf numFmtId="0" fontId="19" fillId="6" borderId="1" xfId="0" applyNumberFormat="1" applyFont="1" applyFill="1" applyBorder="1" applyAlignment="1">
      <x:alignment vertical="center"/>
    </x:xf>
    <x:xf numFmtId="203" fontId="19" fillId="6" borderId="1" xfId="0" applyNumberFormat="1" applyFont="1" applyFill="1" applyBorder="1" applyAlignment="1">
      <x:alignment vertical="center"/>
    </x:xf>
    <x:xf numFmtId="0" fontId="19" fillId="6" borderId="19" xfId="0" applyNumberFormat="1" applyFont="1" applyFill="1" applyBorder="1" applyAlignment="1">
      <x:alignment vertical="center"/>
    </x:xf>
    <x:xf numFmtId="203" fontId="19" fillId="6" borderId="19" xfId="0" applyNumberFormat="1" applyFont="1" applyFill="1" applyBorder="1" applyAlignment="1">
      <x:alignment vertical="center"/>
    </x:xf>
    <x:xf numFmtId="203" fontId="20" fillId="6" borderId="19" xfId="0" applyNumberFormat="1" applyFont="1" applyFill="1" applyBorder="1" applyAlignment="1">
      <x:alignment vertical="center"/>
    </x:xf>
    <x:xf numFmtId="0" fontId="21" fillId="5" borderId="0" xfId="0" applyNumberFormat="1" applyFont="1" applyFill="1" applyBorder="1"/>
    <x:xf numFmtId="0" fontId="21" fillId="5" borderId="20" xfId="0" applyNumberFormat="1" applyFont="1" applyFill="1" applyBorder="1"/>
    <x:xf numFmtId="0" fontId="21" fillId="5" borderId="21" xfId="0" applyNumberFormat="1" applyFont="1" applyFill="1" applyBorder="1"/>
    <x:xf numFmtId="0" fontId="21" fillId="5" borderId="22" xfId="0" applyNumberFormat="1" applyFont="1" applyFill="1" applyBorder="1"/>
    <x:xf numFmtId="0" fontId="21" fillId="5" borderId="20" xfId="0" applyNumberFormat="1" applyFont="1" applyFill="1" applyBorder="1" applyAlignment="1">
      <x:alignment vertical="center"/>
    </x:xf>
    <x:xf numFmtId="0" fontId="21" fillId="5" borderId="21" xfId="0" applyNumberFormat="1" applyFont="1" applyFill="1" applyBorder="1" applyAlignment="1">
      <x:alignment vertical="center"/>
    </x:xf>
    <x:xf numFmtId="0" fontId="21" fillId="5" borderId="22" xfId="0" applyNumberFormat="1" applyFont="1" applyFill="1" applyBorder="1" applyAlignment="1">
      <x:alignment vertical="center"/>
    </x:xf>
    <x:xf numFmtId="0" fontId="22" fillId="7" borderId="0" xfId="0" applyNumberFormat="1" applyFont="1" applyFill="1" applyBorder="1"/>
    <x:xf numFmtId="0" fontId="22" fillId="7" borderId="3" xfId="0" applyNumberFormat="1" applyFont="1" applyFill="1" applyBorder="1"/>
    <x:xf numFmtId="0" fontId="22" fillId="7" borderId="4" xfId="0" applyNumberFormat="1" applyFont="1" applyFill="1" applyBorder="1"/>
    <x:xf numFmtId="0" fontId="22" fillId="7" borderId="5" xfId="0" applyNumberFormat="1" applyFont="1" applyFill="1" applyBorder="1"/>
    <x:xf numFmtId="0" fontId="22" fillId="7" borderId="6" xfId="0" applyNumberFormat="1" applyFont="1" applyFill="1" applyBorder="1"/>
    <x:xf numFmtId="0" fontId="22" fillId="7" borderId="7" xfId="0" applyNumberFormat="1" applyFont="1" applyFill="1" applyBorder="1"/>
    <x:xf numFmtId="0" fontId="22" fillId="7" borderId="8" xfId="0" applyNumberFormat="1" applyFont="1" applyFill="1" applyBorder="1"/>
    <x:xf numFmtId="0" fontId="22" fillId="7" borderId="9" xfId="0" applyNumberFormat="1" applyFont="1" applyFill="1" applyBorder="1"/>
    <x:xf numFmtId="0" fontId="22" fillId="7" borderId="10" xfId="0" applyNumberFormat="1" applyFont="1" applyFill="1" applyBorder="1"/>
    <x:xf numFmtId="203" fontId="22" fillId="7" borderId="3" xfId="0" applyNumberFormat="1" applyFont="1" applyFill="1" applyBorder="1"/>
    <x:xf numFmtId="203" fontId="22" fillId="7" borderId="4" xfId="0" applyNumberFormat="1" applyFont="1" applyFill="1" applyBorder="1"/>
    <x:xf numFmtId="203" fontId="22" fillId="7" borderId="5" xfId="0" applyNumberFormat="1" applyFont="1" applyFill="1" applyBorder="1"/>
    <x:xf numFmtId="203" fontId="22" fillId="7" borderId="6" xfId="0" applyNumberFormat="1" applyFont="1" applyFill="1" applyBorder="1"/>
    <x:xf numFmtId="203" fontId="22" fillId="7" borderId="0" xfId="0" applyNumberFormat="1" applyFont="1" applyFill="1" applyBorder="1"/>
    <x:xf numFmtId="203" fontId="22" fillId="7" borderId="7" xfId="0" applyNumberFormat="1" applyFont="1" applyFill="1" applyBorder="1"/>
    <x:xf numFmtId="203" fontId="22" fillId="7" borderId="8" xfId="0" applyNumberFormat="1" applyFont="1" applyFill="1" applyBorder="1"/>
    <x:xf numFmtId="203" fontId="22" fillId="7" borderId="9" xfId="0" applyNumberFormat="1" applyFont="1" applyFill="1" applyBorder="1"/>
    <x:xf numFmtId="203" fontId="22" fillId="7" borderId="10" xfId="0" applyNumberFormat="1" applyFont="1" applyFill="1" applyBorder="1"/>
    <x:xf numFmtId="203" fontId="22" fillId="7" borderId="3" xfId="0" applyNumberFormat="1" applyFont="1" applyFill="1" applyBorder="1" applyAlignment="1">
      <x:alignment vertical="center"/>
    </x:xf>
    <x:xf numFmtId="203" fontId="22" fillId="7" borderId="4" xfId="0" applyNumberFormat="1" applyFont="1" applyFill="1" applyBorder="1" applyAlignment="1">
      <x:alignment vertical="center"/>
    </x:xf>
    <x:xf numFmtId="203" fontId="22" fillId="7" borderId="5" xfId="0" applyNumberFormat="1" applyFont="1" applyFill="1" applyBorder="1" applyAlignment="1">
      <x:alignment vertical="center"/>
    </x:xf>
    <x:xf numFmtId="203" fontId="22" fillId="7" borderId="6" xfId="0" applyNumberFormat="1" applyFont="1" applyFill="1" applyBorder="1" applyAlignment="1">
      <x:alignment vertical="center"/>
    </x:xf>
    <x:xf numFmtId="203" fontId="22" fillId="7" borderId="0" xfId="0" applyNumberFormat="1" applyFont="1" applyFill="1" applyBorder="1" applyAlignment="1">
      <x:alignment vertical="center"/>
    </x:xf>
    <x:xf numFmtId="203" fontId="22" fillId="7" borderId="7" xfId="0" applyNumberFormat="1" applyFont="1" applyFill="1" applyBorder="1" applyAlignment="1">
      <x:alignment vertical="center"/>
    </x:xf>
    <x:xf numFmtId="203" fontId="22" fillId="7" borderId="8" xfId="0" applyNumberFormat="1" applyFont="1" applyFill="1" applyBorder="1" applyAlignment="1">
      <x:alignment vertical="center"/>
    </x:xf>
    <x:xf numFmtId="203" fontId="22" fillId="7" borderId="9" xfId="0" applyNumberFormat="1" applyFont="1" applyFill="1" applyBorder="1" applyAlignment="1">
      <x:alignment vertical="center"/>
    </x:xf>
    <x:xf numFmtId="203" fontId="22" fillId="7" borderId="10" xfId="0" applyNumberFormat="1" applyFont="1" applyFill="1" applyBorder="1" applyAlignment="1">
      <x:alignment vertical="center"/>
    </x:xf>
    <x:xf numFmtId="0" fontId="23" fillId="7" borderId="0" xfId="0" applyNumberFormat="1" applyFont="1" applyFill="1" applyBorder="1"/>
    <x:xf numFmtId="0" fontId="23" fillId="7" borderId="3" xfId="0" applyNumberFormat="1" applyFont="1" applyFill="1" applyBorder="1"/>
    <x:xf numFmtId="0" fontId="23" fillId="7" borderId="4" xfId="0" applyNumberFormat="1" applyFont="1" applyFill="1" applyBorder="1"/>
    <x:xf numFmtId="0" fontId="23" fillId="7" borderId="5" xfId="0" applyNumberFormat="1" applyFont="1" applyFill="1" applyBorder="1"/>
    <x:xf numFmtId="0" fontId="23" fillId="7" borderId="6" xfId="0" applyNumberFormat="1" applyFont="1" applyFill="1" applyBorder="1"/>
    <x:xf numFmtId="0" fontId="23" fillId="7" borderId="7" xfId="0" applyNumberFormat="1" applyFont="1" applyFill="1" applyBorder="1"/>
    <x:xf numFmtId="0" fontId="23" fillId="7" borderId="8" xfId="0" applyNumberFormat="1" applyFont="1" applyFill="1" applyBorder="1"/>
    <x:xf numFmtId="0" fontId="23" fillId="7" borderId="9" xfId="0" applyNumberFormat="1" applyFont="1" applyFill="1" applyBorder="1"/>
    <x:xf numFmtId="0" fontId="23" fillId="7" borderId="10" xfId="0" applyNumberFormat="1" applyFont="1" applyFill="1" applyBorder="1"/>
    <x:xf numFmtId="203" fontId="23" fillId="7" borderId="3" xfId="0" applyNumberFormat="1" applyFont="1" applyFill="1" applyBorder="1"/>
    <x:xf numFmtId="203" fontId="23" fillId="7" borderId="4" xfId="0" applyNumberFormat="1" applyFont="1" applyFill="1" applyBorder="1"/>
    <x:xf numFmtId="203" fontId="23" fillId="7" borderId="5" xfId="0" applyNumberFormat="1" applyFont="1" applyFill="1" applyBorder="1"/>
    <x:xf numFmtId="203" fontId="23" fillId="7" borderId="6" xfId="0" applyNumberFormat="1" applyFont="1" applyFill="1" applyBorder="1"/>
    <x:xf numFmtId="203" fontId="23" fillId="7" borderId="0" xfId="0" applyNumberFormat="1" applyFont="1" applyFill="1" applyBorder="1"/>
    <x:xf numFmtId="203" fontId="23" fillId="7" borderId="7" xfId="0" applyNumberFormat="1" applyFont="1" applyFill="1" applyBorder="1"/>
    <x:xf numFmtId="203" fontId="23" fillId="7" borderId="8" xfId="0" applyNumberFormat="1" applyFont="1" applyFill="1" applyBorder="1"/>
    <x:xf numFmtId="203" fontId="23" fillId="7" borderId="9" xfId="0" applyNumberFormat="1" applyFont="1" applyFill="1" applyBorder="1"/>
    <x:xf numFmtId="203" fontId="23" fillId="7" borderId="10" xfId="0" applyNumberFormat="1" applyFont="1" applyFill="1" applyBorder="1"/>
    <x:xf numFmtId="203" fontId="23" fillId="7" borderId="3" xfId="0" applyNumberFormat="1" applyFont="1" applyFill="1" applyBorder="1" applyAlignment="1">
      <x:alignment vertical="center"/>
    </x:xf>
    <x:xf numFmtId="203" fontId="23" fillId="7" borderId="4" xfId="0" applyNumberFormat="1" applyFont="1" applyFill="1" applyBorder="1" applyAlignment="1">
      <x:alignment vertical="center"/>
    </x:xf>
    <x:xf numFmtId="203" fontId="23" fillId="7" borderId="5" xfId="0" applyNumberFormat="1" applyFont="1" applyFill="1" applyBorder="1" applyAlignment="1">
      <x:alignment vertical="center"/>
    </x:xf>
    <x:xf numFmtId="203" fontId="23" fillId="7" borderId="6" xfId="0" applyNumberFormat="1" applyFont="1" applyFill="1" applyBorder="1" applyAlignment="1">
      <x:alignment vertical="center"/>
    </x:xf>
    <x:xf numFmtId="203" fontId="23" fillId="7" borderId="0" xfId="0" applyNumberFormat="1" applyFont="1" applyFill="1" applyBorder="1" applyAlignment="1">
      <x:alignment vertical="center"/>
    </x:xf>
    <x:xf numFmtId="203" fontId="23" fillId="7" borderId="7" xfId="0" applyNumberFormat="1" applyFont="1" applyFill="1" applyBorder="1" applyAlignment="1">
      <x:alignment vertical="center"/>
    </x:xf>
    <x:xf numFmtId="203" fontId="23" fillId="7" borderId="8" xfId="0" applyNumberFormat="1" applyFont="1" applyFill="1" applyBorder="1" applyAlignment="1">
      <x:alignment vertical="center"/>
    </x:xf>
    <x:xf numFmtId="203" fontId="23" fillId="7" borderId="9" xfId="0" applyNumberFormat="1" applyFont="1" applyFill="1" applyBorder="1" applyAlignment="1">
      <x:alignment vertical="center"/>
    </x:xf>
    <x:xf numFmtId="203" fontId="23" fillId="7" borderId="10" xfId="0" applyNumberFormat="1" applyFont="1" applyFill="1" applyBorder="1" applyAlignment="1">
      <x:alignment vertical="center"/>
    </x:xf>
    <x:xf numFmtId="0" fontId="24" fillId="7" borderId="0" xfId="0" applyNumberFormat="1" applyFont="1" applyFill="1" applyBorder="1"/>
    <x:xf numFmtId="0" fontId="24" fillId="7" borderId="3" xfId="0" applyNumberFormat="1" applyFont="1" applyFill="1" applyBorder="1"/>
    <x:xf numFmtId="0" fontId="24" fillId="7" borderId="4" xfId="0" applyNumberFormat="1" applyFont="1" applyFill="1" applyBorder="1"/>
    <x:xf numFmtId="0" fontId="24" fillId="7" borderId="5" xfId="0" applyNumberFormat="1" applyFont="1" applyFill="1" applyBorder="1"/>
    <x:xf numFmtId="0" fontId="24" fillId="7" borderId="6" xfId="0" applyNumberFormat="1" applyFont="1" applyFill="1" applyBorder="1"/>
    <x:xf numFmtId="0" fontId="24" fillId="7" borderId="7" xfId="0" applyNumberFormat="1" applyFont="1" applyFill="1" applyBorder="1"/>
    <x:xf numFmtId="0" fontId="24" fillId="7" borderId="8" xfId="0" applyNumberFormat="1" applyFont="1" applyFill="1" applyBorder="1"/>
    <x:xf numFmtId="0" fontId="24" fillId="7" borderId="9" xfId="0" applyNumberFormat="1" applyFont="1" applyFill="1" applyBorder="1"/>
    <x:xf numFmtId="0" fontId="24" fillId="7" borderId="10" xfId="0" applyNumberFormat="1" applyFont="1" applyFill="1" applyBorder="1"/>
    <x:xf numFmtId="200" fontId="24" fillId="7" borderId="3" xfId="0" applyNumberFormat="1" applyFont="1" applyFill="1" applyBorder="1"/>
    <x:xf numFmtId="200" fontId="24" fillId="7" borderId="4" xfId="0" applyNumberFormat="1" applyFont="1" applyFill="1" applyBorder="1"/>
    <x:xf numFmtId="200" fontId="24" fillId="7" borderId="5" xfId="0" applyNumberFormat="1" applyFont="1" applyFill="1" applyBorder="1"/>
    <x:xf numFmtId="200" fontId="24" fillId="7" borderId="6" xfId="0" applyNumberFormat="1" applyFont="1" applyFill="1" applyBorder="1"/>
    <x:xf numFmtId="200" fontId="24" fillId="7" borderId="0" xfId="0" applyNumberFormat="1" applyFont="1" applyFill="1" applyBorder="1"/>
    <x:xf numFmtId="200" fontId="24" fillId="7" borderId="7" xfId="0" applyNumberFormat="1" applyFont="1" applyFill="1" applyBorder="1"/>
    <x:xf numFmtId="200" fontId="24" fillId="7" borderId="8" xfId="0" applyNumberFormat="1" applyFont="1" applyFill="1" applyBorder="1"/>
    <x:xf numFmtId="200" fontId="24" fillId="7" borderId="9" xfId="0" applyNumberFormat="1" applyFont="1" applyFill="1" applyBorder="1"/>
    <x:xf numFmtId="200" fontId="24" fillId="7" borderId="10" xfId="0" applyNumberFormat="1" applyFont="1" applyFill="1" applyBorder="1"/>
    <x:xf numFmtId="200" fontId="24" fillId="7" borderId="3" xfId="0" applyNumberFormat="1" applyFont="1" applyFill="1" applyBorder="1" applyAlignment="1">
      <x:alignment vertical="center"/>
    </x:xf>
    <x:xf numFmtId="200" fontId="24" fillId="7" borderId="4" xfId="0" applyNumberFormat="1" applyFont="1" applyFill="1" applyBorder="1" applyAlignment="1">
      <x:alignment vertical="center"/>
    </x:xf>
    <x:xf numFmtId="200" fontId="24" fillId="7" borderId="5" xfId="0" applyNumberFormat="1" applyFont="1" applyFill="1" applyBorder="1" applyAlignment="1">
      <x:alignment vertical="center"/>
    </x:xf>
    <x:xf numFmtId="200" fontId="24" fillId="7" borderId="6" xfId="0" applyNumberFormat="1" applyFont="1" applyFill="1" applyBorder="1" applyAlignment="1">
      <x:alignment vertical="center"/>
    </x:xf>
    <x:xf numFmtId="200" fontId="24" fillId="7" borderId="0" xfId="0" applyNumberFormat="1" applyFont="1" applyFill="1" applyBorder="1" applyAlignment="1">
      <x:alignment vertical="center"/>
    </x:xf>
    <x:xf numFmtId="200" fontId="24" fillId="7" borderId="7" xfId="0" applyNumberFormat="1" applyFont="1" applyFill="1" applyBorder="1" applyAlignment="1">
      <x:alignment vertical="center"/>
    </x:xf>
    <x:xf numFmtId="200" fontId="24" fillId="7" borderId="8" xfId="0" applyNumberFormat="1" applyFont="1" applyFill="1" applyBorder="1" applyAlignment="1">
      <x:alignment vertical="center"/>
    </x:xf>
    <x:xf numFmtId="200" fontId="24" fillId="7" borderId="9" xfId="0" applyNumberFormat="1" applyFont="1" applyFill="1" applyBorder="1" applyAlignment="1">
      <x:alignment vertical="center"/>
    </x:xf>
    <x:xf numFmtId="200" fontId="24" fillId="7" borderId="10" xfId="0" applyNumberFormat="1" applyFont="1" applyFill="1" applyBorder="1" applyAlignment="1">
      <x:alignment vertical="center"/>
    </x:xf>
    <x:xf numFmtId="0" fontId="25" fillId="7" borderId="0" xfId="0" applyNumberFormat="1" applyFont="1" applyFill="1" applyBorder="1"/>
    <x:xf numFmtId="0" fontId="25" fillId="7" borderId="3" xfId="0" applyNumberFormat="1" applyFont="1" applyFill="1" applyBorder="1"/>
    <x:xf numFmtId="0" fontId="25" fillId="7" borderId="4" xfId="0" applyNumberFormat="1" applyFont="1" applyFill="1" applyBorder="1"/>
    <x:xf numFmtId="0" fontId="25" fillId="7" borderId="5" xfId="0" applyNumberFormat="1" applyFont="1" applyFill="1" applyBorder="1"/>
    <x:xf numFmtId="0" fontId="25" fillId="7" borderId="6" xfId="0" applyNumberFormat="1" applyFont="1" applyFill="1" applyBorder="1"/>
    <x:xf numFmtId="0" fontId="25" fillId="7" borderId="7" xfId="0" applyNumberFormat="1" applyFont="1" applyFill="1" applyBorder="1"/>
    <x:xf numFmtId="0" fontId="25" fillId="7" borderId="8" xfId="0" applyNumberFormat="1" applyFont="1" applyFill="1" applyBorder="1"/>
    <x:xf numFmtId="0" fontId="25" fillId="7" borderId="9" xfId="0" applyNumberFormat="1" applyFont="1" applyFill="1" applyBorder="1"/>
    <x:xf numFmtId="0" fontId="25" fillId="7" borderId="10" xfId="0" applyNumberFormat="1" applyFont="1" applyFill="1" applyBorder="1"/>
    <x:xf numFmtId="203" fontId="25" fillId="7" borderId="3" xfId="0" applyNumberFormat="1" applyFont="1" applyFill="1" applyBorder="1"/>
    <x:xf numFmtId="203" fontId="25" fillId="7" borderId="4" xfId="0" applyNumberFormat="1" applyFont="1" applyFill="1" applyBorder="1"/>
    <x:xf numFmtId="203" fontId="25" fillId="7" borderId="5" xfId="0" applyNumberFormat="1" applyFont="1" applyFill="1" applyBorder="1"/>
    <x:xf numFmtId="203" fontId="25" fillId="7" borderId="6" xfId="0" applyNumberFormat="1" applyFont="1" applyFill="1" applyBorder="1"/>
    <x:xf numFmtId="203" fontId="25" fillId="7" borderId="0" xfId="0" applyNumberFormat="1" applyFont="1" applyFill="1" applyBorder="1"/>
    <x:xf numFmtId="203" fontId="25" fillId="7" borderId="7" xfId="0" applyNumberFormat="1" applyFont="1" applyFill="1" applyBorder="1"/>
    <x:xf numFmtId="203" fontId="25" fillId="7" borderId="8" xfId="0" applyNumberFormat="1" applyFont="1" applyFill="1" applyBorder="1"/>
    <x:xf numFmtId="203" fontId="25" fillId="7" borderId="9" xfId="0" applyNumberFormat="1" applyFont="1" applyFill="1" applyBorder="1"/>
    <x:xf numFmtId="203" fontId="25" fillId="7" borderId="10" xfId="0" applyNumberFormat="1" applyFont="1" applyFill="1" applyBorder="1"/>
    <x:xf numFmtId="203" fontId="25" fillId="7" borderId="3" xfId="0" applyNumberFormat="1" applyFont="1" applyFill="1" applyBorder="1" applyAlignment="1">
      <x:alignment vertical="center"/>
    </x:xf>
    <x:xf numFmtId="203" fontId="25" fillId="7" borderId="4" xfId="0" applyNumberFormat="1" applyFont="1" applyFill="1" applyBorder="1" applyAlignment="1">
      <x:alignment vertical="center"/>
    </x:xf>
    <x:xf numFmtId="203" fontId="25" fillId="7" borderId="5" xfId="0" applyNumberFormat="1" applyFont="1" applyFill="1" applyBorder="1" applyAlignment="1">
      <x:alignment vertical="center"/>
    </x:xf>
    <x:xf numFmtId="203" fontId="25" fillId="7" borderId="6" xfId="0" applyNumberFormat="1" applyFont="1" applyFill="1" applyBorder="1" applyAlignment="1">
      <x:alignment vertical="center"/>
    </x:xf>
    <x:xf numFmtId="203" fontId="25" fillId="7" borderId="0" xfId="0" applyNumberFormat="1" applyFont="1" applyFill="1" applyBorder="1" applyAlignment="1">
      <x:alignment vertical="center"/>
    </x:xf>
    <x:xf numFmtId="203" fontId="25" fillId="7" borderId="7" xfId="0" applyNumberFormat="1" applyFont="1" applyFill="1" applyBorder="1" applyAlignment="1">
      <x:alignment vertical="center"/>
    </x:xf>
    <x:xf numFmtId="203" fontId="25" fillId="7" borderId="8" xfId="0" applyNumberFormat="1" applyFont="1" applyFill="1" applyBorder="1" applyAlignment="1">
      <x:alignment vertical="center"/>
    </x:xf>
    <x:xf numFmtId="203" fontId="25" fillId="7" borderId="9" xfId="0" applyNumberFormat="1" applyFont="1" applyFill="1" applyBorder="1" applyAlignment="1">
      <x:alignment vertical="center"/>
    </x:xf>
    <x:xf numFmtId="203" fontId="25" fillId="7" borderId="10" xfId="0" applyNumberFormat="1" applyFont="1" applyFill="1" applyBorder="1" applyAlignment="1">
      <x:alignment vertical="center"/>
    </x:xf>
    <x:xf numFmtId="0" fontId="26" fillId="6" borderId="0" xfId="0" applyNumberFormat="1" applyFont="1" applyFill="1" applyBorder="1"/>
    <x:xf numFmtId="0" fontId="26" fillId="6" borderId="11" xfId="0" applyNumberFormat="1" applyFont="1" applyFill="1" applyBorder="1"/>
    <x:xf numFmtId="0" fontId="26" fillId="6" borderId="12" xfId="0" applyNumberFormat="1" applyFont="1" applyFill="1" applyBorder="1"/>
    <x:xf numFmtId="0" fontId="26" fillId="6" borderId="13" xfId="0" applyNumberFormat="1" applyFont="1" applyFill="1" applyBorder="1"/>
    <x:xf numFmtId="0" fontId="26" fillId="6" borderId="14" xfId="0" applyNumberFormat="1" applyFont="1" applyFill="1" applyBorder="1"/>
    <x:xf numFmtId="0" fontId="26" fillId="6" borderId="15" xfId="0" applyNumberFormat="1" applyFont="1" applyFill="1" applyBorder="1"/>
    <x:xf numFmtId="0" fontId="26" fillId="6" borderId="16" xfId="0" applyNumberFormat="1" applyFont="1" applyFill="1" applyBorder="1"/>
    <x:xf numFmtId="0" fontId="26" fillId="6" borderId="17" xfId="0" applyNumberFormat="1" applyFont="1" applyFill="1" applyBorder="1"/>
    <x:xf numFmtId="0" fontId="26" fillId="6" borderId="18" xfId="0" applyNumberFormat="1" applyFont="1" applyFill="1" applyBorder="1"/>
    <x:xf numFmtId="0" fontId="26" fillId="6" borderId="11" xfId="0" applyNumberFormat="1" applyFont="1" applyFill="1" applyBorder="1" applyAlignment="1">
      <x:alignment wrapText="1"/>
    </x:xf>
    <x:xf numFmtId="0" fontId="26" fillId="6" borderId="12" xfId="0" applyNumberFormat="1" applyFont="1" applyFill="1" applyBorder="1" applyAlignment="1">
      <x:alignment wrapText="1"/>
    </x:xf>
    <x:xf numFmtId="0" fontId="26" fillId="6" borderId="13" xfId="0" applyNumberFormat="1" applyFont="1" applyFill="1" applyBorder="1" applyAlignment="1">
      <x:alignment wrapText="1"/>
    </x:xf>
    <x:xf numFmtId="0" fontId="26" fillId="6" borderId="14" xfId="0" applyNumberFormat="1" applyFont="1" applyFill="1" applyBorder="1" applyAlignment="1">
      <x:alignment wrapText="1"/>
    </x:xf>
    <x:xf numFmtId="0" fontId="26" fillId="6" borderId="0" xfId="0" applyNumberFormat="1" applyFont="1" applyFill="1" applyBorder="1" applyAlignment="1">
      <x:alignment wrapText="1"/>
    </x:xf>
    <x:xf numFmtId="0" fontId="26" fillId="6" borderId="15" xfId="0" applyNumberFormat="1" applyFont="1" applyFill="1" applyBorder="1" applyAlignment="1">
      <x:alignment wrapText="1"/>
    </x:xf>
    <x:xf numFmtId="0" fontId="26" fillId="6" borderId="16" xfId="0" applyNumberFormat="1" applyFont="1" applyFill="1" applyBorder="1" applyAlignment="1">
      <x:alignment wrapText="1"/>
    </x:xf>
    <x:xf numFmtId="0" fontId="26" fillId="6" borderId="17" xfId="0" applyNumberFormat="1" applyFont="1" applyFill="1" applyBorder="1" applyAlignment="1">
      <x:alignment wrapText="1"/>
    </x:xf>
    <x:xf numFmtId="0" fontId="26" fillId="6" borderId="18" xfId="0" applyNumberFormat="1" applyFont="1" applyFill="1" applyBorder="1" applyAlignment="1">
      <x:alignment wrapText="1"/>
    </x:xf>
    <x:xf numFmtId="0" fontId="26" fillId="6" borderId="11" xfId="0" applyNumberFormat="1" applyFont="1" applyFill="1" applyBorder="1" applyAlignment="1">
      <x:alignment vertical="center" wrapText="1"/>
    </x:xf>
    <x:xf numFmtId="0" fontId="26" fillId="6" borderId="12" xfId="0" applyNumberFormat="1" applyFont="1" applyFill="1" applyBorder="1" applyAlignment="1">
      <x:alignment vertical="center" wrapText="1"/>
    </x:xf>
    <x:xf numFmtId="0" fontId="26" fillId="6" borderId="13" xfId="0" applyNumberFormat="1" applyFont="1" applyFill="1" applyBorder="1" applyAlignment="1">
      <x:alignment vertical="center" wrapText="1"/>
    </x:xf>
    <x:xf numFmtId="0" fontId="26" fillId="6" borderId="14" xfId="0" applyNumberFormat="1" applyFont="1" applyFill="1" applyBorder="1" applyAlignment="1">
      <x:alignment vertical="center" wrapText="1"/>
    </x:xf>
    <x:xf numFmtId="0" fontId="26" fillId="6" borderId="0" xfId="0" applyNumberFormat="1" applyFont="1" applyFill="1" applyBorder="1" applyAlignment="1">
      <x:alignment vertical="center" wrapText="1"/>
    </x:xf>
    <x:xf numFmtId="0" fontId="26" fillId="6" borderId="15" xfId="0" applyNumberFormat="1" applyFont="1" applyFill="1" applyBorder="1" applyAlignment="1">
      <x:alignment vertical="center" wrapText="1"/>
    </x:xf>
    <x:xf numFmtId="0" fontId="26" fillId="6" borderId="16" xfId="0" applyNumberFormat="1" applyFont="1" applyFill="1" applyBorder="1" applyAlignment="1">
      <x:alignment vertical="center" wrapText="1"/>
    </x:xf>
    <x:xf numFmtId="0" fontId="26" fillId="6" borderId="17" xfId="0" applyNumberFormat="1" applyFont="1" applyFill="1" applyBorder="1" applyAlignment="1">
      <x:alignment vertical="center" wrapText="1"/>
    </x:xf>
    <x:xf numFmtId="0" fontId="26" fillId="6" borderId="18" xfId="0" applyNumberFormat="1" applyFont="1" applyFill="1" applyBorder="1" applyAlignment="1">
      <x:alignment vertical="center" wrapText="1"/>
    </x:xf>
    <x:xf numFmtId="204" fontId="15" fillId="0" borderId="1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" fillId="0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1" xfId="0" applyNumberFormat="1" applyFont="1" applyFill="1" applyBorder="1" applyAlignment="1">
      <x:alignment vertical="center" wrapText="1"/>
    </x:xf>
    <x:xf numFmtId="202" fontId="3" fillId="0" borderId="1" xfId="0" applyNumberFormat="1" applyFont="1" applyFill="1" applyBorder="1" applyAlignment="1">
      <x:alignment vertical="center"/>
    </x:xf>
    <x:xf numFmtId="204" fontId="3" fillId="0" borderId="1" xfId="0" applyNumberFormat="1" applyFont="1" applyFill="1" applyBorder="1" applyAlignment="1">
      <x:alignment vertical="center"/>
    </x:xf>
  </x:cellXfs>
  <x:cellStyles count="1">
    <x:cellStyle name="Normal" xfId="0"/>
  </x:cellStyles>
  <x:dxfs count="11">
    <x:dxf>
      <x:font>
        <x:b/>
        <x:color rgb="FFD9534F"/>
      </x:font>
      <x:fill>
        <x:patternFill patternType="solid">
          <x:bgColor rgb="FFFDECEC"/>
        </x:patternFill>
      </x:fill>
    </x:dxf>
    <x:dxf>
      <x:font>
        <x:b/>
        <x:color rgb="FF0F9D7A"/>
      </x:font>
      <x:fill>
        <x:patternFill patternType="solid">
          <x:bgColor rgb="FFE8F7F1"/>
        </x:patternFill>
      </x:fill>
    </x:dxf>
    <x:dxf>
      <x:font>
        <x:b/>
        <x:color rgb="FFD9534F"/>
      </x:font>
      <x:fill>
        <x:patternFill patternType="solid">
          <x:bgColor rgb="FFFDECEC"/>
        </x:patternFill>
      </x:fill>
    </x:dxf>
    <x:dxf>
      <x:font>
        <x:b/>
        <x:color rgb="FF0F9D7A"/>
      </x:font>
      <x:fill>
        <x:patternFill patternType="solid">
          <x:bgColor rgb="FFE8F7F1"/>
        </x:patternFill>
      </x:fill>
    </x:dxf>
    <x:dxf>
      <x:font>
        <x:b/>
        <x:color rgb="FFD9534F"/>
      </x:font>
      <x:fill>
        <x:patternFill patternType="solid">
          <x:bgColor rgb="FFFDECEC"/>
        </x:patternFill>
      </x:fill>
    </x:dxf>
    <x:dxf>
      <x:font>
        <x:b/>
        <x:color rgb="FF0F9D7A"/>
      </x:font>
      <x:fill>
        <x:patternFill patternType="solid">
          <x:bgColor rgb="FFE8F7F1"/>
        </x:patternFill>
      </x:fill>
    </x:dxf>
    <x:dxf>
      <x:font>
        <x:b/>
        <x:color rgb="FFD9534F"/>
      </x:font>
      <x:fill>
        <x:patternFill patternType="solid">
          <x:bgColor rgb="FFFDECEC"/>
        </x:patternFill>
      </x:fill>
    </x:dxf>
    <x:dxf>
      <x:font>
        <x:b/>
        <x:color rgb="FF0F9D7A"/>
      </x:font>
      <x:fill>
        <x:patternFill patternType="solid">
          <x:bgColor rgb="FFE8F7F1"/>
        </x:patternFill>
      </x:fill>
    </x:dxf>
    <x:dxf>
      <x:font>
        <x:b/>
        <x:color rgb="FFD9534F"/>
      </x:font>
      <x:fill>
        <x:patternFill patternType="solid">
          <x:bgColor rgb="FFFDECEC"/>
        </x:patternFill>
      </x:fill>
    </x:dxf>
    <x:dxf>
      <x:font>
        <x:b/>
        <x:color rgb="FF0F9D7A"/>
      </x:font>
      <x:fill>
        <x:patternFill patternType="solid">
          <x:bgColor rgb="FFE8F7F1"/>
        </x:patternFill>
      </x:fill>
    </x:dxf>
    <x:dxf>
      <x:font>
        <x:b/>
        <x:color rgb="FFD9534F"/>
      </x:font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2cd017f614465b" /><Relationship Type="http://schemas.openxmlformats.org/officeDocument/2006/relationships/theme" Target="/xl/theme/theme1.xml" Id="Re9d5c0803a114724" /><Relationship Type="http://schemas.microsoft.com/office/2022/11/relationships/FeaturePropertyBag" Target="/xl/featurePropertyBag/featurePropertyBag.xml" Id="Rd497ff44df584680" /><Relationship Type="http://schemas.openxmlformats.org/officeDocument/2006/relationships/sharedStrings" Target="/xl/sharedStrings.xml" Id="R8e12df8210c04b78" /><Relationship Type="http://schemas.openxmlformats.org/officeDocument/2006/relationships/worksheet" Target="/xl/worksheets/sheet1.xml" Id="R3213fcead7614955" /><Relationship Type="http://schemas.openxmlformats.org/officeDocument/2006/relationships/worksheet" Target="/xl/worksheets/sheet2.xml" Id="R62d49beef1014049" /><Relationship Type="http://schemas.openxmlformats.org/officeDocument/2006/relationships/worksheet" Target="/xl/worksheets/sheet3.xml" Id="R233c76b8f4a44ecf" /><Relationship Type="http://schemas.openxmlformats.org/officeDocument/2006/relationships/worksheet" Target="/xl/worksheets/sheet4.xml" Id="R626e63173ea0462e" /><Relationship Type="http://schemas.openxmlformats.org/officeDocument/2006/relationships/worksheet" Target="/xl/worksheets/sheet5.xml" Id="R614c0a1a84874d64" /><Relationship Type="http://schemas.openxmlformats.org/officeDocument/2006/relationships/worksheet" Target="/xl/worksheets/sheet6.xml" Id="Rccec6192610f439d" /><Relationship Type="http://schemas.openxmlformats.org/officeDocument/2006/relationships/worksheet" Target="/xl/worksheets/sheet7.xml" Id="R733f0506a2544752" /><Relationship Type="http://schemas.openxmlformats.org/officeDocument/2006/relationships/worksheet" Target="/xl/worksheets/sheet8.xml" Id="Rbf34ddf826614c5a" /><Relationship Type="http://schemas.openxmlformats.org/officeDocument/2006/relationships/worksheet" Target="/xl/worksheets/sheet9.xml" Id="R830623484c624bf8" /><Relationship Type="http://schemas.openxmlformats.org/officeDocument/2006/relationships/worksheet" Target="/xl/worksheets/sheet10.xml" Id="Rc446b334caae49ad" /><Relationship Type="http://schemas.openxmlformats.org/officeDocument/2006/relationships/worksheet" Target="/xl/worksheets/sheet11.xml" Id="Rb81d87896b844a1c" /><Relationship Type="http://schemas.openxmlformats.org/officeDocument/2006/relationships/worksheet" Target="/xl/worksheets/sheet12.xml" Id="Rf308a61d16c646ee" /><Relationship Type="http://schemas.openxmlformats.org/officeDocument/2006/relationships/worksheet" Target="/xl/worksheets/sheet13.xml" Id="R2135e92d3ab6486e" /><Relationship Type="http://schemas.openxmlformats.org/officeDocument/2006/relationships/worksheet" Target="/xl/worksheets/sheet14.xml" Id="R5548de764ae6457a" /><Relationship Type="http://schemas.openxmlformats.org/officeDocument/2006/relationships/worksheet" Target="/xl/worksheets/sheet15.xml" Id="R63a6fea386354fe3" /><Relationship Type="http://schemas.openxmlformats.org/officeDocument/2006/relationships/worksheet" Target="/xl/worksheets/sheet16.xml" Id="R436c11ead26d4b3a" /><Relationship Type="http://schemas.openxmlformats.org/officeDocument/2006/relationships/worksheet" Target="/xl/worksheets/sheet17.xml" Id="R7ad90e97a46647e8" /><Relationship Type="http://schemas.openxmlformats.org/officeDocument/2006/relationships/worksheet" Target="/xl/worksheets/sheet18.xml" Id="R6e3aeca722bd4259" /><Relationship Type="http://schemas.openxmlformats.org/officeDocument/2006/relationships/worksheet" Target="/xl/worksheets/sheet19.xml" Id="Rba10b9f7fa964109" /><Relationship Type="http://schemas.openxmlformats.org/officeDocument/2006/relationships/worksheet" Target="/xl/worksheets/sheet20.xml" Id="Rf8fe7fe915eb4817" /><Relationship Type="http://schemas.openxmlformats.org/officeDocument/2006/relationships/worksheet" Target="/xl/worksheets/sheet21.xml" Id="Rd695a63f3a5d4d23" /><Relationship Type="http://schemas.openxmlformats.org/officeDocument/2006/relationships/worksheet" Target="/xl/worksheets/sheet22.xml" Id="R077f89f36a16433a" /><Relationship Type="http://schemas.openxmlformats.org/officeDocument/2006/relationships/worksheet" Target="/xl/worksheets/sheet23.xml" Id="R3a208eee209f4ea7" /><Relationship Type="http://schemas.openxmlformats.org/officeDocument/2006/relationships/worksheet" Target="/xl/worksheets/sheet24.xml" Id="R99d70064646a4265" /><Relationship Type="http://schemas.openxmlformats.org/officeDocument/2006/relationships/worksheet" Target="/xl/worksheets/sheet25.xml" Id="Ra5fd895056f14a2b" /><Relationship Type="http://schemas.openxmlformats.org/officeDocument/2006/relationships/worksheet" Target="/xl/worksheets/sheet26.xml" Id="R473ef6084fbb4a33" /><Relationship Type="http://schemas.openxmlformats.org/officeDocument/2006/relationships/worksheet" Target="/xl/worksheets/sheet27.xml" Id="Reda469f06466469b" /><Relationship Type="http://schemas.openxmlformats.org/officeDocument/2006/relationships/worksheet" Target="/xl/worksheets/sheet28.xml" Id="Ra1888c94c8b248e9" /><Relationship Type="http://schemas.openxmlformats.org/officeDocument/2006/relationships/worksheet" Target="/xl/worksheets/sheet29.xml" Id="Rd90d50527fb24ef3" /><Relationship Type="http://schemas.openxmlformats.org/officeDocument/2006/relationships/worksheet" Target="/xl/worksheets/sheet30.xml" Id="R3945fc6868794bd5" /><Relationship Type="http://schemas.openxmlformats.org/officeDocument/2006/relationships/worksheet" Target="/xl/worksheets/sheet31.xml" Id="Raba1c622b15547e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b0fe36fc1e04422" /><Relationship Type="http://schemas.openxmlformats.org/officeDocument/2006/relationships/chart" Target="/xl/drawings/charts/chart2.xml" Id="R71a78a0325444ab8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f542fb0370dd43b1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1bc94c00a8f54755" /><Relationship Type="http://schemas.openxmlformats.org/officeDocument/2006/relationships/chart" Target="/xl/drawings/charts/chart5.xml" Id="Rff6c806058a04ec5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6.xml" Id="R495734460dbd414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7.xml" Id="Rad09442b24db45e9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chart" Target="/xl/drawings/charts/chart8.xml" Id="R7c768f428cb74259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chart" Target="/xl/drawings/charts/chart9.xml" Id="Rb850543301024145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chart" Target="/xl/drawings/charts/chart10.xml" Id="Rb9971bb4708b4146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chart" Target="/xl/drawings/charts/chart11.xml" Id="Rd798d676faf1444b" /></Relationships>
</file>

<file path=xl/drawings/_rels/drawing10.xml.rels>&#65279;<?xml version="1.0" encoding="utf-8"?><Relationships xmlns="http://schemas.openxmlformats.org/package/2006/relationships"><Relationship Type="http://schemas.openxmlformats.org/officeDocument/2006/relationships/chart" Target="/xl/drawings/charts/chart12.xml" Id="Rdc4f77fb2f7144c1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chart" Target="/xl/drawings/charts/chart13.xml" Id="R71d8babda49a446a" /></Relationships>
</file>

<file path=xl/drawings/_rels/drawing12.xml.rels>&#65279;<?xml version="1.0" encoding="utf-8"?><Relationships xmlns="http://schemas.openxmlformats.org/package/2006/relationships"><Relationship Type="http://schemas.openxmlformats.org/officeDocument/2006/relationships/chart" Target="/xl/drawings/charts/chart14.xml" Id="Rb4c050a1c77441a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FY2026 Monthly Revenue | Budget vs Forecast</a:t>
            </a:r>
          </a:p>
        </c:rich>
      </c:tx>
    </c:title>
    <c:plotArea>
      <c:lineChart>
        <c:grouping val="standard"/>
        <c:ser>
          <c:idx val="0"/>
          <c:order val="0"/>
          <c:tx>
            <c:v>Budget Revenue</c:v>
          </c:tx>
          <c:marker>
            <c:symbol val="none"/>
          </c:marker>
          <c:cat>
            <c:strRef>
              <c:f>'Dashboard Data'!$A$6:$A$17</c:f>
              <c:strCache>
                <c:ptCount val="0"/>
              </c:strCache>
            </c:strRef>
          </c:cat>
          <c:val>
            <c:numRef>
              <c:f>'Dashboard Data'!$B$6:$B$17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Forecast Revenue</c:v>
          </c:tx>
          <c:marker>
            <c:symbol val="none"/>
          </c:marker>
          <c:cat>
            <c:strRef>
              <c:f>'Dashboard Data'!$A$6:$A$17</c:f>
              <c:strCache>
                <c:ptCount val="0"/>
              </c:strCache>
            </c:strRef>
          </c:cat>
          <c:val>
            <c:numRef>
              <c:f>'Dashboard Data'!$C$6:$C$17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₺0,,&quot;m&quot;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FY2026 Monthly EBITDA | Budget vs Forecast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Budget EBITDA</c:v>
          </c:tx>
          <c:cat>
            <c:strRef>
              <c:f>'Dashboard Data'!$L$6:$L$17</c:f>
              <c:strCache>
                <c:ptCount val="0"/>
              </c:strCache>
            </c:strRef>
          </c:cat>
          <c:val>
            <c:numRef>
              <c:f>'Dashboard Data'!$M$6:$M$17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Forecast EBITDA</c:v>
          </c:tx>
          <c:cat>
            <c:strRef>
              <c:f>'Dashboard Data'!$L$6:$L$17</c:f>
              <c:strCache>
                <c:ptCount val="0"/>
              </c:strCache>
            </c:strRef>
          </c:cat>
          <c:val>
            <c:numRef>
              <c:f>'Dashboard Data'!$N$6:$N$17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₺0,,&quot;m&quot;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FY2026 Revenue and EBITDA by Scenario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Revenue</c:v>
          </c:tx>
          <c:cat>
            <c:strRef>
              <c:f>'Scenario Control'!$K$8:$K$11</c:f>
              <c:strCache>
                <c:ptCount val="0"/>
              </c:strCache>
            </c:strRef>
          </c:cat>
          <c:val>
            <c:numRef>
              <c:f>'Scenario Control'!$L$8:$L$11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EBITDA</c:v>
          </c:tx>
          <c:cat>
            <c:strRef>
              <c:f>'Scenario Control'!$K$8:$K$11</c:f>
              <c:strCache>
                <c:ptCount val="0"/>
              </c:strCache>
            </c:strRef>
          </c:cat>
          <c:val>
            <c:numRef>
              <c:f>'Scenario Control'!$M$8:$M$11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Revenue Outlook</a:t>
            </a:r>
          </a:p>
        </c:rich>
      </c:tx>
    </c:title>
    <c:plotArea>
      <c:lineChart>
        <c:grouping val="standard"/>
        <c:ser>
          <c:idx val="0"/>
          <c:order val="0"/>
          <c:tx>
            <c:v>Budget Revenue</c:v>
          </c:tx>
          <c:marker>
            <c:symbol val="none"/>
          </c:marker>
          <c:cat>
            <c:strRef>
              <c:f>'Rolling Forecast'!$A$6:$A$17</c:f>
              <c:strCache>
                <c:ptCount val="0"/>
              </c:strCache>
            </c:strRef>
          </c:cat>
          <c:val>
            <c:numRef>
              <c:f>'Rolling Forecast'!$B$6:$B$17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Forecast Revenue</c:v>
          </c:tx>
          <c:marker>
            <c:symbol val="none"/>
          </c:marker>
          <c:cat>
            <c:strRef>
              <c:f>'Rolling Forecast'!$A$6:$A$17</c:f>
              <c:strCache>
                <c:ptCount val="0"/>
              </c:strCache>
            </c:strRef>
          </c:cat>
          <c:val>
            <c:numRef>
              <c:f>'Rolling Forecast'!$C$6:$C$17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Ending Cash &amp; CCC</a:t>
            </a:r>
          </a:p>
        </c:rich>
      </c:tx>
    </c:title>
    <c:plotArea>
      <c:lineChart>
        <c:grouping val="standard"/>
        <c:ser>
          <c:idx val="0"/>
          <c:order val="0"/>
          <c:tx>
            <c:v>Budget Revenue</c:v>
          </c:tx>
          <c:marker>
            <c:symbol val="none"/>
          </c:marker>
          <c:cat>
            <c:strRef>
              <c:f>'Rolling Forecast'!$A$6:$A$17</c:f>
              <c:strCache>
                <c:ptCount val="0"/>
              </c:strCache>
            </c:strRef>
          </c:cat>
          <c:val>
            <c:numRef>
              <c:f>'Rolling Forecast'!$B$6:$B$17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Forecast Revenue</c:v>
          </c:tx>
          <c:marker>
            <c:symbol val="none"/>
          </c:marker>
          <c:cat>
            <c:strRef>
              <c:f>'Rolling Forecast'!$A$6:$A$17</c:f>
              <c:strCache>
                <c:ptCount val="0"/>
              </c:strCache>
            </c:strRef>
          </c:cat>
          <c:val>
            <c:numRef>
              <c:f>'Rolling Forecast'!$C$6:$C$17</c:f>
              <c:numCache>
                <c:formatCode>0.0</c:formatCode>
                <c:ptCount val="0"/>
              </c:numCache>
            </c:numRef>
          </c:val>
        </c:ser>
        <c:ser>
          <c:idx val="2"/>
          <c:order val="2"/>
          <c:tx>
            <c:v>Revenue Var</c:v>
          </c:tx>
          <c:marker>
            <c:symbol val="none"/>
          </c:marker>
          <c:cat>
            <c:strRef>
              <c:f>'Rolling Forecast'!$A$6:$A$17</c:f>
              <c:strCache>
                <c:ptCount val="0"/>
              </c:strCache>
            </c:strRef>
          </c:cat>
          <c:val>
            <c:numRef>
              <c:f>'Rolling Forecast'!$D$6:$D$17</c:f>
              <c:numCache>
                <c:formatCode>0.0</c:formatCode>
                <c:ptCount val="0"/>
              </c:numCache>
            </c:numRef>
          </c:val>
        </c:ser>
        <c:ser>
          <c:idx val="3"/>
          <c:order val="3"/>
          <c:tx>
            <c:v>Budget EBITDA</c:v>
          </c:tx>
          <c:marker>
            <c:symbol val="none"/>
          </c:marker>
          <c:cat>
            <c:strRef>
              <c:f>'Rolling Forecast'!$A$6:$A$17</c:f>
              <c:strCache>
                <c:ptCount val="0"/>
              </c:strCache>
            </c:strRef>
          </c:cat>
          <c:val>
            <c:numRef>
              <c:f>'Rolling Forecast'!$E$6:$E$17</c:f>
              <c:numCache>
                <c:formatCode>0.0</c:formatCode>
                <c:ptCount val="0"/>
              </c:numCache>
            </c:numRef>
          </c:val>
        </c:ser>
        <c:ser>
          <c:idx val="4"/>
          <c:order val="4"/>
          <c:tx>
            <c:v>Forecast EBITDA</c:v>
          </c:tx>
          <c:marker>
            <c:symbol val="none"/>
          </c:marker>
          <c:cat>
            <c:strRef>
              <c:f>'Rolling Forecast'!$A$6:$A$17</c:f>
              <c:strCache>
                <c:ptCount val="0"/>
              </c:strCache>
            </c:strRef>
          </c:cat>
          <c:val>
            <c:numRef>
              <c:f>'Rolling Forecast'!$F$6:$F$17</c:f>
              <c:numCache>
                <c:formatCode>0.0</c:formatCode>
                <c:ptCount val="0"/>
              </c:numCache>
            </c:numRef>
          </c:val>
        </c:ser>
        <c:ser>
          <c:idx val="5"/>
          <c:order val="5"/>
          <c:tx>
            <c:v>EBITDA Var</c:v>
          </c:tx>
          <c:marker>
            <c:symbol val="none"/>
          </c:marker>
          <c:cat>
            <c:strRef>
              <c:f>'Rolling Forecast'!$A$6:$A$17</c:f>
              <c:strCache>
                <c:ptCount val="0"/>
              </c:strCache>
            </c:strRef>
          </c:cat>
          <c:val>
            <c:numRef>
              <c:f>'Rolling Forecast'!$G$6:$G$17</c:f>
              <c:numCache>
                <c:formatCode>0.0</c:formatCode>
                <c:ptCount val="0"/>
              </c:numCache>
            </c:numRef>
          </c:val>
        </c:ser>
        <c:ser>
          <c:idx val="6"/>
          <c:order val="6"/>
          <c:tx>
            <c:v>Ending Cash</c:v>
          </c:tx>
          <c:marker>
            <c:symbol val="none"/>
          </c:marker>
          <c:cat>
            <c:strRef>
              <c:f>'Rolling Forecast'!$A$6:$A$17</c:f>
              <c:strCache>
                <c:ptCount val="0"/>
              </c:strCache>
            </c:strRef>
          </c:cat>
          <c:val>
            <c:numRef>
              <c:f>'Rolling Forecast'!$H$6:$H$17</c:f>
              <c:numCache>
                <c:formatCode>0.0</c:formatCode>
                <c:ptCount val="0"/>
              </c:numCache>
            </c:numRef>
          </c:val>
        </c:ser>
        <c:ser>
          <c:idx val="7"/>
          <c:order val="7"/>
          <c:tx>
            <c:v>CCC Days</c:v>
          </c:tx>
          <c:marker>
            <c:symbol val="none"/>
          </c:marker>
          <c:cat>
            <c:strRef>
              <c:f>'Rolling Forecast'!$A$6:$A$17</c:f>
              <c:strCache>
                <c:ptCount val="0"/>
              </c:strCache>
            </c:strRef>
          </c:cat>
          <c:val>
            <c:numRef>
              <c:f>'Rolling Forecast'!$I$6:$I$17</c:f>
              <c:numCache>
                <c:formatCode>0.0 "days";[Red](0.0 "days");-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FY2026 Revenue by Business Unit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Budget Revenue</c:v>
          </c:tx>
          <c:cat>
            <c:strRef>
              <c:f>'Revenue Drivers'!$A$6:$A$10</c:f>
              <c:strCache>
                <c:ptCount val="0"/>
              </c:strCache>
            </c:strRef>
          </c:cat>
          <c:val>
            <c:numRef>
              <c:f>'Revenue Drivers'!$B$6:$B$10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Forecast Revenue</c:v>
          </c:tx>
          <c:cat>
            <c:strRef>
              <c:f>'Revenue Drivers'!$A$6:$A$10</c:f>
              <c:strCache>
                <c:ptCount val="0"/>
              </c:strCache>
            </c:strRef>
          </c:cat>
          <c:val>
            <c:numRef>
              <c:f>'Revenue Drivers'!$C$6:$C$10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Department Opex | Budget vs Forecast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Budget Opex</c:v>
          </c:tx>
          <c:cat>
            <c:strRef>
              <c:f>'Opex Planning'!$A$6:$A$11</c:f>
              <c:strCache>
                <c:ptCount val="0"/>
              </c:strCache>
            </c:strRef>
          </c:cat>
          <c:val>
            <c:numRef>
              <c:f>'Opex Planning'!$B$6:$B$11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Forecast Opex</c:v>
          </c:tx>
          <c:cat>
            <c:strRef>
              <c:f>'Opex Planning'!$A$6:$A$11</c:f>
              <c:strCache>
                <c:ptCount val="0"/>
              </c:strCache>
            </c:strRef>
          </c:cat>
          <c:val>
            <c:numRef>
              <c:f>'Opex Planning'!$C$6:$C$11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FY2026 Ending Cash</a:t>
            </a:r>
          </a:p>
        </c:rich>
      </c:tx>
    </c:title>
    <c:plotArea>
      <c:lineChart>
        <c:grouping val="standard"/>
        <c:ser>
          <c:idx val="0"/>
          <c:order val="0"/>
          <c:tx>
            <c:v>Ending Cash</c:v>
          </c:tx>
          <c:marker>
            <c:symbol val="none"/>
          </c:marker>
          <c:cat>
            <c:strRef>
              <c:f>'Cash Flow'!$J$6:$J$17</c:f>
              <c:strCache>
                <c:ptCount val="0"/>
              </c:strCache>
            </c:strRef>
          </c:cat>
          <c:val>
            <c:numRef>
              <c:f>'Cash Flow'!$K$6:$K$17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Working-Capital Days</a:t>
            </a:r>
          </a:p>
        </c:rich>
      </c:tx>
    </c:title>
    <c:plotArea>
      <c:lineChart>
        <c:grouping val="standard"/>
        <c:ser>
          <c:idx val="0"/>
          <c:order val="0"/>
          <c:tx>
            <c:v>DSO</c:v>
          </c:tx>
          <c:marker>
            <c:symbol val="none"/>
          </c:marker>
          <c:cat>
            <c:strRef>
              <c:f>'Working Capital'!$K$6:$K$17</c:f>
              <c:strCache>
                <c:ptCount val="0"/>
              </c:strCache>
            </c:strRef>
          </c:cat>
          <c:val>
            <c:numRef>
              <c:f>'Working Capital'!$L$6:$L$17</c:f>
              <c:numCache>
                <c:formatCode>0.0 "days";[Red](0.0 "days");-</c:formatCode>
                <c:ptCount val="0"/>
              </c:numCache>
            </c:numRef>
          </c:val>
        </c:ser>
        <c:ser>
          <c:idx val="1"/>
          <c:order val="1"/>
          <c:tx>
            <c:v>DIO</c:v>
          </c:tx>
          <c:marker>
            <c:symbol val="none"/>
          </c:marker>
          <c:cat>
            <c:strRef>
              <c:f>'Working Capital'!$K$6:$K$17</c:f>
              <c:strCache>
                <c:ptCount val="0"/>
              </c:strCache>
            </c:strRef>
          </c:cat>
          <c:val>
            <c:numRef>
              <c:f>'Working Capital'!$M$6:$M$17</c:f>
              <c:numCache>
                <c:formatCode>0.0 "days";[Red](0.0 "days");-</c:formatCode>
                <c:ptCount val="0"/>
              </c:numCache>
            </c:numRef>
          </c:val>
        </c:ser>
        <c:ser>
          <c:idx val="2"/>
          <c:order val="2"/>
          <c:tx>
            <c:v>DPO</c:v>
          </c:tx>
          <c:marker>
            <c:symbol val="none"/>
          </c:marker>
          <c:cat>
            <c:strRef>
              <c:f>'Working Capital'!$K$6:$K$17</c:f>
              <c:strCache>
                <c:ptCount val="0"/>
              </c:strCache>
            </c:strRef>
          </c:cat>
          <c:val>
            <c:numRef>
              <c:f>'Working Capital'!$N$6:$N$17</c:f>
              <c:numCache>
                <c:formatCode>0.0 "days";[Red](0.0 "days");-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December 2026 FTE | Budget vs Forecast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Budget FTE</c:v>
          </c:tx>
          <c:cat>
            <c:strRef>
              <c:f>'Headcount Plan'!$A$6:$A$11</c:f>
              <c:strCache>
                <c:ptCount val="0"/>
              </c:strCache>
            </c:strRef>
          </c:cat>
          <c:val>
            <c:numRef>
              <c:f>'Headcount Plan'!$B$6:$B$11</c:f>
              <c:numCache>
                <c:formatCode>#,##0;[Red](#,##0);-</c:formatCode>
                <c:ptCount val="0"/>
              </c:numCache>
            </c:numRef>
          </c:val>
        </c:ser>
        <c:ser>
          <c:idx val="1"/>
          <c:order val="1"/>
          <c:tx>
            <c:v>Forecast FTE</c:v>
          </c:tx>
          <c:cat>
            <c:strRef>
              <c:f>'Headcount Plan'!$A$6:$A$11</c:f>
              <c:strCache>
                <c:ptCount val="0"/>
              </c:strCache>
            </c:strRef>
          </c:cat>
          <c:val>
            <c:numRef>
              <c:f>'Headcount Plan'!$C$6:$C$11</c:f>
              <c:numCache>
                <c:formatCode>#,##0;[Red](#,##0);-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FY2026 Capex | Budget vs Forecast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Budget Capex</c:v>
          </c:tx>
          <c:cat>
            <c:strRef>
              <c:f>'Capex Plan'!$A$6:$A$11</c:f>
              <c:strCache>
                <c:ptCount val="0"/>
              </c:strCache>
            </c:strRef>
          </c:cat>
          <c:val>
            <c:numRef>
              <c:f>'Capex Plan'!$B$6:$B$11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Forecast Capex</c:v>
          </c:tx>
          <c:cat>
            <c:strRef>
              <c:f>'Capex Plan'!$A$6:$A$11</c:f>
              <c:strCache>
                <c:ptCount val="0"/>
              </c:strCache>
            </c:strRef>
          </c:cat>
          <c:val>
            <c:numRef>
              <c:f>'Capex Plan'!$C$6:$C$11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FY2026 Revenue by Business Unit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Budget Revenue</c:v>
          </c:tx>
          <c:cat>
            <c:strRef>
              <c:f>'Business Unit'!$A$6:$A$10</c:f>
              <c:strCache>
                <c:ptCount val="0"/>
              </c:strCache>
            </c:strRef>
          </c:cat>
          <c:val>
            <c:numRef>
              <c:f>'Business Unit'!$B$6:$B$10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Forecast Revenue</c:v>
          </c:tx>
          <c:cat>
            <c:strRef>
              <c:f>'Business Unit'!$A$6:$A$10</c:f>
              <c:strCache>
                <c:ptCount val="0"/>
              </c:strCache>
            </c:strRef>
          </c:cat>
          <c:val>
            <c:numRef>
              <c:f>'Business Unit'!$C$6:$C$10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Champion Model WAPE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Champion WAPE</c:v>
          </c:tx>
          <c:cat>
            <c:strRef>
              <c:f>'Forecast Accuracy'!$J$6:$J$9</c:f>
              <c:strCache>
                <c:ptCount val="0"/>
              </c:strCache>
            </c:strRef>
          </c:cat>
          <c:val>
            <c:numRef>
              <c:f>'Forecast Accuracy'!$K$6:$K$9</c:f>
              <c:numCache>
                <c:formatCode>0.0%;[Red](0.0%);-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Scenario Revenue &amp; EBITDA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Revenue</c:v>
          </c:tx>
          <c:cat>
            <c:strRef>
              <c:f>'Risk Analysis'!$E$6:$E$9</c:f>
              <c:strCache>
                <c:ptCount val="0"/>
              </c:strCache>
            </c:strRef>
          </c:cat>
          <c:val>
            <c:numRef>
              <c:f>'Risk Analysis'!$F$6:$F$9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EBITDA</c:v>
          </c:tx>
          <c:cat>
            <c:strRef>
              <c:f>'Risk Analysis'!$E$6:$E$9</c:f>
              <c:strCache>
                <c:ptCount val="0"/>
              </c:strCache>
            </c:strRef>
          </c:cat>
          <c:val>
            <c:numRef>
              <c:f>'Risk Analysis'!$G$6:$G$9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10</xdr:row>
      <xdr:rowOff>0</xdr:rowOff>
    </xdr:from>
    <xdr:to>
      <xdr:col>7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b0fe36fc1e04422"/>
        </a:graphicData>
      </a:graphic>
    </xdr:graphicFrame>
    <xdr:clientData/>
  </xdr:twoCellAnchor>
  <xdr:twoCellAnchor>
    <xdr:from>
      <xdr:col>7</xdr:col>
      <xdr:colOff>0</xdr:colOff>
      <xdr:row>10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1a78a0325444ab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5</xdr:col>
      <xdr:colOff>0</xdr:colOff>
      <xdr:row>16</xdr:row>
      <xdr:rowOff>0</xdr:rowOff>
    </xdr:from>
    <xdr:to>
      <xdr:col>14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542fb0370dd43b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0</xdr:col>
      <xdr:colOff>0</xdr:colOff>
      <xdr:row>19</xdr:row>
      <xdr:rowOff>0</xdr:rowOff>
    </xdr:from>
    <xdr:to>
      <xdr:col>5</xdr:col>
      <xdr:colOff>0</xdr:colOff>
      <xdr:row>35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bc94c00a8f54755"/>
        </a:graphicData>
      </a:graphic>
    </xdr:graphicFrame>
    <xdr:clientData/>
  </xdr:twoCellAnchor>
  <xdr:twoCellAnchor>
    <xdr:from>
      <xdr:col>5</xdr:col>
      <xdr:colOff>0</xdr:colOff>
      <xdr:row>19</xdr:row>
      <xdr:rowOff>0</xdr:rowOff>
    </xdr:from>
    <xdr:to>
      <xdr:col>9</xdr:col>
      <xdr:colOff>0</xdr:colOff>
      <xdr:row>35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f6c806058a04ec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0</xdr:col>
      <xdr:colOff>0</xdr:colOff>
      <xdr:row>12</xdr:row>
      <xdr:rowOff>0</xdr:rowOff>
    </xdr:from>
    <xdr:to>
      <xdr:col>8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95734460dbd4148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0</xdr:col>
      <xdr:colOff>0</xdr:colOff>
      <xdr:row>13</xdr:row>
      <xdr:rowOff>0</xdr:rowOff>
    </xdr:from>
    <xdr:to>
      <xdr:col>7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d09442b24db45e9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>
  <xdr:twoCellAnchor>
    <xdr:from>
      <xdr:col>0</xdr:col>
      <xdr:colOff>0</xdr:colOff>
      <xdr:row>19</xdr:row>
      <xdr:rowOff>0</xdr:rowOff>
    </xdr:from>
    <xdr:to>
      <xdr:col>8</xdr:col>
      <xdr:colOff>0</xdr:colOff>
      <xdr:row>35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c768f428cb74259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>
  <xdr:twoCellAnchor>
    <xdr:from>
      <xdr:col>0</xdr:col>
      <xdr:colOff>0</xdr:colOff>
      <xdr:row>19</xdr:row>
      <xdr:rowOff>0</xdr:rowOff>
    </xdr:from>
    <xdr:to>
      <xdr:col>9</xdr:col>
      <xdr:colOff>0</xdr:colOff>
      <xdr:row>35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850543301024145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>
  <xdr:twoCellAnchor>
    <xdr:from>
      <xdr:col>0</xdr:col>
      <xdr:colOff>0</xdr:colOff>
      <xdr:row>13</xdr:row>
      <xdr:rowOff>0</xdr:rowOff>
    </xdr:from>
    <xdr:to>
      <xdr:col>7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9971bb4708b4146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>
  <xdr:twoCellAnchor>
    <xdr:from>
      <xdr:col>0</xdr:col>
      <xdr:colOff>0</xdr:colOff>
      <xdr:row>13</xdr:row>
      <xdr:rowOff>0</xdr:rowOff>
    </xdr:from>
    <xdr:to>
      <xdr:col>8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798d676faf1444b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>
  <xdr:twoCellAnchor>
    <xdr:from>
      <xdr:col>0</xdr:col>
      <xdr:colOff>0</xdr:colOff>
      <xdr:row>12</xdr:row>
      <xdr:rowOff>0</xdr:rowOff>
    </xdr:from>
    <xdr:to>
      <xdr:col>8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c4f77fb2f7144c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>
  <xdr:twoCellAnchor>
    <xdr:from>
      <xdr:col>0</xdr:col>
      <xdr:colOff>0</xdr:colOff>
      <xdr:row>12</xdr:row>
      <xdr:rowOff>0</xdr:rowOff>
    </xdr:from>
    <xdr:to>
      <xdr:col>8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1d8babda49a446a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>
  <xdr:twoCellAnchor>
    <xdr:from>
      <xdr:col>0</xdr:col>
      <xdr:colOff>0</xdr:colOff>
      <xdr:row>16</xdr:row>
      <xdr:rowOff>0</xdr:rowOff>
    </xdr:from>
    <xdr:to>
      <xdr:col>10</xdr:col>
      <xdr:colOff>0</xdr:colOff>
      <xdr:row>33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4c050a1c77441ae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87606dbf2e71417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60c53dc4c056496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3.xml" Id="R9a2c066ec1c6461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4.xml" Id="R8e3f50ccb616404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5.xml" Id="R6e6376a520cc4e6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6.xml" Id="Re724884b3a0b468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7.xml" Id="R68dc3027c016436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8.xml" Id="Rcfe75ad7d3d94d2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9.xml" Id="R35c365c52c084990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0.xml" Id="Rae444f2db1b44e4a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drawing" Target="/xl/drawings/drawing11.xml" Id="R78267798e9ed49fd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2.xml" Id="R8ed9969361de413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>
      <x:c r="A1" s="20" t="str">
        <x:v>Integrated FP&amp;A Budgeting, Forecasting
&amp; Scenario Planning System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  <x:c r="L1" s="20"/>
      <x:c r="M1" s="20"/>
      <x:c r="N1" s="20"/>
    </x:row>
    <x:row r="2">
      <x:c r="A2" s="20"/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</x:row>
    <x:row r="3">
      <x:c r="A3" s="20"/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20"/>
      <x:c r="M3" s="20"/>
      <x:c r="N3" s="20"/>
    </x:row>
    <x:row r="4">
      <x:c r="A4" s="20"/>
      <x:c r="B4" s="20"/>
      <x:c r="C4" s="20"/>
      <x:c r="D4" s="20"/>
      <x:c r="E4" s="20"/>
      <x:c r="F4" s="20"/>
      <x:c r="G4" s="20"/>
      <x:c r="H4" s="20"/>
      <x:c r="I4" s="20"/>
      <x:c r="J4" s="20"/>
      <x:c r="K4" s="20"/>
      <x:c r="L4" s="20"/>
      <x:c r="M4" s="20"/>
      <x:c r="N4" s="20"/>
    </x:row>
    <x:row r="5" ht="15" hidden="0" customHeight="1">
      <x:c r="A5" s="23" t="str">
        <x:v>Professional Excel FP&amp;A Model &amp; Management Reporting Pack</x:v>
      </x:c>
      <x:c r="B5" s="23"/>
      <x:c r="C5" s="23"/>
      <x:c r="D5" s="23"/>
      <x:c r="E5" s="23"/>
      <x:c r="F5" s="23"/>
      <x:c r="G5" s="23"/>
      <x:c r="H5" s="23"/>
      <x:c r="I5" s="23"/>
      <x:c r="J5" s="23"/>
      <x:c r="K5" s="23"/>
      <x:c r="L5" s="23"/>
      <x:c r="M5" s="23"/>
      <x:c r="N5" s="23"/>
    </x:row>
    <x:row r="6"/>
    <x:row r="7">
      <x:c r="A7" s="43" t="str">
        <x:v>Purpose
Unify historical actuals, the FY2026 budget, a Q2 rolling forecast, operational drivers and scenario analytics into one auditable management-planning model.</x:v>
      </x:c>
      <x:c r="B7" s="44"/>
      <x:c r="C7" s="44"/>
      <x:c r="D7" s="44"/>
      <x:c r="E7" s="44"/>
      <x:c r="F7" s="44"/>
      <x:c r="G7" s="44"/>
      <x:c r="H7" s="45"/>
      <x:c r="J7" s="71" t="str">
        <x:v>Portfolio Scope
• 42 months of actuals
• FY2026 budget
• 18-month rolling forecast
• P&amp;L, cash and working capital
• Headcount and capex schedules
• 4 scenarios + 5,000 Monte Carlo runs
• TRY reporting currency</x:v>
      </x:c>
      <x:c r="K7" s="72"/>
      <x:c r="L7" s="72"/>
      <x:c r="M7" s="72"/>
      <x:c r="N7" s="73"/>
    </x:row>
    <x:row r="8">
      <x:c r="A8" s="46"/>
      <x:c r="B8" s="47"/>
      <x:c r="C8" s="47"/>
      <x:c r="D8" s="47"/>
      <x:c r="E8" s="47"/>
      <x:c r="F8" s="47"/>
      <x:c r="G8" s="47"/>
      <x:c r="H8" s="48"/>
      <x:c r="J8" s="74"/>
      <x:c r="K8" s="75"/>
      <x:c r="L8" s="75"/>
      <x:c r="M8" s="75"/>
      <x:c r="N8" s="76"/>
    </x:row>
    <x:row r="9">
      <x:c r="A9" s="46"/>
      <x:c r="B9" s="47"/>
      <x:c r="C9" s="47"/>
      <x:c r="D9" s="47"/>
      <x:c r="E9" s="47"/>
      <x:c r="F9" s="47"/>
      <x:c r="G9" s="47"/>
      <x:c r="H9" s="48"/>
      <x:c r="J9" s="74"/>
      <x:c r="K9" s="75"/>
      <x:c r="L9" s="75"/>
      <x:c r="M9" s="75"/>
      <x:c r="N9" s="76"/>
    </x:row>
    <x:row r="10">
      <x:c r="A10" s="46"/>
      <x:c r="B10" s="47"/>
      <x:c r="C10" s="47"/>
      <x:c r="D10" s="47"/>
      <x:c r="E10" s="47"/>
      <x:c r="F10" s="47"/>
      <x:c r="G10" s="47"/>
      <x:c r="H10" s="48"/>
      <x:c r="J10" s="74"/>
      <x:c r="K10" s="75"/>
      <x:c r="L10" s="75"/>
      <x:c r="M10" s="75"/>
      <x:c r="N10" s="76"/>
    </x:row>
    <x:row r="11">
      <x:c r="A11" s="46"/>
      <x:c r="B11" s="47"/>
      <x:c r="C11" s="47"/>
      <x:c r="D11" s="47"/>
      <x:c r="E11" s="47"/>
      <x:c r="F11" s="47"/>
      <x:c r="G11" s="47"/>
      <x:c r="H11" s="48"/>
      <x:c r="J11" s="74"/>
      <x:c r="K11" s="75"/>
      <x:c r="L11" s="75"/>
      <x:c r="M11" s="75"/>
      <x:c r="N11" s="76"/>
    </x:row>
    <x:row r="12">
      <x:c r="A12" s="46"/>
      <x:c r="B12" s="47"/>
      <x:c r="C12" s="47"/>
      <x:c r="D12" s="47"/>
      <x:c r="E12" s="47"/>
      <x:c r="F12" s="47"/>
      <x:c r="G12" s="47"/>
      <x:c r="H12" s="48"/>
      <x:c r="J12" s="74"/>
      <x:c r="K12" s="75"/>
      <x:c r="L12" s="75"/>
      <x:c r="M12" s="75"/>
      <x:c r="N12" s="76"/>
    </x:row>
    <x:row r="13">
      <x:c r="A13" s="49"/>
      <x:c r="B13" s="50"/>
      <x:c r="C13" s="50"/>
      <x:c r="D13" s="50"/>
      <x:c r="E13" s="50"/>
      <x:c r="F13" s="50"/>
      <x:c r="G13" s="50"/>
      <x:c r="H13" s="51"/>
      <x:c r="J13" s="77"/>
      <x:c r="K13" s="78"/>
      <x:c r="L13" s="78"/>
      <x:c r="M13" s="78"/>
      <x:c r="N13" s="79"/>
    </x:row>
    <x:row r="14"/>
    <x:row r="15">
      <x:c r="A15" s="83" t="str">
        <x:v>Prepared by Murat Miraç Gedik  |  Synthetic portfolio data  |  As of 30 June 2026
Use blue-font cells for editable inputs. Green-font cells link to other worksheets. Black-font cells are formulas.</x:v>
      </x:c>
      <x:c r="B15" s="83"/>
      <x:c r="C15" s="83"/>
      <x:c r="D15" s="83"/>
      <x:c r="E15" s="83"/>
      <x:c r="F15" s="83"/>
      <x:c r="G15" s="83"/>
      <x:c r="H15" s="83"/>
      <x:c r="I15" s="83"/>
      <x:c r="J15" s="83"/>
      <x:c r="K15" s="83"/>
      <x:c r="L15" s="83"/>
      <x:c r="M15" s="83"/>
      <x:c r="N15" s="83"/>
    </x:row>
    <x:row r="16">
      <x:c r="A16" s="83"/>
      <x:c r="B16" s="83"/>
      <x:c r="C16" s="83"/>
      <x:c r="D16" s="83"/>
      <x:c r="E16" s="83"/>
      <x:c r="F16" s="83"/>
      <x:c r="G16" s="83"/>
      <x:c r="H16" s="83"/>
      <x:c r="I16" s="83"/>
      <x:c r="J16" s="83"/>
      <x:c r="K16" s="83"/>
      <x:c r="L16" s="83"/>
      <x:c r="M16" s="83"/>
      <x:c r="N16" s="83"/>
    </x:row>
    <x:row r="17">
      <x:c r="A17" s="83"/>
      <x:c r="B17" s="83"/>
      <x:c r="C17" s="83"/>
      <x:c r="D17" s="83"/>
      <x:c r="E17" s="83"/>
      <x:c r="F17" s="83"/>
      <x:c r="G17" s="83"/>
      <x:c r="H17" s="83"/>
      <x:c r="I17" s="83"/>
      <x:c r="J17" s="83"/>
      <x:c r="K17" s="83"/>
      <x:c r="L17" s="83"/>
      <x:c r="M17" s="83"/>
      <x:c r="N17" s="83"/>
    </x:row>
    <x:row r="18">
      <x:c r="A18" s="83"/>
      <x:c r="B18" s="83"/>
      <x:c r="C18" s="83"/>
      <x:c r="D18" s="83"/>
      <x:c r="E18" s="83"/>
      <x:c r="F18" s="83"/>
      <x:c r="G18" s="83"/>
      <x:c r="H18" s="83"/>
      <x:c r="I18" s="83"/>
      <x:c r="J18" s="83"/>
      <x:c r="K18" s="83"/>
      <x:c r="L18" s="83"/>
      <x:c r="M18" s="83"/>
      <x:c r="N18" s="83"/>
    </x:row>
  </x:sheetData>
  <x:mergeCells>
    <x:mergeCell ref="A1:N4"/>
    <x:mergeCell ref="A5:N5"/>
    <x:mergeCell ref="A7:H13"/>
    <x:mergeCell ref="J7:N13"/>
    <x:mergeCell ref="A15:N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5" customHeight="1">
      <x:c r="A1" s="3" t="str">
        <x:v>Executive FP&amp;A Dashboard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5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</x:row>
    <x:row r="3" ht="15" hidden="0" customHeight="1">
      <x:c r="A3" s="6" t="str">
        <x:v>FY2026 budget, Q2 rolling forecast and scenario decision support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</x:row>
    <x:row r="4"/>
    <x:row r="5" ht="15" hidden="0" customHeight="1">
      <x:c r="A5" s="134" t="str">
        <x:v>FY2026 Forecast Revenue</x:v>
      </x:c>
      <x:c r="B5" s="135"/>
      <x:c r="C5" s="136"/>
      <x:c r="D5" s="134" t="str">
        <x:v>FY2026 Forecast EBITDA</x:v>
      </x:c>
      <x:c r="E5" s="135"/>
      <x:c r="F5" s="136"/>
      <x:c r="G5" s="134" t="str">
        <x:v>EBITDA Margin</x:v>
      </x:c>
      <x:c r="H5" s="135"/>
      <x:c r="I5" s="136"/>
      <x:c r="J5" s="134" t="str">
        <x:v>Forecast vs Budget Revenue</x:v>
      </x:c>
      <x:c r="K5" s="135"/>
      <x:c r="L5" s="136"/>
    </x:row>
    <x:row r="6">
      <x:c r="A6" s="155" t="n">
        <x:f>'Income Statement'!F6</x:f>
        <x:v>1790.8121778</x:v>
      </x:c>
      <x:c r="B6" s="156"/>
      <x:c r="C6" s="157"/>
      <x:c r="D6" s="182" t="n">
        <x:f>'Income Statement'!F11</x:f>
        <x:v>164.38105140000008</x:v>
      </x:c>
      <x:c r="E6" s="183"/>
      <x:c r="F6" s="184"/>
      <x:c r="G6" s="209" t="n">
        <x:f>'Income Statement'!F12</x:f>
        <x:v>0.09179134106734801</x:v>
      </x:c>
      <x:c r="H6" s="210"/>
      <x:c r="I6" s="211"/>
      <x:c r="J6" s="236" t="n">
        <x:f>'Income Statement'!G6</x:f>
        <x:v>-48.03454737000038</x:v>
      </x:c>
      <x:c r="K6" s="237"/>
      <x:c r="L6" s="238"/>
    </x:row>
    <x:row r="7">
      <x:c r="A7" s="158"/>
      <x:c r="B7" s="159"/>
      <x:c r="C7" s="160"/>
      <x:c r="D7" s="185"/>
      <x:c r="E7" s="186"/>
      <x:c r="F7" s="187"/>
      <x:c r="G7" s="212"/>
      <x:c r="H7" s="213"/>
      <x:c r="I7" s="214"/>
      <x:c r="J7" s="239"/>
      <x:c r="K7" s="240"/>
      <x:c r="L7" s="241"/>
    </x:row>
    <x:row r="8">
      <x:c r="A8" s="161"/>
      <x:c r="B8" s="162"/>
      <x:c r="C8" s="163"/>
      <x:c r="D8" s="188"/>
      <x:c r="E8" s="189"/>
      <x:c r="F8" s="190"/>
      <x:c r="G8" s="215"/>
      <x:c r="H8" s="216"/>
      <x:c r="I8" s="217"/>
      <x:c r="J8" s="242"/>
      <x:c r="K8" s="243"/>
      <x:c r="L8" s="244"/>
    </x:row>
    <x:row r="9"/>
    <x:row r="10"/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 ht="15" hidden="0" customHeight="1">
      <x:c r="A30" s="96" t="str">
        <x:v>Management Takeaways</x:v>
      </x:c>
      <x:c r="B30" s="96"/>
      <x:c r="C30" s="96"/>
      <x:c r="D30" s="96"/>
      <x:c r="E30" s="96"/>
      <x:c r="F30" s="96"/>
      <x:c r="G30" s="96"/>
      <x:c r="H30" s="96"/>
      <x:c r="I30" s="96"/>
      <x:c r="J30" s="96"/>
      <x:c r="K30" s="96"/>
      <x:c r="L30" s="96"/>
      <x:c r="M30" s="96"/>
      <x:c r="N30" s="96"/>
    </x:row>
    <x:row r="31">
      <x:c r="A31" s="263" t="str">
        <x:v>The Q2 rolling forecast expects FY2026 revenue to finish 2.6% below budget, while EBITDA remains above plan due to tighter operating-expense control. Gross-margin delivery and the working-capital gap are the principal management risks. The Base scenario preserves strong liquidity; Downside and Stress cases should trigger staged spend controls, collection actions and capex gating.</x:v>
      </x:c>
      <x:c r="B31" s="264"/>
      <x:c r="C31" s="264"/>
      <x:c r="D31" s="264"/>
      <x:c r="E31" s="264"/>
      <x:c r="F31" s="264"/>
      <x:c r="G31" s="264"/>
      <x:c r="H31" s="264"/>
      <x:c r="I31" s="264"/>
      <x:c r="J31" s="264"/>
      <x:c r="K31" s="264"/>
      <x:c r="L31" s="264"/>
      <x:c r="M31" s="264"/>
      <x:c r="N31" s="265"/>
    </x:row>
    <x:row r="32">
      <x:c r="A32" s="266"/>
      <x:c r="B32" s="267"/>
      <x:c r="C32" s="267"/>
      <x:c r="D32" s="267"/>
      <x:c r="E32" s="267"/>
      <x:c r="F32" s="267"/>
      <x:c r="G32" s="267"/>
      <x:c r="H32" s="267"/>
      <x:c r="I32" s="267"/>
      <x:c r="J32" s="267"/>
      <x:c r="K32" s="267"/>
      <x:c r="L32" s="267"/>
      <x:c r="M32" s="267"/>
      <x:c r="N32" s="268"/>
    </x:row>
    <x:row r="33">
      <x:c r="A33" s="266"/>
      <x:c r="B33" s="267"/>
      <x:c r="C33" s="267"/>
      <x:c r="D33" s="267"/>
      <x:c r="E33" s="267"/>
      <x:c r="F33" s="267"/>
      <x:c r="G33" s="267"/>
      <x:c r="H33" s="267"/>
      <x:c r="I33" s="267"/>
      <x:c r="J33" s="267"/>
      <x:c r="K33" s="267"/>
      <x:c r="L33" s="267"/>
      <x:c r="M33" s="267"/>
      <x:c r="N33" s="268"/>
    </x:row>
    <x:row r="34">
      <x:c r="A34" s="266"/>
      <x:c r="B34" s="267"/>
      <x:c r="C34" s="267"/>
      <x:c r="D34" s="267"/>
      <x:c r="E34" s="267"/>
      <x:c r="F34" s="267"/>
      <x:c r="G34" s="267"/>
      <x:c r="H34" s="267"/>
      <x:c r="I34" s="267"/>
      <x:c r="J34" s="267"/>
      <x:c r="K34" s="267"/>
      <x:c r="L34" s="267"/>
      <x:c r="M34" s="267"/>
      <x:c r="N34" s="268"/>
    </x:row>
    <x:row r="35">
      <x:c r="A35" s="266"/>
      <x:c r="B35" s="267"/>
      <x:c r="C35" s="267"/>
      <x:c r="D35" s="267"/>
      <x:c r="E35" s="267"/>
      <x:c r="F35" s="267"/>
      <x:c r="G35" s="267"/>
      <x:c r="H35" s="267"/>
      <x:c r="I35" s="267"/>
      <x:c r="J35" s="267"/>
      <x:c r="K35" s="267"/>
      <x:c r="L35" s="267"/>
      <x:c r="M35" s="267"/>
      <x:c r="N35" s="268"/>
    </x:row>
    <x:row r="36">
      <x:c r="A36" s="266"/>
      <x:c r="B36" s="267"/>
      <x:c r="C36" s="267"/>
      <x:c r="D36" s="267"/>
      <x:c r="E36" s="267"/>
      <x:c r="F36" s="267"/>
      <x:c r="G36" s="267"/>
      <x:c r="H36" s="267"/>
      <x:c r="I36" s="267"/>
      <x:c r="J36" s="267"/>
      <x:c r="K36" s="267"/>
      <x:c r="L36" s="267"/>
      <x:c r="M36" s="267"/>
      <x:c r="N36" s="268"/>
    </x:row>
    <x:row r="37">
      <x:c r="A37" s="269"/>
      <x:c r="B37" s="270"/>
      <x:c r="C37" s="270"/>
      <x:c r="D37" s="270"/>
      <x:c r="E37" s="270"/>
      <x:c r="F37" s="270"/>
      <x:c r="G37" s="270"/>
      <x:c r="H37" s="270"/>
      <x:c r="I37" s="270"/>
      <x:c r="J37" s="270"/>
      <x:c r="K37" s="270"/>
      <x:c r="L37" s="270"/>
      <x:c r="M37" s="270"/>
      <x:c r="N37" s="271"/>
    </x:row>
  </x:sheetData>
  <x:mergeCells>
    <x:mergeCell ref="A1:N2"/>
    <x:mergeCell ref="A3:N3"/>
    <x:mergeCell ref="A5:C5"/>
    <x:mergeCell ref="A6:C8"/>
    <x:mergeCell ref="D5:F5"/>
    <x:mergeCell ref="D6:F8"/>
    <x:mergeCell ref="G5:I5"/>
    <x:mergeCell ref="G6:I8"/>
    <x:mergeCell ref="J5:L5"/>
    <x:mergeCell ref="J6:L8"/>
    <x:mergeCell ref="A30:N30"/>
    <x:mergeCell ref="A31:N37"/>
  </x:mergeCells>
  <x:pageMargins left="0.7" right="0.7" top="0.75" bottom="0.75" header="0.3" footer="0.3"/>
  <x:drawing xmlns:r="http://schemas.openxmlformats.org/officeDocument/2006/relationships" r:id="R87606dbf2e71417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0" hidden="0" customWidth="1"/>
    <x:col min="3" max="3" width="4" hidden="0" customWidth="1"/>
    <x:col min="4" max="4" width="4" hidden="0" customWidth="1"/>
    <x:col min="6" max="6" width="25" hidden="0" customWidth="1"/>
    <x:col min="7" max="7" width="20" hidden="0" customWidth="1"/>
    <x:col min="8" max="8" width="20" hidden="0" customWidth="1"/>
    <x:col min="9" max="9" width="20" hidden="0" customWidth="1"/>
    <x:col min="10" max="10" width="4" hidden="0" customWidth="1"/>
    <x:col min="11" max="11" width="16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25" customHeight="1">
      <x:c r="A1" s="3" t="str">
        <x:v>Scenario Control Center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5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</x:row>
    <x:row r="3" ht="15" hidden="0" customHeight="1">
      <x:c r="A3" s="6" t="str">
        <x:v>Select a case and review its P&amp;L, liquidity and working-capital implications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</x:row>
    <x:row r="4"/>
    <x:row r="5" ht="15" hidden="0" customHeight="1">
      <x:c r="A5" s="96" t="str">
        <x:v>Scenario Selector</x:v>
      </x:c>
      <x:c r="B5" s="96"/>
      <x:c r="C5" s="96"/>
      <x:c r="D5" s="96"/>
      <x:c r="F5" s="96" t="str">
        <x:v>Selected Scenario Outputs</x:v>
      </x:c>
      <x:c r="G5" s="96"/>
      <x:c r="H5" s="96"/>
      <x:c r="I5" s="96"/>
      <x:c r="J5" s="96"/>
      <x:c r="K5" s="96"/>
      <x:c r="L5" s="96"/>
      <x:c r="M5" s="96"/>
      <x:c r="N5" s="96"/>
    </x:row>
    <x:row r="6" ht="15" hidden="0" customHeight="1">
      <x:c r="A6" s="90" t="str">
        <x:v>Selected Scenario</x:v>
      </x:c>
      <x:c r="B6" s="98" t="str">
        <x:v>Base</x:v>
      </x:c>
      <x:c r="F6" s="90" t="str">
        <x:v>Metric</x:v>
      </x:c>
      <x:c r="G6" s="90" t="str">
        <x:v>Selected Scenario</x:v>
      </x:c>
      <x:c r="H6" s="90" t="str">
        <x:v>Base Case</x:v>
      </x:c>
      <x:c r="I6" s="90" t="str">
        <x:v>Variance to Base</x:v>
      </x:c>
    </x:row>
    <x:row r="7" ht="15" hidden="0" customHeight="1">
      <x:c r="A7" s="86" t="str">
        <x:v>Revenue Multiplier</x:v>
      </x:c>
      <x:c r="B7" s="101" t="n">
        <x:f>SUMIF(Assumptions!$A$6:$A$9,$B$6,Assumptions!$B$6:$B$9)</x:f>
        <x:v>1</x:v>
      </x:c>
      <x:c r="C7" s="100"/>
      <x:c r="D7" s="100"/>
      <x:c r="F7" s="86" t="str">
        <x:v>Revenue</x:v>
      </x:c>
      <x:c r="G7" s="106" t="n">
        <x:f>SUMIF('Scenario Data'!$A$6:$A$9,$B$6,'Scenario Data'!$B$6:$B$9)</x:f>
        <x:v>1790.8121778</x:v>
      </x:c>
      <x:c r="H7" s="106" t="n">
        <x:f>SUMIF('Scenario Data'!$A$6:$A$9,"Base",'Scenario Data'!$B$6:$B$9)</x:f>
        <x:v>1790.8121778</x:v>
      </x:c>
      <x:c r="I7" s="103" t="n">
        <x:f>G7-H7</x:f>
        <x:v>0</x:v>
      </x:c>
      <x:c r="K7" s="90" t="str">
        <x:v>Scenario</x:v>
      </x:c>
      <x:c r="L7" s="90" t="str">
        <x:v>Revenue</x:v>
      </x:c>
      <x:c r="M7" s="90" t="str">
        <x:v>EBITDA</x:v>
      </x:c>
      <x:c r="N7" s="90" t="str">
        <x:v>Ending Cash</x:v>
      </x:c>
    </x:row>
    <x:row r="8" ht="15" hidden="0" customHeight="1">
      <x:c r="A8" s="86" t="str">
        <x:v>COGS Ratio Multiplier</x:v>
      </x:c>
      <x:c r="B8" s="101" t="n">
        <x:f>SUMIF(Assumptions!$A$6:$A$9,$B$6,Assumptions!$C$6:$C$9)</x:f>
        <x:v>1</x:v>
      </x:c>
      <x:c r="C8" s="100"/>
      <x:c r="D8" s="100"/>
      <x:c r="F8" s="86" t="str">
        <x:v>Gross Profit</x:v>
      </x:c>
      <x:c r="G8" s="106" t="n">
        <x:f>SUMIF('Scenario Data'!$A$6:$A$9,$B$6,'Scenario Data'!$C$6:$C$9)</x:f>
        <x:v>904.91482528</x:v>
      </x:c>
      <x:c r="H8" s="106" t="n">
        <x:f>SUMIF('Scenario Data'!$A$6:$A$9,"Base",'Scenario Data'!$C$6:$C$9)</x:f>
        <x:v>904.91482528</x:v>
      </x:c>
      <x:c r="I8" s="103" t="n">
        <x:f>G8-H8</x:f>
        <x:v>0</x:v>
      </x:c>
      <x:c r="K8" s="86" t="str">
        <x:v>Upside</x:v>
      </x:c>
      <x:c r="L8" s="103" t="n">
        <x:v>1876.74904924</x:v>
      </x:c>
      <x:c r="M8" s="103" t="n">
        <x:v>206.25580812</x:v>
      </x:c>
      <x:c r="N8" s="103" t="n">
        <x:v>293.28697947</x:v>
      </x:c>
    </x:row>
    <x:row r="9" ht="15" hidden="0" customHeight="1">
      <x:c r="A9" s="86" t="str">
        <x:v>Opex Multiplier</x:v>
      </x:c>
      <x:c r="B9" s="101" t="n">
        <x:f>SUMIF(Assumptions!$A$6:$A$9,$B$6,Assumptions!$D$6:$D$9)</x:f>
        <x:v>1</x:v>
      </x:c>
      <x:c r="C9" s="100"/>
      <x:c r="D9" s="100"/>
      <x:c r="F9" s="86" t="str">
        <x:v>EBITDA</x:v>
      </x:c>
      <x:c r="G9" s="106" t="n">
        <x:f>SUMIF('Scenario Data'!$A$6:$A$9,$B$6,'Scenario Data'!$D$6:$D$9)</x:f>
        <x:v>164.38105140000002</x:v>
      </x:c>
      <x:c r="H9" s="106" t="n">
        <x:f>SUMIF('Scenario Data'!$A$6:$A$9,"Base",'Scenario Data'!$D$6:$D$9)</x:f>
        <x:v>164.38105140000002</x:v>
      </x:c>
      <x:c r="I9" s="103" t="n">
        <x:f>G9-H9</x:f>
        <x:v>0</x:v>
      </x:c>
      <x:c r="K9" s="86" t="str">
        <x:v>Base</x:v>
      </x:c>
      <x:c r="L9" s="103" t="n">
        <x:v>1790.8121778</x:v>
      </x:c>
      <x:c r="M9" s="103" t="n">
        <x:v>164.38105140000002</x:v>
      </x:c>
      <x:c r="N9" s="103" t="n">
        <x:v>245.62902581</x:v>
      </x:c>
    </x:row>
    <x:row r="10" ht="15" hidden="0" customHeight="1">
      <x:c r="A10" s="86" t="str">
        <x:v>DSO Delta</x:v>
      </x:c>
      <x:c r="B10" s="102" t="n">
        <x:f>SUMIF(Assumptions!$A$6:$A$9,$B$6,Assumptions!$E$6:$E$9)</x:f>
        <x:v>0</x:v>
      </x:c>
      <x:c r="C10" s="100"/>
      <x:c r="D10" s="100"/>
      <x:c r="F10" s="86" t="str">
        <x:v>EBITDA Margin</x:v>
      </x:c>
      <x:c r="G10" s="101" t="n">
        <x:f>SUMIF('Scenario Data'!$A$6:$A$9,$B$6,'Scenario Data'!$G$6:$G$9)</x:f>
        <x:v>0.091791</x:v>
      </x:c>
      <x:c r="H10" s="101" t="n">
        <x:f>SUMIF('Scenario Data'!$A$6:$A$9,"Base",'Scenario Data'!$G$6:$G$9)</x:f>
        <x:v>0.091791</x:v>
      </x:c>
      <x:c r="I10" s="104" t="n">
        <x:f>G10-H10</x:f>
        <x:v>0</x:v>
      </x:c>
      <x:c r="K10" s="86" t="str">
        <x:v>Downside</x:v>
      </x:c>
      <x:c r="L10" s="103" t="n">
        <x:v>1695.32676509</x:v>
      </x:c>
      <x:c r="M10" s="103" t="n">
        <x:v>118.54125289</x:v>
      </x:c>
      <x:c r="N10" s="103" t="n">
        <x:v>185.60080772</x:v>
      </x:c>
    </x:row>
    <x:row r="11" ht="15" hidden="0" customHeight="1">
      <x:c r="A11" s="86" t="str">
        <x:v>DIO Delta</x:v>
      </x:c>
      <x:c r="B11" s="102" t="n">
        <x:f>SUMIF(Assumptions!$A$6:$A$9,$B$6,Assumptions!$F$6:$F$9)</x:f>
        <x:v>0</x:v>
      </x:c>
      <x:c r="C11" s="100"/>
      <x:c r="D11" s="100"/>
      <x:c r="F11" s="86" t="str">
        <x:v>Net Income</x:v>
      </x:c>
      <x:c r="G11" s="106" t="n">
        <x:f>SUMIF('Scenario Data'!$A$6:$A$9,$B$6,'Scenario Data'!$E$6:$E$9)</x:f>
        <x:v>107.36642089</x:v>
      </x:c>
      <x:c r="H11" s="106" t="n">
        <x:f>SUMIF('Scenario Data'!$A$6:$A$9,"Base",'Scenario Data'!$E$6:$E$9)</x:f>
        <x:v>107.36642089</x:v>
      </x:c>
      <x:c r="I11" s="103" t="n">
        <x:f>G11-H11</x:f>
        <x:v>0</x:v>
      </x:c>
      <x:c r="K11" s="86" t="str">
        <x:v>Stress</x:v>
      </x:c>
      <x:c r="L11" s="103" t="n">
        <x:v>1599.84135239</x:v>
      </x:c>
      <x:c r="M11" s="103" t="n">
        <x:v>71.29683487</x:v>
      </x:c>
      <x:c r="N11" s="103" t="n">
        <x:v>115.87768392</x:v>
      </x:c>
    </x:row>
    <x:row r="12" ht="15" hidden="0" customHeight="1">
      <x:c r="A12" s="86" t="str">
        <x:v>DPO Delta</x:v>
      </x:c>
      <x:c r="B12" s="102" t="n">
        <x:f>SUMIF(Assumptions!$A$6:$A$9,$B$6,Assumptions!$G$6:$G$9)</x:f>
        <x:v>0</x:v>
      </x:c>
      <x:c r="C12" s="100"/>
      <x:c r="D12" s="100"/>
      <x:c r="F12" s="86" t="str">
        <x:v>Ending Cash</x:v>
      </x:c>
      <x:c r="G12" s="106" t="n">
        <x:f>SUMIF('Scenario Data'!$A$6:$A$9,$B$6,'Scenario Data'!$H$6:$H$9)</x:f>
        <x:v>245.62902581</x:v>
      </x:c>
      <x:c r="H12" s="106" t="n">
        <x:f>SUMIF('Scenario Data'!$A$6:$A$9,"Base",'Scenario Data'!$H$6:$H$9)</x:f>
        <x:v>245.62902581</x:v>
      </x:c>
      <x:c r="I12" s="103" t="n">
        <x:f>G12-H12</x:f>
        <x:v>0</x:v>
      </x:c>
    </x:row>
    <x:row r="13" ht="15" hidden="0" customHeight="1">
      <x:c r="A13" s="86" t="str">
        <x:v>Planning Status</x:v>
      </x:c>
      <x:c r="B13" s="99" t="str">
        <x:f>IF(B6="Stress","CONTINGENCY MODE",IF(B6="Downside","ACTION PLAN","OPERATING PLAN"))</x:f>
        <x:v>OPERATING PLAN</x:v>
      </x:c>
      <x:c r="C13" s="100"/>
      <x:c r="D13" s="100"/>
      <x:c r="F13" s="86" t="str">
        <x:v>Minimum Cash</x:v>
      </x:c>
      <x:c r="G13" s="106" t="n">
        <x:f>SUMIF('Scenario Data'!$A$6:$A$9,$B$6,'Scenario Data'!$I$6:$I$9)</x:f>
        <x:v>236.30381912</x:v>
      </x:c>
      <x:c r="H13" s="106" t="n">
        <x:f>SUMIF('Scenario Data'!$A$6:$A$9,"Base",'Scenario Data'!$I$6:$I$9)</x:f>
        <x:v>236.30381912</x:v>
      </x:c>
      <x:c r="I13" s="103" t="n">
        <x:f>G13-H13</x:f>
        <x:v>0</x:v>
      </x:c>
    </x:row>
    <x:row r="14" ht="15" hidden="0" customHeight="1">
      <x:c r="F14" s="86" t="str">
        <x:v>Cash Conversion Cycle</x:v>
      </x:c>
      <x:c r="G14" s="102" t="n">
        <x:f>SUMIF('Scenario Data'!$A$6:$A$9,$B$6,'Scenario Data'!$J$6:$J$9)</x:f>
        <x:v>45.85</x:v>
      </x:c>
      <x:c r="H14" s="102" t="n">
        <x:f>SUMIF('Scenario Data'!$A$6:$A$9,"Base",'Scenario Data'!$J$6:$J$9)</x:f>
        <x:v>45.85</x:v>
      </x:c>
      <x:c r="I14" s="105" t="n">
        <x:f>G14-H14</x:f>
        <x:v>0</x:v>
      </x:c>
    </x:row>
  </x:sheetData>
  <x:mergeCells>
    <x:mergeCell ref="A1:N2"/>
    <x:mergeCell ref="A3:N3"/>
    <x:mergeCell ref="A5:D5"/>
    <x:mergeCell ref="F5:N5"/>
  </x:mergeCells>
  <x:conditionalFormatting sqref="B13:B13">
    <x:cfRule type="containsText" dxfId="0" priority="1" operator="containsText" text="CONTINGENCY"/>
  </x:conditionalFormatting>
  <x:dataValidations count="1">
    <x:dataValidation type="list" sqref="B6">
      <x:formula1>"Base,Upside,Downside,Stress"</x:formula1>
    </x:dataValidation>
  </x:dataValidations>
  <x:pageMargins left="0.7" right="0.7" top="0.75" bottom="0.75" header="0.3" footer="0.3"/>
  <x:drawing xmlns:r="http://schemas.openxmlformats.org/officeDocument/2006/relationships" r:id="R60c53dc4c0564962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25" customHeight="1">
      <x:c r="A1" s="3" t="str">
        <x:v>Management Income Statement</x:v>
      </x:c>
      <x:c r="B1" s="3"/>
      <x:c r="C1" s="3"/>
      <x:c r="D1" s="3"/>
      <x:c r="E1" s="3"/>
      <x:c r="F1" s="3"/>
      <x:c r="G1" s="3"/>
      <x:c r="H1" s="3"/>
    </x:row>
    <x:row r="2" ht="25" customHeight="1">
      <x:c r="A2" s="3"/>
      <x:c r="B2" s="3"/>
      <x:c r="C2" s="3"/>
      <x:c r="D2" s="3"/>
      <x:c r="E2" s="3"/>
      <x:c r="F2" s="3"/>
      <x:c r="G2" s="3"/>
      <x:c r="H2" s="3"/>
    </x:row>
    <x:row r="3" ht="15" hidden="0" customHeight="1">
      <x:c r="A3" s="6" t="str">
        <x:v>Actual, budget and rolling forecast | TRY millions</x:v>
      </x:c>
      <x:c r="B3" s="6"/>
      <x:c r="C3" s="6"/>
      <x:c r="D3" s="6"/>
      <x:c r="E3" s="6"/>
      <x:c r="F3" s="6"/>
      <x:c r="G3" s="6"/>
      <x:c r="H3" s="6"/>
    </x:row>
    <x:row r="4"/>
    <x:row r="5" ht="15" hidden="0" customHeight="1">
      <x:c r="A5" s="90" t="str">
        <x:v>Line Item</x:v>
      </x:c>
      <x:c r="B5" s="90" t="str">
        <x:v>FY2024 Actual</x:v>
      </x:c>
      <x:c r="C5" s="90" t="str">
        <x:v>FY2025 Actual</x:v>
      </x:c>
      <x:c r="D5" s="90" t="str">
        <x:v>H1 2026 Actual</x:v>
      </x:c>
      <x:c r="E5" s="90" t="str">
        <x:v>FY2026 Budget</x:v>
      </x:c>
      <x:c r="F5" s="90" t="str">
        <x:v>FY2026 Forecast</x:v>
      </x:c>
      <x:c r="G5" s="90" t="str">
        <x:v>F vs B Var</x:v>
      </x:c>
      <x:c r="H5" s="90" t="str">
        <x:v>F vs B Var %</x:v>
      </x:c>
    </x:row>
    <x:row r="6" ht="15" hidden="0" customHeight="1">
      <x:c r="A6" s="120" t="str">
        <x:v>Revenue</x:v>
      </x:c>
      <x:c r="B6" s="122" t="n">
        <x:f>SUMIFS('P&amp;L Data'!$F$6:$F$77,'P&amp;L Data'!$P$6:$P$77,"Actual",'P&amp;L Data'!$T$6:$T$77,2024)</x:f>
        <x:v>1414.6112958500003</x:v>
      </x:c>
      <x:c r="C6" s="122" t="n">
        <x:f>SUMIFS('P&amp;L Data'!$F$6:$F$77,'P&amp;L Data'!$P$6:$P$77,"Actual",'P&amp;L Data'!$T$6:$T$77,2025)</x:f>
        <x:v>1611.0232288300003</x:v>
      </x:c>
      <x:c r="D6" s="122" t="n">
        <x:f>SUMIFS('P&amp;L Data'!$F$6:$F$77,'P&amp;L Data'!$P$6:$P$77,"Actual",'P&amp;L Data'!$T$6:$T$77,2026)</x:f>
        <x:v>835.95805073</x:v>
      </x:c>
      <x:c r="E6" s="122" t="n">
        <x:f>SUMIFS('P&amp;L Data'!$F$6:$F$77,'P&amp;L Data'!$P$6:$P$77,"Budget",'P&amp;L Data'!$T$6:$T$77,2026)</x:f>
        <x:v>1838.8467251700004</x:v>
      </x:c>
      <x:c r="F6" s="122" t="n">
        <x:f>SUMIFS('P&amp;L Data'!$F$6:$F$77,'P&amp;L Data'!$P$6:$P$77,"Forecast",'P&amp;L Data'!$T$6:$T$77,2026)</x:f>
        <x:v>1790.8121778</x:v>
      </x:c>
      <x:c r="G6" s="122" t="n">
        <x:f>F6-E6</x:f>
        <x:v>-48.03454737000038</x:v>
      </x:c>
      <x:c r="H6" s="122" t="n">
        <x:f>IFERROR(G6/ABS(E6),0)</x:f>
        <x:v>-0.026122105074070062</x:v>
      </x:c>
    </x:row>
    <x:row r="7" ht="15" hidden="0" customHeight="1">
      <x:c r="A7" s="111" t="str">
        <x:v>COGS</x:v>
      </x:c>
      <x:c r="B7" s="114" t="n">
        <x:f>SUMIFS('P&amp;L Data'!$B$6:$B$77,'P&amp;L Data'!$P$6:$P$77,"Actual",'P&amp;L Data'!$T$6:$T$77,2024)</x:f>
        <x:v>705.66639184</x:v>
      </x:c>
      <x:c r="C7" s="114" t="n">
        <x:f>SUMIFS('P&amp;L Data'!$B$6:$B$77,'P&amp;L Data'!$P$6:$P$77,"Actual",'P&amp;L Data'!$T$6:$T$77,2025)</x:f>
        <x:v>801.4081720600001</x:v>
      </x:c>
      <x:c r="D7" s="114" t="n">
        <x:f>SUMIFS('P&amp;L Data'!$B$6:$B$77,'P&amp;L Data'!$P$6:$P$77,"Actual",'P&amp;L Data'!$T$6:$T$77,2026)</x:f>
        <x:v>415.71592324999995</x:v>
      </x:c>
      <x:c r="E7" s="114" t="n">
        <x:f>SUMIFS('P&amp;L Data'!$B$6:$B$77,'P&amp;L Data'!$P$6:$P$77,"Budget",'P&amp;L Data'!$T$6:$T$77,2026)</x:f>
        <x:v>896.67141397</x:v>
      </x:c>
      <x:c r="F7" s="114" t="n">
        <x:f>SUMIFS('P&amp;L Data'!$B$6:$B$77,'P&amp;L Data'!$P$6:$P$77,"Forecast",'P&amp;L Data'!$T$6:$T$77,2026)</x:f>
        <x:v>885.8973525199999</x:v>
      </x:c>
      <x:c r="G7" s="114" t="n">
        <x:f>F7-E7</x:f>
        <x:v>-10.77406145000009</x:v>
      </x:c>
      <x:c r="H7" s="114" t="n">
        <x:f>IFERROR(G7/ABS(E7),0)</x:f>
        <x:v>-0.012015618299124856</x:v>
      </x:c>
    </x:row>
    <x:row r="8" ht="15" hidden="0" customHeight="1">
      <x:c r="A8" s="120" t="str">
        <x:v>Gross Profit</x:v>
      </x:c>
      <x:c r="B8" s="122" t="n">
        <x:f>SUMIFS('P&amp;L Data'!$H$6:$H$77,'P&amp;L Data'!$P$6:$P$77,"Actual",'P&amp;L Data'!$T$6:$T$77,2024)</x:f>
        <x:v>708.94490401</x:v>
      </x:c>
      <x:c r="C8" s="122" t="n">
        <x:f>SUMIFS('P&amp;L Data'!$H$6:$H$77,'P&amp;L Data'!$P$6:$P$77,"Actual",'P&amp;L Data'!$T$6:$T$77,2025)</x:f>
        <x:v>809.6150567699999</x:v>
      </x:c>
      <x:c r="D8" s="122" t="n">
        <x:f>SUMIFS('P&amp;L Data'!$H$6:$H$77,'P&amp;L Data'!$P$6:$P$77,"Actual",'P&amp;L Data'!$T$6:$T$77,2026)</x:f>
        <x:v>420.24212748</x:v>
      </x:c>
      <x:c r="E8" s="122" t="n">
        <x:f>SUMIFS('P&amp;L Data'!$H$6:$H$77,'P&amp;L Data'!$P$6:$P$77,"Budget",'P&amp;L Data'!$T$6:$T$77,2026)</x:f>
        <x:v>942.1753112</x:v>
      </x:c>
      <x:c r="F8" s="122" t="n">
        <x:f>SUMIFS('P&amp;L Data'!$H$6:$H$77,'P&amp;L Data'!$P$6:$P$77,"Forecast",'P&amp;L Data'!$T$6:$T$77,2026)</x:f>
        <x:v>904.9148252800001</x:v>
      </x:c>
      <x:c r="G8" s="122" t="n">
        <x:f>F8-E8</x:f>
        <x:v>-37.26048591999995</x:v>
      </x:c>
      <x:c r="H8" s="122" t="n">
        <x:f>IFERROR(G8/ABS(E8),0)</x:f>
        <x:v>-0.039547296004331926</x:v>
      </x:c>
    </x:row>
    <x:row r="9" ht="15" hidden="0" customHeight="1">
      <x:c r="A9" s="111" t="str">
        <x:v>Gross Margin</x:v>
      </x:c>
      <x:c r="B9" s="115" t="n">
        <x:f>B8/B6</x:f>
        <x:v>0.5011588031919503</x:v>
      </x:c>
      <x:c r="C9" s="115" t="n">
        <x:f>C8/C6</x:f>
        <x:v>0.5025471031587669</x:v>
      </x:c>
      <x:c r="D9" s="115" t="n">
        <x:f>D8/D6</x:f>
        <x:v>0.5027071957893386</x:v>
      </x:c>
      <x:c r="E9" s="115" t="n">
        <x:f>E8/E6</x:f>
        <x:v>0.5123729445763874</x:v>
      </x:c>
      <x:c r="F9" s="115" t="n">
        <x:f>F8/F6</x:f>
        <x:v>0.5053097340401613</x:v>
      </x:c>
      <x:c r="G9" s="115" t="n">
        <x:f>F9-E9</x:f>
        <x:v>-0.00706321053622605</x:v>
      </x:c>
      <x:c r="H9" s="115" t="n">
        <x:f>IFERROR(G9/ABS(E9),0)</x:f>
        <x:v>-0.013785291770364014</x:v>
      </x:c>
    </x:row>
    <x:row r="10" ht="15" hidden="0" customHeight="1">
      <x:c r="A10" s="111" t="str">
        <x:v>Operating Expense</x:v>
      </x:c>
      <x:c r="B10" s="114" t="n">
        <x:f>SUMIFS('P&amp;L Data'!$E$6:$E$77,'P&amp;L Data'!$P$6:$P$77,"Actual",'P&amp;L Data'!$T$6:$T$77,2024)</x:f>
        <x:v>586.05817415</x:v>
      </x:c>
      <x:c r="C10" s="114" t="n">
        <x:f>SUMIFS('P&amp;L Data'!$E$6:$E$77,'P&amp;L Data'!$P$6:$P$77,"Actual",'P&amp;L Data'!$T$6:$T$77,2025)</x:f>
        <x:v>667.27210174</x:v>
      </x:c>
      <x:c r="D10" s="114" t="n">
        <x:f>SUMIFS('P&amp;L Data'!$E$6:$E$77,'P&amp;L Data'!$P$6:$P$77,"Actual",'P&amp;L Data'!$T$6:$T$77,2026)</x:f>
        <x:v>363.20367584999997</x:v>
      </x:c>
      <x:c r="E10" s="114" t="n">
        <x:f>SUMIFS('P&amp;L Data'!$E$6:$E$77,'P&amp;L Data'!$P$6:$P$77,"Budget",'P&amp;L Data'!$T$6:$T$77,2026)</x:f>
        <x:v>783.4037233900001</x:v>
      </x:c>
      <x:c r="F10" s="114" t="n">
        <x:f>SUMIFS('P&amp;L Data'!$E$6:$E$77,'P&amp;L Data'!$P$6:$P$77,"Forecast",'P&amp;L Data'!$T$6:$T$77,2026)</x:f>
        <x:v>740.5337738799999</x:v>
      </x:c>
      <x:c r="G10" s="114" t="n">
        <x:f>F10-E10</x:f>
        <x:v>-42.8699495100002</x:v>
      </x:c>
      <x:c r="H10" s="114" t="n">
        <x:f>IFERROR(G10/ABS(E10),0)</x:f>
        <x:v>-0.054722677758653374</x:v>
      </x:c>
    </x:row>
    <x:row r="11" ht="15" hidden="0" customHeight="1">
      <x:c r="A11" s="127" t="str">
        <x:v>EBITDA</x:v>
      </x:c>
      <x:c r="B11" s="129" t="n">
        <x:f>SUMIFS('P&amp;L Data'!$I$6:$I$77,'P&amp;L Data'!$P$6:$P$77,"Actual",'P&amp;L Data'!$T$6:$T$77,2024)</x:f>
        <x:v>122.88672986000003</x:v>
      </x:c>
      <x:c r="C11" s="129" t="n">
        <x:f>SUMIFS('P&amp;L Data'!$I$6:$I$77,'P&amp;L Data'!$P$6:$P$77,"Actual",'P&amp;L Data'!$T$6:$T$77,2025)</x:f>
        <x:v>142.34295502999998</x:v>
      </x:c>
      <x:c r="D11" s="129" t="n">
        <x:f>SUMIFS('P&amp;L Data'!$I$6:$I$77,'P&amp;L Data'!$P$6:$P$77,"Actual",'P&amp;L Data'!$T$6:$T$77,2026)</x:f>
        <x:v>57.038451630000026</x:v>
      </x:c>
      <x:c r="E11" s="129" t="n">
        <x:f>SUMIFS('P&amp;L Data'!$I$6:$I$77,'P&amp;L Data'!$P$6:$P$77,"Budget",'P&amp;L Data'!$T$6:$T$77,2026)</x:f>
        <x:v>158.77158781</x:v>
      </x:c>
      <x:c r="F11" s="129" t="n">
        <x:f>SUMIFS('P&amp;L Data'!$I$6:$I$77,'P&amp;L Data'!$P$6:$P$77,"Forecast",'P&amp;L Data'!$T$6:$T$77,2026)</x:f>
        <x:v>164.38105140000008</x:v>
      </x:c>
      <x:c r="G11" s="129" t="n">
        <x:f>F11-E11</x:f>
        <x:v>5.609463590000075</x:v>
      </x:c>
      <x:c r="H11" s="129" t="n">
        <x:f>IFERROR(G11/ABS(E11),0)</x:f>
        <x:v>0.03533039926962783</x:v>
      </x:c>
    </x:row>
    <x:row r="12" ht="15" hidden="0" customHeight="1">
      <x:c r="A12" s="111" t="str">
        <x:v>EBITDA Margin</x:v>
      </x:c>
      <x:c r="B12" s="115" t="n">
        <x:f>B11/B6</x:f>
        <x:v>0.0868696087897141</x:v>
      </x:c>
      <x:c r="C12" s="115" t="n">
        <x:f>C11/C6</x:f>
        <x:v>0.08835561926278122</x:v>
      </x:c>
      <x:c r="D12" s="115" t="n">
        <x:f>D11/D6</x:f>
        <x:v>0.06823123669924731</x:v>
      </x:c>
      <x:c r="E12" s="115" t="n">
        <x:f>E11/E6</x:f>
        <x:v>0.08634302448200061</x:v>
      </x:c>
      <x:c r="F12" s="115" t="n">
        <x:f>F11/F6</x:f>
        <x:v>0.09179134106734801</x:v>
      </x:c>
      <x:c r="G12" s="115" t="n">
        <x:f>F12-E12</x:f>
        <x:v>0.005448316585347404</x:v>
      </x:c>
      <x:c r="H12" s="115" t="n">
        <x:f>IFERROR(G12/ABS(E12),0)</x:f>
        <x:v>0.06310083087815832</x:v>
      </x:c>
    </x:row>
    <x:row r="13" ht="15" hidden="0" customHeight="1">
      <x:c r="A13" s="111" t="str">
        <x:v>Depreciation</x:v>
      </x:c>
      <x:c r="B13" s="114" t="n">
        <x:f>SUMIFS('P&amp;L Data'!$C$6:$C$77,'P&amp;L Data'!$P$6:$P$77,"Actual",'P&amp;L Data'!$T$6:$T$77,2024)</x:f>
        <x:v>5.306666699999999</x:v>
      </x:c>
      <x:c r="C13" s="114" t="n">
        <x:f>SUMIFS('P&amp;L Data'!$C$6:$C$77,'P&amp;L Data'!$P$6:$P$77,"Actual",'P&amp;L Data'!$T$6:$T$77,2025)</x:f>
        <x:v>10.952708369999998</x:v>
      </x:c>
      <x:c r="D13" s="114" t="n">
        <x:f>SUMIFS('P&amp;L Data'!$C$6:$C$77,'P&amp;L Data'!$P$6:$P$77,"Actual",'P&amp;L Data'!$T$6:$T$77,2026)</x:f>
        <x:v>7.180000039999998</x:v>
      </x:c>
      <x:c r="E13" s="114" t="n">
        <x:f>SUMIFS('P&amp;L Data'!$C$6:$C$77,'P&amp;L Data'!$P$6:$P$77,"Budget",'P&amp;L Data'!$T$6:$T$77,2026)</x:f>
        <x:v>15.67708336</x:v>
      </x:c>
      <x:c r="F13" s="114" t="n">
        <x:f>SUMIFS('P&amp;L Data'!$C$6:$C$77,'P&amp;L Data'!$P$6:$P$77,"Forecast",'P&amp;L Data'!$T$6:$T$77,2026)</x:f>
        <x:v>15.506250079999996</x:v>
      </x:c>
      <x:c r="G13" s="114" t="n">
        <x:f>F13-E13</x:f>
        <x:v>-0.17083328000000364</x:v>
      </x:c>
      <x:c r="H13" s="114" t="n">
        <x:f>IFERROR(G13/ABS(E13),0)</x:f>
        <x:v>-0.010897006546248514</x:v>
      </x:c>
    </x:row>
    <x:row r="14" ht="15" hidden="0" customHeight="1">
      <x:c r="A14" s="111" t="str">
        <x:v>EBIT</x:v>
      </x:c>
      <x:c r="B14" s="114" t="n">
        <x:f>SUMIFS('P&amp;L Data'!$J$6:$J$77,'P&amp;L Data'!$P$6:$P$77,"Actual",'P&amp;L Data'!$T$6:$T$77,2024)</x:f>
        <x:v>117.58006316000001</x:v>
      </x:c>
      <x:c r="C14" s="114" t="n">
        <x:f>SUMIFS('P&amp;L Data'!$J$6:$J$77,'P&amp;L Data'!$P$6:$P$77,"Actual",'P&amp;L Data'!$T$6:$T$77,2025)</x:f>
        <x:v>131.39024665999997</x:v>
      </x:c>
      <x:c r="D14" s="114" t="n">
        <x:f>SUMIFS('P&amp;L Data'!$J$6:$J$77,'P&amp;L Data'!$P$6:$P$77,"Actual",'P&amp;L Data'!$T$6:$T$77,2026)</x:f>
        <x:v>49.858451590000016</x:v>
      </x:c>
      <x:c r="E14" s="114" t="n">
        <x:f>SUMIFS('P&amp;L Data'!$J$6:$J$77,'P&amp;L Data'!$P$6:$P$77,"Budget",'P&amp;L Data'!$T$6:$T$77,2026)</x:f>
        <x:v>143.09450445</x:v>
      </x:c>
      <x:c r="F14" s="114" t="n">
        <x:f>SUMIFS('P&amp;L Data'!$J$6:$J$77,'P&amp;L Data'!$P$6:$P$77,"Forecast",'P&amp;L Data'!$T$6:$T$77,2026)</x:f>
        <x:v>148.87480132000005</x:v>
      </x:c>
      <x:c r="G14" s="114" t="n">
        <x:f>F14-E14</x:f>
        <x:v>5.780296870000058</x:v>
      </x:c>
      <x:c r="H14" s="114" t="n">
        <x:f>IFERROR(G14/ABS(E14),0)</x:f>
        <x:v>0.04039496060465275</x:v>
      </x:c>
    </x:row>
    <x:row r="15" ht="15" hidden="0" customHeight="1">
      <x:c r="A15" s="111" t="str">
        <x:v>Interest</x:v>
      </x:c>
      <x:c r="B15" s="114" t="n">
        <x:f>SUMIFS('P&amp;L Data'!$D$6:$D$77,'P&amp;L Data'!$P$6:$P$77,"Actual",'P&amp;L Data'!$T$6:$T$77,2024)</x:f>
        <x:v>5.342399999999999</x:v>
      </x:c>
      <x:c r="C15" s="114" t="n">
        <x:f>SUMIFS('P&amp;L Data'!$D$6:$D$77,'P&amp;L Data'!$P$6:$P$77,"Actual",'P&amp;L Data'!$T$6:$T$77,2025)</x:f>
        <x:v>5.6629439999999995</x:v>
      </x:c>
      <x:c r="D15" s="114" t="n">
        <x:f>SUMIFS('P&amp;L Data'!$D$6:$D$77,'P&amp;L Data'!$P$6:$P$77,"Actual",'P&amp;L Data'!$T$6:$T$77,2026)</x:f>
        <x:v>3.0013603200000003</x:v>
      </x:c>
      <x:c r="E15" s="114" t="n">
        <x:f>SUMIFS('P&amp;L Data'!$D$6:$D$77,'P&amp;L Data'!$P$6:$P$77,"Budget",'P&amp;L Data'!$T$6:$T$77,2026)</x:f>
        <x:v>5.436426240000002</x:v>
      </x:c>
      <x:c r="F15" s="114" t="n">
        <x:f>SUMIFS('P&amp;L Data'!$D$6:$D$77,'P&amp;L Data'!$P$6:$P$77,"Forecast",'P&amp;L Data'!$T$6:$T$77,2026)</x:f>
        <x:v>5.719573440000001</x:v>
      </x:c>
      <x:c r="G15" s="114" t="n">
        <x:f>F15-E15</x:f>
        <x:v>0.28314719999999927</x:v>
      </x:c>
      <x:c r="H15" s="114" t="n">
        <x:f>IFERROR(G15/ABS(E15),0)</x:f>
        <x:v>0.052083333333333176</x:v>
      </x:c>
    </x:row>
    <x:row r="16" ht="15" hidden="0" customHeight="1">
      <x:c r="A16" s="111" t="str">
        <x:v>Tax</x:v>
      </x:c>
      <x:c r="B16" s="114" t="n">
        <x:f>SUMIFS('P&amp;L Data'!$G$6:$G$77,'P&amp;L Data'!$P$6:$P$77,"Actual",'P&amp;L Data'!$T$6:$T$77,2024)</x:f>
        <x:v>28.05941579</x:v>
      </x:c>
      <x:c r="C16" s="114" t="n">
        <x:f>SUMIFS('P&amp;L Data'!$G$6:$G$77,'P&amp;L Data'!$P$6:$P$77,"Actual",'P&amp;L Data'!$T$6:$T$77,2025)</x:f>
        <x:v>31.431825670000002</x:v>
      </x:c>
      <x:c r="D16" s="114" t="n">
        <x:f>SUMIFS('P&amp;L Data'!$G$6:$G$77,'P&amp;L Data'!$P$6:$P$77,"Actual",'P&amp;L Data'!$T$6:$T$77,2026)</x:f>
        <x:v>11.714272829999999</x:v>
      </x:c>
      <x:c r="E16" s="114" t="n">
        <x:f>SUMIFS('P&amp;L Data'!$G$6:$G$77,'P&amp;L Data'!$P$6:$P$77,"Budget",'P&amp;L Data'!$T$6:$T$77,2026)</x:f>
        <x:v>34.41451955</x:v>
      </x:c>
      <x:c r="F16" s="114" t="n">
        <x:f>SUMIFS('P&amp;L Data'!$G$6:$G$77,'P&amp;L Data'!$P$6:$P$77,"Forecast",'P&amp;L Data'!$T$6:$T$77,2026)</x:f>
        <x:v>35.788806990000005</x:v>
      </x:c>
      <x:c r="G16" s="114" t="n">
        <x:f>F16-E16</x:f>
        <x:v>1.3742874400000034</x:v>
      </x:c>
      <x:c r="H16" s="114" t="n">
        <x:f>IFERROR(G16/ABS(E16),0)</x:f>
        <x:v>0.03993336120829277</x:v>
      </x:c>
    </x:row>
    <x:row r="17" ht="15" hidden="0" customHeight="1">
      <x:c r="A17" s="120" t="str">
        <x:v>Net Income</x:v>
      </x:c>
      <x:c r="B17" s="122" t="n">
        <x:f>SUMIFS('P&amp;L Data'!$L$6:$L$77,'P&amp;L Data'!$P$6:$P$77,"Actual",'P&amp;L Data'!$T$6:$T$77,2024)</x:f>
        <x:v>84.17824737000002</x:v>
      </x:c>
      <x:c r="C17" s="122" t="n">
        <x:f>SUMIFS('P&amp;L Data'!$L$6:$L$77,'P&amp;L Data'!$P$6:$P$77,"Actual",'P&amp;L Data'!$T$6:$T$77,2025)</x:f>
        <x:v>94.29547698999998</x:v>
      </x:c>
      <x:c r="D17" s="122" t="n">
        <x:f>SUMIFS('P&amp;L Data'!$L$6:$L$77,'P&amp;L Data'!$P$6:$P$77,"Actual",'P&amp;L Data'!$T$6:$T$77,2026)</x:f>
        <x:v>35.14281844000001</x:v>
      </x:c>
      <x:c r="E17" s="122" t="n">
        <x:f>SUMIFS('P&amp;L Data'!$L$6:$L$77,'P&amp;L Data'!$P$6:$P$77,"Budget",'P&amp;L Data'!$T$6:$T$77,2026)</x:f>
        <x:v>103.24355865999999</x:v>
      </x:c>
      <x:c r="F17" s="122" t="n">
        <x:f>SUMIFS('P&amp;L Data'!$L$6:$L$77,'P&amp;L Data'!$P$6:$P$77,"Forecast",'P&amp;L Data'!$T$6:$T$77,2026)</x:f>
        <x:v>107.36642089000003</x:v>
      </x:c>
      <x:c r="G17" s="122" t="n">
        <x:f>F17-E17</x:f>
        <x:v>4.122862230000038</x:v>
      </x:c>
      <x:c r="H17" s="122" t="n">
        <x:f>IFERROR(G17/ABS(E17),0)</x:f>
        <x:v>0.039933360332700084</x:v>
      </x:c>
    </x:row>
  </x:sheetData>
  <x:mergeCells>
    <x:mergeCell ref="A1:H2"/>
    <x:mergeCell ref="A3:H3"/>
  </x:mergeCells>
  <x:conditionalFormatting sqref="H6:H17">
    <x:cfRule type="colorScale" priority="1">
      <x:colorScale>
        <x:cfvo type="min"/>
        <x:cfvo type="percentile" val="50"/>
        <x:cfvo type="max"/>
        <x:color rgb="FFFDECEC"/>
        <x:color rgb="FFFFF4D6"/>
        <x:color rgb="FFE8F7F1"/>
      </x:colorScale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18" hidden="0" customWidth="1"/>
    <x:col min="7" max="7" width="4" hidden="0" customWidth="1"/>
    <x:col min="8" max="8" width="4" hidden="0" customWidth="1"/>
  </x:cols>
  <x:sheetData>
    <x:row r="1" ht="25" customHeight="1">
      <x:c r="A1" s="3" t="str">
        <x:v>Budget vs Actual &amp; Forecast Variance</x:v>
      </x:c>
      <x:c r="B1" s="3"/>
      <x:c r="C1" s="3"/>
      <x:c r="D1" s="3"/>
      <x:c r="E1" s="3"/>
      <x:c r="F1" s="3"/>
      <x:c r="G1" s="3"/>
      <x:c r="H1" s="3"/>
    </x:row>
    <x:row r="2" ht="25" customHeight="1">
      <x:c r="A2" s="3"/>
      <x:c r="B2" s="3"/>
      <x:c r="C2" s="3"/>
      <x:c r="D2" s="3"/>
      <x:c r="E2" s="3"/>
      <x:c r="F2" s="3"/>
      <x:c r="G2" s="3"/>
      <x:c r="H2" s="3"/>
    </x:row>
    <x:row r="3" ht="15" hidden="0" customHeight="1">
      <x:c r="A3" s="6" t="str">
        <x:v>H1 actual performance and FY2026 rolling forecast gap</x:v>
      </x:c>
      <x:c r="B3" s="6"/>
      <x:c r="C3" s="6"/>
      <x:c r="D3" s="6"/>
      <x:c r="E3" s="6"/>
      <x:c r="F3" s="6"/>
      <x:c r="G3" s="6"/>
      <x:c r="H3" s="6"/>
    </x:row>
    <x:row r="4"/>
    <x:row r="5" ht="15" hidden="0" customHeight="1">
      <x:c r="A5" s="90" t="str">
        <x:v>Metric</x:v>
      </x:c>
      <x:c r="B5" s="90" t="str">
        <x:v>H1 Actual</x:v>
      </x:c>
      <x:c r="C5" s="90" t="str">
        <x:v>H1 Budget</x:v>
      </x:c>
      <x:c r="D5" s="90" t="str">
        <x:v>Variance</x:v>
      </x:c>
      <x:c r="E5" s="90" t="str">
        <x:v>Variance %</x:v>
      </x:c>
      <x:c r="F5" s="90" t="str">
        <x:v>Status</x:v>
      </x:c>
    </x:row>
    <x:row r="6" ht="15" hidden="0" customHeight="1">
      <x:c r="A6" s="86" t="str">
        <x:v>Revenue</x:v>
      </x:c>
      <x:c r="B6" s="106" t="n">
        <x:f>'Income Statement'!D6</x:f>
        <x:v>835.95805073</x:v>
      </x:c>
      <x:c r="C6" s="106" t="n">
        <x:f>SUMIFS('P&amp;L Data'!$F$6:$F$77,'P&amp;L Data'!$P$6:$P$77,"Budget",'P&amp;L Data'!$A$6:$A$77,"&gt;=2026-01-01",'P&amp;L Data'!$A$6:$A$77,"&lt;=2026-06-01")</x:f>
        <x:v>849.20110258</x:v>
      </x:c>
      <x:c r="D6" s="106" t="n">
        <x:f>B6-C6</x:f>
        <x:v>-13.243051850000029</x:v>
      </x:c>
      <x:c r="E6" s="104" t="n">
        <x:f>IFERROR(D6/ABS(C6),0)</x:f>
        <x:v>-0.015594718153056627</x:v>
      </x:c>
      <x:c r="F6" s="86" t="str">
        <x:f>IF(D6&gt;=0,"FAVORABLE","UNFAVORABLE")</x:f>
        <x:v>UNFAVORABLE</x:v>
      </x:c>
    </x:row>
    <x:row r="7" ht="15" hidden="0" customHeight="1">
      <x:c r="A7" s="86" t="str">
        <x:v>COGS</x:v>
      </x:c>
      <x:c r="B7" s="106" t="n">
        <x:f>'Income Statement'!D7</x:f>
        <x:v>415.71592324999995</x:v>
      </x:c>
      <x:c r="C7" s="106" t="n">
        <x:f>SUMIFS('P&amp;L Data'!$B$6:$B$77,'P&amp;L Data'!$P$6:$P$77,"Budget",'P&amp;L Data'!$A$6:$A$77,"&gt;=2026-01-01",'P&amp;L Data'!$A$6:$A$77,"&lt;=2026-06-01")</x:f>
        <x:v>415.59877091</x:v>
      </x:c>
      <x:c r="D7" s="106" t="n">
        <x:f>B7-C7</x:f>
        <x:v>0.11715233999996144</x:v>
      </x:c>
      <x:c r="E7" s="104" t="n">
        <x:f>IFERROR(D7/ABS(C7),0)</x:f>
        <x:v>0.00028188808100525247</x:v>
      </x:c>
      <x:c r="F7" s="86" t="str">
        <x:f>IF(D7&lt;=0,"FAVORABLE","UNFAVORABLE")</x:f>
        <x:v>UNFAVORABLE</x:v>
      </x:c>
    </x:row>
    <x:row r="8" ht="15" hidden="0" customHeight="1">
      <x:c r="A8" s="86" t="str">
        <x:v>Gross Profit</x:v>
      </x:c>
      <x:c r="B8" s="106" t="n">
        <x:f>'Income Statement'!D8</x:f>
        <x:v>420.24212748</x:v>
      </x:c>
      <x:c r="C8" s="106" t="n">
        <x:f>SUMIFS('P&amp;L Data'!$H$6:$H$77,'P&amp;L Data'!$P$6:$P$77,"Budget",'P&amp;L Data'!$A$6:$A$77,"&gt;=2026-01-01",'P&amp;L Data'!$A$6:$A$77,"&lt;=2026-06-01")</x:f>
        <x:v>433.60233166999996</x:v>
      </x:c>
      <x:c r="D8" s="106" t="n">
        <x:f>B8-C8</x:f>
        <x:v>-13.360204189999934</x:v>
      </x:c>
      <x:c r="E8" s="104" t="n">
        <x:f>IFERROR(D8/ABS(C8),0)</x:f>
        <x:v>-0.030812113344833053</x:v>
      </x:c>
      <x:c r="F8" s="86" t="str">
        <x:f>IF(D8&gt;=0,"FAVORABLE","UNFAVORABLE")</x:f>
        <x:v>UNFAVORABLE</x:v>
      </x:c>
    </x:row>
    <x:row r="9" ht="15" hidden="0" customHeight="1">
      <x:c r="A9" s="86" t="str">
        <x:v>Operating Expense</x:v>
      </x:c>
      <x:c r="B9" s="106" t="n">
        <x:f>'Income Statement'!D10</x:f>
        <x:v>363.20367584999997</x:v>
      </x:c>
      <x:c r="C9" s="106" t="n">
        <x:f>SUMIFS('P&amp;L Data'!$E$6:$E$77,'P&amp;L Data'!$P$6:$P$77,"Budget",'P&amp;L Data'!$A$6:$A$77,"&gt;=2026-01-01",'P&amp;L Data'!$A$6:$A$77,"&lt;=2026-06-01")</x:f>
        <x:v>381.70543249</x:v>
      </x:c>
      <x:c r="D9" s="106" t="n">
        <x:f>B9-C9</x:f>
        <x:v>-18.501756640000053</x:v>
      </x:c>
      <x:c r="E9" s="104" t="n">
        <x:f>IFERROR(D9/ABS(C9),0)</x:f>
        <x:v>-0.04847129504892432</x:v>
      </x:c>
      <x:c r="F9" s="86" t="str">
        <x:f>IF(D9&lt;=0,"FAVORABLE","UNFAVORABLE")</x:f>
        <x:v>FAVORABLE</x:v>
      </x:c>
    </x:row>
    <x:row r="10" ht="15" hidden="0" customHeight="1">
      <x:c r="A10" s="86" t="str">
        <x:v>EBITDA</x:v>
      </x:c>
      <x:c r="B10" s="106" t="n">
        <x:f>'Income Statement'!D11</x:f>
        <x:v>57.038451630000026</x:v>
      </x:c>
      <x:c r="C10" s="106" t="n">
        <x:f>SUMIFS('P&amp;L Data'!$I$6:$I$77,'P&amp;L Data'!$P$6:$P$77,"Budget",'P&amp;L Data'!$A$6:$A$77,"&gt;=2026-01-01",'P&amp;L Data'!$A$6:$A$77,"&lt;=2026-06-01")</x:f>
        <x:v>51.896899179999984</x:v>
      </x:c>
      <x:c r="D10" s="106" t="n">
        <x:f>B10-C10</x:f>
        <x:v>5.141552450000042</x:v>
      </x:c>
      <x:c r="E10" s="104" t="n">
        <x:f>IFERROR(D10/ABS(C10),0)</x:f>
        <x:v>0.09907244038159205</x:v>
      </x:c>
      <x:c r="F10" s="86" t="str">
        <x:f>IF(D10&gt;=0,"FAVORABLE","UNFAVORABLE")</x:f>
        <x:v>FAVORABLE</x:v>
      </x:c>
    </x:row>
    <x:row r="11" ht="15" hidden="0" customHeight="1">
      <x:c r="A11" s="86" t="str">
        <x:v>Depreciation</x:v>
      </x:c>
      <x:c r="B11" s="106" t="n">
        <x:f>'Income Statement'!D13</x:f>
        <x:v>7.180000039999998</x:v>
      </x:c>
      <x:c r="C11" s="106" t="n">
        <x:f>SUMIFS('P&amp;L Data'!$C$6:$C$77,'P&amp;L Data'!$P$6:$P$77,"Budget",'P&amp;L Data'!$A$6:$A$77,"&gt;=2026-01-01",'P&amp;L Data'!$A$6:$A$77,"&lt;=2026-06-01")</x:f>
        <x:v>7.24166668</x:v>
      </x:c>
      <x:c r="D11" s="106" t="n">
        <x:f>B11-C11</x:f>
        <x:v>-0.061666640000002104</x:v>
      </x:c>
      <x:c r="E11" s="104" t="n">
        <x:f>IFERROR(D11/ABS(C11),0)</x:f>
        <x:v>-0.008515531399741545</x:v>
      </x:c>
      <x:c r="F11" s="86" t="str">
        <x:f>IF(D11&lt;=0,"FAVORABLE","UNFAVORABLE")</x:f>
        <x:v>FAVORABLE</x:v>
      </x:c>
    </x:row>
    <x:row r="12" ht="15" hidden="0" customHeight="1">
      <x:c r="A12" s="86" t="str">
        <x:v>EBIT</x:v>
      </x:c>
      <x:c r="B12" s="106" t="n">
        <x:f>'Income Statement'!D14</x:f>
        <x:v>49.858451590000016</x:v>
      </x:c>
      <x:c r="C12" s="106" t="n">
        <x:f>SUMIFS('P&amp;L Data'!$J$6:$J$77,'P&amp;L Data'!$P$6:$P$77,"Budget",'P&amp;L Data'!$A$6:$A$77,"&gt;=2026-01-01",'P&amp;L Data'!$A$6:$A$77,"&lt;=2026-06-01")</x:f>
        <x:v>44.65523249999999</x:v>
      </x:c>
      <x:c r="D12" s="106" t="n">
        <x:f>B12-C12</x:f>
        <x:v>5.203219090000026</x:v>
      </x:c>
      <x:c r="E12" s="104" t="n">
        <x:f>IFERROR(D12/ABS(C12),0)</x:f>
        <x:v>0.11651980739323274</x:v>
      </x:c>
      <x:c r="F12" s="86" t="str">
        <x:f>IF(D12&gt;=0,"FAVORABLE","UNFAVORABLE")</x:f>
        <x:v>FAVORABLE</x:v>
      </x:c>
    </x:row>
    <x:row r="13" ht="15" hidden="0" customHeight="1">
      <x:c r="A13" s="86" t="str">
        <x:v>Interest</x:v>
      </x:c>
      <x:c r="B13" s="106" t="n">
        <x:f>'Income Statement'!D15</x:f>
        <x:v>3.0013603200000003</x:v>
      </x:c>
      <x:c r="C13" s="106" t="n">
        <x:f>SUMIFS('P&amp;L Data'!$D$6:$D$77,'P&amp;L Data'!$P$6:$P$77,"Budget",'P&amp;L Data'!$A$6:$A$77,"&gt;=2026-01-01",'P&amp;L Data'!$A$6:$A$77,"&lt;=2026-06-01")</x:f>
        <x:v>2.7182131200000006</x:v>
      </x:c>
      <x:c r="D13" s="106" t="n">
        <x:f>B13-C13</x:f>
        <x:v>0.2831471999999997</x:v>
      </x:c>
      <x:c r="E13" s="104" t="n">
        <x:f>IFERROR(D13/ABS(C13),0)</x:f>
        <x:v>0.10416666666666653</x:v>
      </x:c>
      <x:c r="F13" s="86" t="str">
        <x:f>IF(D13&lt;=0,"FAVORABLE","UNFAVORABLE")</x:f>
        <x:v>UNFAVORABLE</x:v>
      </x:c>
    </x:row>
    <x:row r="14" ht="15" hidden="0" customHeight="1">
      <x:c r="A14" s="86" t="str">
        <x:v>Tax</x:v>
      </x:c>
      <x:c r="B14" s="106" t="n">
        <x:f>'Income Statement'!D16</x:f>
        <x:v>11.714272829999999</x:v>
      </x:c>
      <x:c r="C14" s="106" t="n">
        <x:f>SUMIFS('P&amp;L Data'!$G$6:$G$77,'P&amp;L Data'!$P$6:$P$77,"Budget",'P&amp;L Data'!$A$6:$A$77,"&gt;=2026-01-01",'P&amp;L Data'!$A$6:$A$77,"&lt;=2026-06-01")</x:f>
        <x:v>10.48425483</x:v>
      </x:c>
      <x:c r="D14" s="106" t="n">
        <x:f>B14-C14</x:f>
        <x:v>1.2300179999999994</x:v>
      </x:c>
      <x:c r="E14" s="104" t="n">
        <x:f>IFERROR(D14/ABS(C14),0)</x:f>
        <x:v>0.11732049820845489</x:v>
      </x:c>
      <x:c r="F14" s="86" t="str">
        <x:f>IF(D14&lt;=0,"FAVORABLE","UNFAVORABLE")</x:f>
        <x:v>UNFAVORABLE</x:v>
      </x:c>
    </x:row>
    <x:row r="15" ht="15" hidden="0" customHeight="1">
      <x:c r="A15" s="86" t="str">
        <x:v>Net Income</x:v>
      </x:c>
      <x:c r="B15" s="106" t="n">
        <x:f>'Income Statement'!D17</x:f>
        <x:v>35.14281844000001</x:v>
      </x:c>
      <x:c r="C15" s="106" t="n">
        <x:f>SUMIFS('P&amp;L Data'!$L$6:$L$77,'P&amp;L Data'!$P$6:$P$77,"Budget",'P&amp;L Data'!$A$6:$A$77,"&gt;=2026-01-01",'P&amp;L Data'!$A$6:$A$77,"&lt;=2026-06-01")</x:f>
        <x:v>31.45276454999999</x:v>
      </x:c>
      <x:c r="D15" s="106" t="n">
        <x:f>B15-C15</x:f>
        <x:v>3.690053890000023</x:v>
      </x:c>
      <x:c r="E15" s="104" t="n">
        <x:f>IFERROR(D15/ABS(C15),0)</x:f>
        <x:v>0.11732049448734463</x:v>
      </x:c>
      <x:c r="F15" s="86" t="str">
        <x:f>IF(D15&gt;=0,"FAVORABLE","UNFAVORABLE")</x:f>
        <x:v>FAVORABLE</x:v>
      </x:c>
    </x:row>
    <x:row r="16"/>
    <x:row r="17"/>
    <x:row r="18" ht="15" hidden="0" customHeight="1">
      <x:c r="A18" s="96" t="str">
        <x:v>FY2026 Forecast-to-Budget EBITDA Bridge</x:v>
      </x:c>
      <x:c r="B18" s="96"/>
      <x:c r="C18" s="96"/>
      <x:c r="D18" s="96"/>
      <x:c r="E18" s="96"/>
      <x:c r="F18" s="96"/>
      <x:c r="G18" s="96"/>
      <x:c r="H18" s="96"/>
    </x:row>
    <x:row r="19" ht="15" hidden="0" customHeight="1">
      <x:c r="A19" s="90" t="str">
        <x:v>Bridge Item</x:v>
      </x:c>
      <x:c r="B19" s="90" t="str">
        <x:v>Impact (TRY)</x:v>
      </x:c>
    </x:row>
    <x:row r="20" ht="15" hidden="0" customHeight="1">
      <x:c r="A20" s="86" t="str">
        <x:v>FY2026 Budget EBITDA</x:v>
      </x:c>
      <x:c r="B20" s="103" t="n">
        <x:v>158.666</x:v>
      </x:c>
    </x:row>
    <x:row r="21" ht="15" hidden="0" customHeight="1">
      <x:c r="A21" s="86" t="str">
        <x:v>Volume Impact</x:v>
      </x:c>
      <x:c r="B21" s="103" t="n">
        <x:v>-27.859</x:v>
      </x:c>
    </x:row>
    <x:row r="22" ht="15" hidden="0" customHeight="1">
      <x:c r="A22" s="86" t="str">
        <x:v>Price &amp; Mix Impact</x:v>
      </x:c>
      <x:c r="B22" s="103" t="n">
        <x:v>-20.175</x:v>
      </x:c>
    </x:row>
    <x:row r="23" ht="15" hidden="0" customHeight="1">
      <x:c r="A23" s="86" t="str">
        <x:v>Gross Margin / COGS Impact</x:v>
      </x:c>
      <x:c r="B23" s="103" t="n">
        <x:v>10.774</x:v>
      </x:c>
    </x:row>
    <x:row r="24" ht="15" hidden="0" customHeight="1">
      <x:c r="A24" s="86" t="str">
        <x:v>Payroll Impact</x:v>
      </x:c>
      <x:c r="B24" s="103" t="n">
        <x:v>5.545</x:v>
      </x:c>
    </x:row>
    <x:row r="25" ht="15" hidden="0" customHeight="1">
      <x:c r="A25" s="86" t="str">
        <x:v>Marketing Impact</x:v>
      </x:c>
      <x:c r="B25" s="103" t="n">
        <x:v>4.154</x:v>
      </x:c>
    </x:row>
    <x:row r="26" ht="15" hidden="0" customHeight="1">
      <x:c r="A26" s="86" t="str">
        <x:v>FY2026 Rolling Forecast EBITDA</x:v>
      </x:c>
      <x:c r="B26" s="103" t="n">
        <x:v>164.381</x:v>
      </x:c>
    </x:row>
  </x:sheetData>
  <x:mergeCells>
    <x:mergeCell ref="A1:H2"/>
    <x:mergeCell ref="A3:H3"/>
    <x:mergeCell ref="A18:H18"/>
  </x:mergeCells>
  <x:conditionalFormatting sqref="F6:F15">
    <x:cfRule type="containsText" dxfId="1" priority="1" operator="containsText" text="FAVORABLE"/>
    <x:cfRule type="containsText" dxfId="2" priority="2" operator="containsText" text="UNFAVORABLE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5" hidden="0" customWidth="1"/>
  </x:cols>
  <x:sheetData>
    <x:row r="1" ht="25" customHeight="1">
      <x:c r="A1" s="3" t="str">
        <x:v>Rolling Forecast | FY2026</x:v>
      </x:c>
      <x:c r="B1" s="3"/>
      <x:c r="C1" s="3"/>
      <x:c r="D1" s="3"/>
      <x:c r="E1" s="3"/>
      <x:c r="F1" s="3"/>
      <x:c r="G1" s="3"/>
      <x:c r="H1" s="3"/>
      <x:c r="I1" s="3"/>
    </x:row>
    <x:row r="2" ht="25" customHeight="1">
      <x:c r="A2" s="3"/>
      <x:c r="B2" s="3"/>
      <x:c r="C2" s="3"/>
      <x:c r="D2" s="3"/>
      <x:c r="E2" s="3"/>
      <x:c r="F2" s="3"/>
      <x:c r="G2" s="3"/>
      <x:c r="H2" s="3"/>
      <x:c r="I2" s="3"/>
    </x:row>
    <x:row r="3" ht="15" hidden="0" customHeight="1">
      <x:c r="A3" s="6" t="str">
        <x:v>Monthly budget, forecast, EBITDA and liquidity outlook</x:v>
      </x:c>
      <x:c r="B3" s="6"/>
      <x:c r="C3" s="6"/>
      <x:c r="D3" s="6"/>
      <x:c r="E3" s="6"/>
      <x:c r="F3" s="6"/>
      <x:c r="G3" s="6"/>
      <x:c r="H3" s="6"/>
      <x:c r="I3" s="6"/>
    </x:row>
    <x:row r="4"/>
    <x:row r="5" ht="15" hidden="0" customHeight="1">
      <x:c r="A5" s="90" t="str">
        <x:v>Month</x:v>
      </x:c>
      <x:c r="B5" s="90" t="str">
        <x:v>Budget Revenue</x:v>
      </x:c>
      <x:c r="C5" s="90" t="str">
        <x:v>Forecast Revenue</x:v>
      </x:c>
      <x:c r="D5" s="90" t="str">
        <x:v>Revenue Var</x:v>
      </x:c>
      <x:c r="E5" s="90" t="str">
        <x:v>Budget EBITDA</x:v>
      </x:c>
      <x:c r="F5" s="90" t="str">
        <x:v>Forecast EBITDA</x:v>
      </x:c>
      <x:c r="G5" s="90" t="str">
        <x:v>EBITDA Var</x:v>
      </x:c>
      <x:c r="H5" s="90" t="str">
        <x:v>Ending Cash</x:v>
      </x:c>
      <x:c r="I5" s="90" t="str">
        <x:v>CCC Days</x:v>
      </x:c>
    </x:row>
    <x:row r="6" ht="15" hidden="0" customHeight="1">
      <x:c r="A6" s="86" t="str">
        <x:v>2026-01-01</x:v>
      </x:c>
      <x:c r="B6" s="106" t="n">
        <x:f>'Dashboard Data'!B6</x:f>
        <x:v>123.35455284999999</x:v>
      </x:c>
      <x:c r="C6" s="106" t="n">
        <x:f>'Dashboard Data'!C6</x:f>
        <x:v>124.15170402</x:v>
      </x:c>
      <x:c r="D6" s="106" t="n">
        <x:f>C6-B6</x:f>
        <x:v>0.7971511700000065</x:v>
      </x:c>
      <x:c r="E6" s="106" t="n">
        <x:f>'Dashboard Data'!D6</x:f>
        <x:v>2.35440986999999</x:v>
      </x:c>
      <x:c r="F6" s="106" t="n">
        <x:f>'Dashboard Data'!E6</x:f>
        <x:v>4.395871299999997</x:v>
      </x:c>
      <x:c r="G6" s="106" t="n">
        <x:f>F6-E6</x:f>
        <x:v>2.041461430000007</x:v>
      </x:c>
      <x:c r="H6" s="106" t="n">
        <x:f>SUMIFS('Cash Data'!$H$6:$H$77,'Cash Data'!$A$6:$A$77,$A6,'Cash Data'!$B$6:$B$77,"Forecast")</x:f>
        <x:v>248.47962308</x:v>
      </x:c>
      <x:c r="I6" s="102" t="n">
        <x:f>SUMIFS('WC Data'!$F$6:$F$77,'WC Data'!$A$6:$A$77,$A6,'WC Data'!$B$6:$B$77,"Forecast")</x:f>
        <x:v>43</x:v>
      </x:c>
    </x:row>
    <x:row r="7" ht="15" hidden="0" customHeight="1">
      <x:c r="A7" s="86" t="str">
        <x:v>2026-02-01</x:v>
      </x:c>
      <x:c r="B7" s="106" t="n">
        <x:f>'Dashboard Data'!B7</x:f>
        <x:v>128.01089502</x:v>
      </x:c>
      <x:c r="C7" s="106" t="n">
        <x:f>'Dashboard Data'!C7</x:f>
        <x:v>127.34601756</x:v>
      </x:c>
      <x:c r="D7" s="106" t="n">
        <x:f>C7-B7</x:f>
        <x:v>-0.6648774599999854</x:v>
      </x:c>
      <x:c r="E7" s="106" t="n">
        <x:f>'Dashboard Data'!D7</x:f>
        <x:v>2.256037879999995</x:v>
      </x:c>
      <x:c r="F7" s="106" t="n">
        <x:f>'Dashboard Data'!E7</x:f>
        <x:v>4.994220830000006</x:v>
      </x:c>
      <x:c r="G7" s="106" t="n">
        <x:f>F7-E7</x:f>
        <x:v>2.7381829500000108</x:v>
      </x:c>
      <x:c r="H7" s="106" t="n">
        <x:f>SUMIFS('Cash Data'!$H$6:$H$77,'Cash Data'!$A$6:$A$77,$A7,'Cash Data'!$B$6:$B$77,"Forecast")</x:f>
        <x:v>229.41647435</x:v>
      </x:c>
      <x:c r="I7" s="102" t="n">
        <x:f>SUMIFS('WC Data'!$F$6:$F$77,'WC Data'!$A$6:$A$77,$A7,'WC Data'!$B$6:$B$77,"Forecast")</x:f>
        <x:v>43</x:v>
      </x:c>
    </x:row>
    <x:row r="8" ht="15" hidden="0" customHeight="1">
      <x:c r="A8" s="86" t="str">
        <x:v>2026-03-01</x:v>
      </x:c>
      <x:c r="B8" s="106" t="n">
        <x:f>'Dashboard Data'!B8</x:f>
        <x:v>145.50506318</x:v>
      </x:c>
      <x:c r="C8" s="106" t="n">
        <x:f>'Dashboard Data'!C8</x:f>
        <x:v>140.67192072999998</x:v>
      </x:c>
      <x:c r="D8" s="106" t="n">
        <x:f>C8-B8</x:f>
        <x:v>-4.833142450000025</x:v>
      </x:c>
      <x:c r="E8" s="106" t="n">
        <x:f>'Dashboard Data'!D8</x:f>
        <x:v>10.33264467000001</x:v>
      </x:c>
      <x:c r="F8" s="106" t="n">
        <x:f>'Dashboard Data'!E8</x:f>
        <x:v>10.881004679999993</x:v>
      </x:c>
      <x:c r="G8" s="106" t="n">
        <x:f>F8-E8</x:f>
        <x:v>0.5483600099999837</x:v>
      </x:c>
      <x:c r="H8" s="106" t="n">
        <x:f>SUMIFS('Cash Data'!$H$6:$H$77,'Cash Data'!$A$6:$A$77,$A8,'Cash Data'!$B$6:$B$77,"Forecast")</x:f>
        <x:v>233.08117614</x:v>
      </x:c>
      <x:c r="I8" s="102" t="n">
        <x:f>SUMIFS('WC Data'!$F$6:$F$77,'WC Data'!$A$6:$A$77,$A8,'WC Data'!$B$6:$B$77,"Forecast")</x:f>
        <x:v>43</x:v>
      </x:c>
    </x:row>
    <x:row r="9" ht="15" hidden="0" customHeight="1">
      <x:c r="A9" s="86" t="str">
        <x:v>2026-04-01</x:v>
      </x:c>
      <x:c r="B9" s="106" t="n">
        <x:f>'Dashboard Data'!B9</x:f>
        <x:v>147.99680145</x:v>
      </x:c>
      <x:c r="C9" s="106" t="n">
        <x:f>'Dashboard Data'!C9</x:f>
        <x:v>146.83694599</x:v>
      </x:c>
      <x:c r="D9" s="106" t="n">
        <x:f>C9-B9</x:f>
        <x:v>-1.1598554599999886</x:v>
      </x:c>
      <x:c r="E9" s="106" t="n">
        <x:f>'Dashboard Data'!D9</x:f>
        <x:v>11.33483373999998</x:v>
      </x:c>
      <x:c r="F9" s="106" t="n">
        <x:f>'Dashboard Data'!E9</x:f>
        <x:v>11.716259730000019</x:v>
      </x:c>
      <x:c r="G9" s="106" t="n">
        <x:f>F9-E9</x:f>
        <x:v>0.3814259900000394</x:v>
      </x:c>
      <x:c r="H9" s="106" t="n">
        <x:f>SUMIFS('Cash Data'!$H$6:$H$77,'Cash Data'!$A$6:$A$77,$A9,'Cash Data'!$B$6:$B$77,"Forecast")</x:f>
        <x:v>225.45752531</x:v>
      </x:c>
      <x:c r="I9" s="102" t="n">
        <x:f>SUMIFS('WC Data'!$F$6:$F$77,'WC Data'!$A$6:$A$77,$A9,'WC Data'!$B$6:$B$77,"Forecast")</x:f>
        <x:v>43</x:v>
      </x:c>
    </x:row>
    <x:row r="10" ht="15" hidden="0" customHeight="1">
      <x:c r="A10" s="86" t="str">
        <x:v>2026-05-01</x:v>
      </x:c>
      <x:c r="B10" s="106" t="n">
        <x:f>'Dashboard Data'!B10</x:f>
        <x:v>150.11665496</x:v>
      </x:c>
      <x:c r="C10" s="106" t="n">
        <x:f>'Dashboard Data'!C10</x:f>
        <x:v>147.50381466</x:v>
      </x:c>
      <x:c r="D10" s="106" t="n">
        <x:f>C10-B10</x:f>
        <x:v>-2.612840300000016</x:v>
      </x:c>
      <x:c r="E10" s="106" t="n">
        <x:f>'Dashboard Data'!D10</x:f>
        <x:v>12.04475331000001</x:v>
      </x:c>
      <x:c r="F10" s="106" t="n">
        <x:f>'Dashboard Data'!E10</x:f>
        <x:v>12.162139</x:v>
      </x:c>
      <x:c r="G10" s="106" t="n">
        <x:f>F10-E10</x:f>
        <x:v>0.1173856899999901</x:v>
      </x:c>
      <x:c r="H10" s="106" t="n">
        <x:f>SUMIFS('Cash Data'!$H$6:$H$77,'Cash Data'!$A$6:$A$77,$A10,'Cash Data'!$B$6:$B$77,"Forecast")</x:f>
        <x:v>236.41837757</x:v>
      </x:c>
      <x:c r="I10" s="102" t="n">
        <x:f>SUMIFS('WC Data'!$F$6:$F$77,'WC Data'!$A$6:$A$77,$A10,'WC Data'!$B$6:$B$77,"Forecast")</x:f>
        <x:v>43</x:v>
      </x:c>
    </x:row>
    <x:row r="11" ht="15" hidden="0" customHeight="1">
      <x:c r="A11" s="86" t="str">
        <x:v>2026-06-01</x:v>
      </x:c>
      <x:c r="B11" s="106" t="n">
        <x:f>'Dashboard Data'!B11</x:f>
        <x:v>154.21713512</x:v>
      </x:c>
      <x:c r="C11" s="106" t="n">
        <x:f>'Dashboard Data'!C11</x:f>
        <x:v>149.44764777</x:v>
      </x:c>
      <x:c r="D11" s="106" t="n">
        <x:f>C11-B11</x:f>
        <x:v>-4.7694873499999915</x:v>
      </x:c>
      <x:c r="E11" s="106" t="n">
        <x:f>'Dashboard Data'!D11</x:f>
        <x:v>13.574219710000001</x:v>
      </x:c>
      <x:c r="F11" s="106" t="n">
        <x:f>'Dashboard Data'!E11</x:f>
        <x:v>12.888956090000004</x:v>
      </x:c>
      <x:c r="G11" s="106" t="n">
        <x:f>F11-E11</x:f>
        <x:v>-0.6852636199999971</x:v>
      </x:c>
      <x:c r="H11" s="106" t="n">
        <x:f>SUMIFS('Cash Data'!$H$6:$H$77,'Cash Data'!$A$6:$A$77,$A11,'Cash Data'!$B$6:$B$77,"Forecast")</x:f>
        <x:v>232.83276668000002</x:v>
      </x:c>
      <x:c r="I11" s="102" t="n">
        <x:f>SUMIFS('WC Data'!$F$6:$F$77,'WC Data'!$A$6:$A$77,$A11,'WC Data'!$B$6:$B$77,"Forecast")</x:f>
        <x:v>43</x:v>
      </x:c>
    </x:row>
    <x:row r="12" ht="15" hidden="0" customHeight="1">
      <x:c r="A12" s="86" t="str">
        <x:v>2026-07-01</x:v>
      </x:c>
      <x:c r="B12" s="106" t="n">
        <x:f>'Dashboard Data'!B12</x:f>
        <x:v>145.97480799000002</x:v>
      </x:c>
      <x:c r="C12" s="106" t="n">
        <x:f>'Dashboard Data'!C12</x:f>
        <x:v>145.25930169999998</x:v>
      </x:c>
      <x:c r="D12" s="106" t="n">
        <x:f>C12-B12</x:f>
        <x:v>-0.715506290000036</x:v>
      </x:c>
      <x:c r="E12" s="106" t="n">
        <x:f>'Dashboard Data'!D12</x:f>
        <x:v>10.211983400000006</x:v>
      </x:c>
      <x:c r="F12" s="106" t="n">
        <x:f>'Dashboard Data'!E12</x:f>
        <x:v>13.022270769999988</x:v>
      </x:c>
      <x:c r="G12" s="106" t="n">
        <x:f>F12-E12</x:f>
        <x:v>2.8102873699999815</x:v>
      </x:c>
      <x:c r="H12" s="106" t="n">
        <x:f>SUMIFS('Cash Data'!$H$6:$H$77,'Cash Data'!$A$6:$A$77,$A12,'Cash Data'!$B$6:$B$77,"Forecast")</x:f>
        <x:v>249.28433859999998</x:v>
      </x:c>
      <x:c r="I12" s="102" t="n">
        <x:f>SUMIFS('WC Data'!$F$6:$F$77,'WC Data'!$A$6:$A$77,$A12,'WC Data'!$B$6:$B$77,"Forecast")</x:f>
        <x:v>43</x:v>
      </x:c>
    </x:row>
    <x:row r="13" ht="15" hidden="0" customHeight="1">
      <x:c r="A13" s="86" t="str">
        <x:v>2026-08-01</x:v>
      </x:c>
      <x:c r="B13" s="106" t="n">
        <x:f>'Dashboard Data'!B13</x:f>
        <x:v>141.03261813999998</x:v>
      </x:c>
      <x:c r="C13" s="106" t="n">
        <x:f>'Dashboard Data'!C13</x:f>
        <x:v>141.41465324</x:v>
      </x:c>
      <x:c r="D13" s="106" t="n">
        <x:f>C13-B13</x:f>
        <x:v>0.3820351000000244</x:v>
      </x:c>
      <x:c r="E13" s="106" t="n">
        <x:f>'Dashboard Data'!D13</x:f>
        <x:v>6.890343289999992</x:v>
      </x:c>
      <x:c r="F13" s="106" t="n">
        <x:f>'Dashboard Data'!E13</x:f>
        <x:v>9.822634290000021</x:v>
      </x:c>
      <x:c r="G13" s="106" t="n">
        <x:f>F13-E13</x:f>
        <x:v>2.9322910000000295</x:v>
      </x:c>
      <x:c r="H13" s="106" t="n">
        <x:f>SUMIFS('Cash Data'!$H$6:$H$77,'Cash Data'!$A$6:$A$77,$A13,'Cash Data'!$B$6:$B$77,"Forecast")</x:f>
        <x:v>256.74082131</x:v>
      </x:c>
      <x:c r="I13" s="102" t="n">
        <x:f>SUMIFS('WC Data'!$F$6:$F$77,'WC Data'!$A$6:$A$77,$A13,'WC Data'!$B$6:$B$77,"Forecast")</x:f>
        <x:v>43</x:v>
      </x:c>
    </x:row>
    <x:row r="14" ht="15" hidden="0" customHeight="1">
      <x:c r="A14" s="86" t="str">
        <x:v>2026-09-01</x:v>
      </x:c>
      <x:c r="B14" s="106" t="n">
        <x:f>'Dashboard Data'!B14</x:f>
        <x:v>160.77074397</x:v>
      </x:c>
      <x:c r="C14" s="106" t="n">
        <x:f>'Dashboard Data'!C14</x:f>
        <x:v>156.14103014</x:v>
      </x:c>
      <x:c r="D14" s="106" t="n">
        <x:f>C14-B14</x:f>
        <x:v>-4.629713830000014</x:v>
      </x:c>
      <x:c r="E14" s="106" t="n">
        <x:f>'Dashboard Data'!D14</x:f>
        <x:v>16.663433120000004</x:v>
      </x:c>
      <x:c r="F14" s="106" t="n">
        <x:f>'Dashboard Data'!E14</x:f>
        <x:v>15.786659569999992</x:v>
      </x:c>
      <x:c r="G14" s="106" t="n">
        <x:f>F14-E14</x:f>
        <x:v>-0.8767735500000118</x:v>
      </x:c>
      <x:c r="H14" s="106" t="n">
        <x:f>SUMIFS('Cash Data'!$H$6:$H$77,'Cash Data'!$A$6:$A$77,$A14,'Cash Data'!$B$6:$B$77,"Forecast")</x:f>
        <x:v>238.15181138</x:v>
      </x:c>
      <x:c r="I14" s="102" t="n">
        <x:f>SUMIFS('WC Data'!$F$6:$F$77,'WC Data'!$A$6:$A$77,$A14,'WC Data'!$B$6:$B$77,"Forecast")</x:f>
        <x:v>43</x:v>
      </x:c>
    </x:row>
    <x:row r="15" ht="15" hidden="0" customHeight="1">
      <x:c r="A15" s="86" t="str">
        <x:v>2026-10-01</x:v>
      </x:c>
      <x:c r="B15" s="106" t="n">
        <x:f>'Dashboard Data'!B15</x:f>
        <x:v>169.32750542</x:v>
      </x:c>
      <x:c r="C15" s="106" t="n">
        <x:f>'Dashboard Data'!C15</x:f>
        <x:v>162.19569739000002</x:v>
      </x:c>
      <x:c r="D15" s="106" t="n">
        <x:f>C15-B15</x:f>
        <x:v>-7.1318080299999735</x:v>
      </x:c>
      <x:c r="E15" s="106" t="n">
        <x:f>'Dashboard Data'!D15</x:f>
        <x:v>19.053607090000003</x:v>
      </x:c>
      <x:c r="F15" s="106" t="n">
        <x:f>'Dashboard Data'!E15</x:f>
        <x:v>19.519318170000016</x:v>
      </x:c>
      <x:c r="G15" s="106" t="n">
        <x:f>F15-E15</x:f>
        <x:v>0.4657110800000126</x:v>
      </x:c>
      <x:c r="H15" s="106" t="n">
        <x:f>SUMIFS('Cash Data'!$H$6:$H$77,'Cash Data'!$A$6:$A$77,$A15,'Cash Data'!$B$6:$B$77,"Forecast")</x:f>
        <x:v>227.18670786</x:v>
      </x:c>
      <x:c r="I15" s="102" t="n">
        <x:f>SUMIFS('WC Data'!$F$6:$F$77,'WC Data'!$A$6:$A$77,$A15,'WC Data'!$B$6:$B$77,"Forecast")</x:f>
        <x:v>48.7</x:v>
      </x:c>
    </x:row>
    <x:row r="16" ht="15" hidden="0" customHeight="1">
      <x:c r="A16" s="86" t="str">
        <x:v>2026-11-01</x:v>
      </x:c>
      <x:c r="B16" s="106" t="n">
        <x:f>'Dashboard Data'!B16</x:f>
        <x:v>179.39495583000001</x:v>
      </x:c>
      <x:c r="C16" s="106" t="n">
        <x:f>'Dashboard Data'!C16</x:f>
        <x:v>169.69751737</x:v>
      </x:c>
      <x:c r="D16" s="106" t="n">
        <x:f>C16-B16</x:f>
        <x:v>-9.69743846</x:v>
      </x:c>
      <x:c r="E16" s="106" t="n">
        <x:f>'Dashboard Data'!D16</x:f>
        <x:v>23.37832164</x:v>
      </x:c>
      <x:c r="F16" s="106" t="n">
        <x:f>'Dashboard Data'!E16</x:f>
        <x:v>22.11362082000001</x:v>
      </x:c>
      <x:c r="G16" s="106" t="n">
        <x:f>F16-E16</x:f>
        <x:v>-1.264700819999991</x:v>
      </x:c>
      <x:c r="H16" s="106" t="n">
        <x:f>SUMIFS('Cash Data'!$H$6:$H$77,'Cash Data'!$A$6:$A$77,$A16,'Cash Data'!$B$6:$B$77,"Forecast")</x:f>
        <x:v>223.85715248</x:v>
      </x:c>
      <x:c r="I16" s="102" t="n">
        <x:f>SUMIFS('WC Data'!$F$6:$F$77,'WC Data'!$A$6:$A$77,$A16,'WC Data'!$B$6:$B$77,"Forecast")</x:f>
        <x:v>48.7</x:v>
      </x:c>
    </x:row>
    <x:row r="17" ht="15" hidden="0" customHeight="1">
      <x:c r="A17" s="86" t="str">
        <x:v>2026-12-01</x:v>
      </x:c>
      <x:c r="B17" s="106" t="n">
        <x:f>'Dashboard Data'!B17</x:f>
        <x:v>193.14499124</x:v>
      </x:c>
      <x:c r="C17" s="106" t="n">
        <x:f>'Dashboard Data'!C17</x:f>
        <x:v>180.14592722999998</x:v>
      </x:c>
      <x:c r="D17" s="106" t="n">
        <x:f>C17-B17</x:f>
        <x:v>-12.999064010000012</x:v>
      </x:c>
      <x:c r="E17" s="106" t="n">
        <x:f>'Dashboard Data'!D17</x:f>
        <x:v>30.677000090000003</x:v>
      </x:c>
      <x:c r="F17" s="106" t="n">
        <x:f>'Dashboard Data'!E17</x:f>
        <x:v>27.07809614999999</x:v>
      </x:c>
      <x:c r="G17" s="106" t="n">
        <x:f>F17-E17</x:f>
        <x:v>-3.598903940000014</x:v>
      </x:c>
      <x:c r="H17" s="106" t="n">
        <x:f>SUMIFS('Cash Data'!$H$6:$H$77,'Cash Data'!$A$6:$A$77,$A17,'Cash Data'!$B$6:$B$77,"Forecast")</x:f>
        <x:v>233.18235916</x:v>
      </x:c>
      <x:c r="I17" s="102" t="n">
        <x:f>SUMIFS('WC Data'!$F$6:$F$77,'WC Data'!$A$6:$A$77,$A17,'WC Data'!$B$6:$B$77,"Forecast")</x:f>
        <x:v>48.7</x:v>
      </x:c>
    </x:row>
  </x:sheetData>
  <x:mergeCells>
    <x:mergeCell ref="A1:I2"/>
    <x:mergeCell ref="A3:I3"/>
  </x:mergeCells>
  <x:conditionalFormatting sqref="D6:D17">
    <x:cfRule type="colorScale" priority="1">
      <x:colorScale>
        <x:cfvo type="min"/>
        <x:cfvo type="percentile" val="50"/>
        <x:cfvo type="max"/>
        <x:color rgb="FFFDECEC"/>
        <x:color rgb="FFFFF4D6"/>
        <x:color rgb="FFE8F7F1"/>
      </x:colorScale>
    </x:cfRule>
  </x:conditionalFormatting>
  <x:pageMargins left="0.7" right="0.7" top="0.75" bottom="0.75" header="0.3" footer="0.3"/>
  <x:drawing xmlns:r="http://schemas.openxmlformats.org/officeDocument/2006/relationships" r:id="R9a2c066ec1c64617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5" hidden="0" customWidth="1"/>
    <x:col min="7" max="7" width="19" hidden="0" customWidth="1"/>
    <x:col min="8" max="8" width="15" hidden="0" customWidth="1"/>
  </x:cols>
  <x:sheetData>
    <x:row r="1" ht="25" customHeight="1">
      <x:c r="A1" s="3" t="str">
        <x:v>Revenue Driver Planning</x:v>
      </x:c>
      <x:c r="B1" s="3"/>
      <x:c r="C1" s="3"/>
      <x:c r="D1" s="3"/>
      <x:c r="E1" s="3"/>
      <x:c r="F1" s="3"/>
      <x:c r="G1" s="3"/>
      <x:c r="H1" s="3"/>
    </x:row>
    <x:row r="2" ht="25" customHeight="1">
      <x:c r="A2" s="3"/>
      <x:c r="B2" s="3"/>
      <x:c r="C2" s="3"/>
      <x:c r="D2" s="3"/>
      <x:c r="E2" s="3"/>
      <x:c r="F2" s="3"/>
      <x:c r="G2" s="3"/>
      <x:c r="H2" s="3"/>
    </x:row>
    <x:row r="3" ht="15" hidden="0" customHeight="1">
      <x:c r="A3" s="6" t="str">
        <x:v>FY2026 business-unit revenue, gross margin and EBITDA delivery</x:v>
      </x:c>
      <x:c r="B3" s="6"/>
      <x:c r="C3" s="6"/>
      <x:c r="D3" s="6"/>
      <x:c r="E3" s="6"/>
      <x:c r="F3" s="6"/>
      <x:c r="G3" s="6"/>
      <x:c r="H3" s="6"/>
    </x:row>
    <x:row r="4"/>
    <x:row r="5" ht="15" hidden="0" customHeight="1">
      <x:c r="A5" s="90" t="str">
        <x:v>Business Unit</x:v>
      </x:c>
      <x:c r="B5" s="90" t="str">
        <x:v>Budget Revenue</x:v>
      </x:c>
      <x:c r="C5" s="90" t="str">
        <x:v>Forecast Revenue</x:v>
      </x:c>
      <x:c r="D5" s="90" t="str">
        <x:v>Variance</x:v>
      </x:c>
      <x:c r="E5" s="90" t="str">
        <x:v>Forecast Gross Profit</x:v>
      </x:c>
      <x:c r="F5" s="90" t="str">
        <x:v>Gross Margin</x:v>
      </x:c>
      <x:c r="G5" s="90" t="str">
        <x:v>Forecast EBITDA</x:v>
      </x:c>
      <x:c r="H5" s="90" t="str">
        <x:v>EBITDA Margin</x:v>
      </x:c>
    </x:row>
    <x:row r="6" ht="15" hidden="0" customHeight="1">
      <x:c r="A6" s="86" t="str">
        <x:v>Digital Commerce</x:v>
      </x:c>
      <x:c r="B6" s="106" t="n">
        <x:f>SUMIFS('BU Data'!$G$6:$G$365,'BU Data'!$B$6:$B$365,$A6,'BU Data'!$Q$6:$Q$365,"Budget",'BU Data'!$R$6:$R$365,2026)</x:f>
        <x:v>818.5432772199999</x:v>
      </x:c>
      <x:c r="C6" s="106" t="n">
        <x:f>SUMIFS('BU Data'!$G$6:$G$365,'BU Data'!$B$6:$B$365,$A6,'BU Data'!$Q$6:$Q$365,"Forecast",'BU Data'!$R$6:$R$365,2026)</x:f>
        <x:v>788.3414931199999</x:v>
      </x:c>
      <x:c r="D6" s="106" t="n">
        <x:f>C6-B6</x:f>
        <x:v>-30.201784100000054</x:v>
      </x:c>
      <x:c r="E6" s="106" t="n">
        <x:f>SUMIFS('BU Data'!$I$6:$I$365,'BU Data'!$B$6:$B$365,$A6,'BU Data'!$Q$6:$Q$365,"Forecast",'BU Data'!$R$6:$R$365,2026)</x:f>
        <x:v>426.60115538</x:v>
      </x:c>
      <x:c r="F6" s="104" t="n">
        <x:f>IFERROR(E6/C6,0)</x:f>
        <x:v>0.5411375135052844</x:v>
      </x:c>
      <x:c r="G6" s="106" t="n">
        <x:f>SUMIFS('BU Data'!$J$6:$J$365,'BU Data'!$B$6:$B$365,$A6,'BU Data'!$Q$6:$Q$365,"Forecast",'BU Data'!$R$6:$R$365,2026)</x:f>
        <x:v>296.31951323000004</x:v>
      </x:c>
      <x:c r="H6" s="104" t="n">
        <x:f>IFERROR(G6/C6,0)</x:f>
        <x:v>0.3758770987142432</x:v>
      </x:c>
    </x:row>
    <x:row r="7" ht="15" hidden="0" customHeight="1">
      <x:c r="A7" s="86" t="str">
        <x:v>Retail Stores</x:v>
      </x:c>
      <x:c r="B7" s="106" t="n">
        <x:f>SUMIFS('BU Data'!$G$6:$G$365,'BU Data'!$B$6:$B$365,$A7,'BU Data'!$Q$6:$Q$365,"Budget",'BU Data'!$R$6:$R$365,2026)</x:f>
        <x:v>477.03997811</x:v>
      </x:c>
      <x:c r="C7" s="106" t="n">
        <x:f>SUMIFS('BU Data'!$G$6:$G$365,'BU Data'!$B$6:$B$365,$A7,'BU Data'!$Q$6:$Q$365,"Forecast",'BU Data'!$R$6:$R$365,2026)</x:f>
        <x:v>461.13945637</x:v>
      </x:c>
      <x:c r="D7" s="106" t="n">
        <x:f>C7-B7</x:f>
        <x:v>-15.900521739999988</x:v>
      </x:c>
      <x:c r="E7" s="106" t="n">
        <x:f>SUMIFS('BU Data'!$I$6:$I$365,'BU Data'!$B$6:$B$365,$A7,'BU Data'!$Q$6:$Q$365,"Forecast",'BU Data'!$R$6:$R$365,2026)</x:f>
        <x:v>227.02390868</x:v>
      </x:c>
      <x:c r="F7" s="104" t="n">
        <x:f>IFERROR(E7/C7,0)</x:f>
        <x:v>0.4923107436242563</x:v>
      </x:c>
      <x:c r="G7" s="106" t="n">
        <x:f>SUMIFS('BU Data'!$J$6:$J$365,'BU Data'!$B$6:$B$365,$A7,'BU Data'!$Q$6:$Q$365,"Forecast",'BU Data'!$R$6:$R$365,2026)</x:f>
        <x:v>127.58714671000001</x:v>
      </x:c>
      <x:c r="H7" s="104" t="n">
        <x:f>IFERROR(G7/C7,0)</x:f>
        <x:v>0.2766780091088739</x:v>
      </x:c>
    </x:row>
    <x:row r="8" ht="15" hidden="0" customHeight="1">
      <x:c r="A8" s="86" t="str">
        <x:v>Wholesale</x:v>
      </x:c>
      <x:c r="B8" s="106" t="n">
        <x:f>SUMIFS('BU Data'!$G$6:$G$365,'BU Data'!$B$6:$B$365,$A8,'BU Data'!$Q$6:$Q$365,"Budget",'BU Data'!$R$6:$R$365,2026)</x:f>
        <x:v>438.19785877</x:v>
      </x:c>
      <x:c r="C8" s="106" t="n">
        <x:f>SUMIFS('BU Data'!$G$6:$G$365,'BU Data'!$B$6:$B$365,$A8,'BU Data'!$Q$6:$Q$365,"Forecast",'BU Data'!$R$6:$R$365,2026)</x:f>
        <x:v>435.79595926999986</x:v>
      </x:c>
      <x:c r="D8" s="106" t="n">
        <x:f>C8-B8</x:f>
        <x:v>-2.401899500000127</x:v>
      </x:c>
      <x:c r="E8" s="106" t="n">
        <x:f>SUMIFS('BU Data'!$I$6:$I$365,'BU Data'!$B$6:$B$365,$A8,'BU Data'!$Q$6:$Q$365,"Forecast",'BU Data'!$R$6:$R$365,2026)</x:f>
        <x:v>172.40688027999997</x:v>
      </x:c>
      <x:c r="F8" s="104" t="n">
        <x:f>IFERROR(E8/C8,0)</x:f>
        <x:v>0.3956137651409115</x:v>
      </x:c>
      <x:c r="G8" s="106" t="n">
        <x:f>SUMIFS('BU Data'!$J$6:$J$365,'BU Data'!$B$6:$B$365,$A8,'BU Data'!$Q$6:$Q$365,"Forecast",'BU Data'!$R$6:$R$365,2026)</x:f>
        <x:v>120.96085572</x:v>
      </x:c>
      <x:c r="H8" s="104" t="n">
        <x:f>IFERROR(G8/C8,0)</x:f>
        <x:v>0.27756305020042193</x:v>
      </x:c>
    </x:row>
    <x:row r="9" ht="15" hidden="0" customHeight="1">
      <x:c r="A9" s="86" t="str">
        <x:v>Subscription Services</x:v>
      </x:c>
      <x:c r="B9" s="106" t="n">
        <x:f>SUMIFS('BU Data'!$G$6:$G$365,'BU Data'!$B$6:$B$365,$A9,'BU Data'!$Q$6:$Q$365,"Budget",'BU Data'!$R$6:$R$365,2026)</x:f>
        <x:v>105.06561106999999</x:v>
      </x:c>
      <x:c r="C9" s="106" t="n">
        <x:f>SUMIFS('BU Data'!$G$6:$G$365,'BU Data'!$B$6:$B$365,$A9,'BU Data'!$Q$6:$Q$365,"Forecast",'BU Data'!$R$6:$R$365,2026)</x:f>
        <x:v>105.53526903999999</x:v>
      </x:c>
      <x:c r="D9" s="106" t="n">
        <x:f>C9-B9</x:f>
        <x:v>0.4696579700000001</x:v>
      </x:c>
      <x:c r="E9" s="106" t="n">
        <x:f>SUMIFS('BU Data'!$I$6:$I$365,'BU Data'!$B$6:$B$365,$A9,'BU Data'!$Q$6:$Q$365,"Forecast",'BU Data'!$R$6:$R$365,2026)</x:f>
        <x:v>78.88288093999999</x:v>
      </x:c>
      <x:c r="F9" s="104" t="n">
        <x:f>IFERROR(E9/C9,0)</x:f>
        <x:v>0.7474551555850186</x:v>
      </x:c>
      <x:c r="G9" s="106" t="n">
        <x:f>SUMIFS('BU Data'!$J$6:$J$365,'BU Data'!$B$6:$B$365,$A9,'BU Data'!$Q$6:$Q$365,"Forecast",'BU Data'!$R$6:$R$365,2026)</x:f>
        <x:v>37.0645816</x:v>
      </x:c>
      <x:c r="H9" s="104" t="n">
        <x:f>IFERROR(G9/C9,0)</x:f>
        <x:v>0.35120563899781954</x:v>
      </x:c>
    </x:row>
    <x:row r="10" ht="15" hidden="0" customHeight="1">
      <x:c r="A10" s="86" t="str">
        <x:v>Shared Services</x:v>
      </x:c>
      <x:c r="B10" s="106" t="n">
        <x:f>SUMIFS('BU Data'!$G$6:$G$365,'BU Data'!$B$6:$B$365,$A10,'BU Data'!$Q$6:$Q$365,"Budget",'BU Data'!$R$6:$R$365,2026)</x:f>
        <x:v>0</x:v>
      </x:c>
      <x:c r="C10" s="106" t="n">
        <x:f>SUMIFS('BU Data'!$G$6:$G$365,'BU Data'!$B$6:$B$365,$A10,'BU Data'!$Q$6:$Q$365,"Forecast",'BU Data'!$R$6:$R$365,2026)</x:f>
        <x:v>0</x:v>
      </x:c>
      <x:c r="D10" s="106" t="n">
        <x:f>C10-B10</x:f>
        <x:v>0</x:v>
      </x:c>
      <x:c r="E10" s="106" t="n">
        <x:f>SUMIFS('BU Data'!$I$6:$I$365,'BU Data'!$B$6:$B$365,$A10,'BU Data'!$Q$6:$Q$365,"Forecast",'BU Data'!$R$6:$R$365,2026)</x:f>
        <x:v>0</x:v>
      </x:c>
      <x:c r="F10" s="104" t="n">
        <x:f>IFERROR(E10/C10,0)</x:f>
        <x:v>0</x:v>
      </x:c>
      <x:c r="G10" s="106" t="n">
        <x:f>SUMIFS('BU Data'!$J$6:$J$365,'BU Data'!$B$6:$B$365,$A10,'BU Data'!$Q$6:$Q$365,"Forecast",'BU Data'!$R$6:$R$365,2026)</x:f>
        <x:v>-417.55104585999993</x:v>
      </x:c>
      <x:c r="H10" s="104" t="n">
        <x:f>IFERROR(G10/C10,0)</x:f>
        <x:v>0</x:v>
      </x:c>
    </x:row>
  </x:sheetData>
  <x:mergeCells>
    <x:mergeCell ref="A1:H2"/>
    <x:mergeCell ref="A3:H3"/>
  </x:mergeCells>
  <x:pageMargins left="0.7" right="0.7" top="0.75" bottom="0.75" header="0.3" footer="0.3"/>
  <x:drawing xmlns:r="http://schemas.openxmlformats.org/officeDocument/2006/relationships" r:id="R8e3f50ccb6164048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7" hidden="0" customWidth="1"/>
  </x:cols>
  <x:sheetData>
    <x:row r="1" ht="25" customHeight="1">
      <x:c r="A1" s="3" t="str">
        <x:v>Operating Expense Planning</x:v>
      </x:c>
      <x:c r="B1" s="3"/>
      <x:c r="C1" s="3"/>
      <x:c r="D1" s="3"/>
      <x:c r="E1" s="3"/>
      <x:c r="F1" s="3"/>
      <x:c r="G1" s="3"/>
    </x:row>
    <x:row r="2" ht="25" customHeight="1">
      <x:c r="A2" s="3"/>
      <x:c r="B2" s="3"/>
      <x:c r="C2" s="3"/>
      <x:c r="D2" s="3"/>
      <x:c r="E2" s="3"/>
      <x:c r="F2" s="3"/>
      <x:c r="G2" s="3"/>
    </x:row>
    <x:row r="3" ht="15" hidden="0" customHeight="1">
      <x:c r="A3" s="6" t="str">
        <x:v>FY2026 department-level forecast versus budget</x:v>
      </x:c>
      <x:c r="B3" s="6"/>
      <x:c r="C3" s="6"/>
      <x:c r="D3" s="6"/>
      <x:c r="E3" s="6"/>
      <x:c r="F3" s="6"/>
      <x:c r="G3" s="6"/>
    </x:row>
    <x:row r="4"/>
    <x:row r="5" ht="15" hidden="0" customHeight="1">
      <x:c r="A5" s="90" t="str">
        <x:v>Department</x:v>
      </x:c>
      <x:c r="B5" s="90" t="str">
        <x:v>Budget Opex</x:v>
      </x:c>
      <x:c r="C5" s="90" t="str">
        <x:v>Forecast Opex</x:v>
      </x:c>
      <x:c r="D5" s="90" t="str">
        <x:v>Variance</x:v>
      </x:c>
      <x:c r="E5" s="90" t="str">
        <x:v>Variance %</x:v>
      </x:c>
      <x:c r="F5" s="90" t="str">
        <x:v>Forecast Payroll</x:v>
      </x:c>
      <x:c r="G5" s="90" t="str">
        <x:v>Status</x:v>
      </x:c>
    </x:row>
    <x:row r="6" ht="15" hidden="0" customHeight="1">
      <x:c r="A6" s="86" t="str">
        <x:v>Sales</x:v>
      </x:c>
      <x:c r="B6" s="106" t="n">
        <x:f>SUMIFS('Department Data'!$F$6:$F$437,'Department Data'!$B$6:$B$437,$A6,'Department Data'!$Q$6:$Q$437,"Budget",'Department Data'!$R$6:$R$437,2026)</x:f>
        <x:v>303.55295669</x:v>
      </x:c>
      <x:c r="C6" s="106" t="n">
        <x:f>SUMIFS('Department Data'!$F$6:$F$437,'Department Data'!$B$6:$B$437,$A6,'Department Data'!$Q$6:$Q$437,"Forecast",'Department Data'!$R$6:$R$437,2026)</x:f>
        <x:v>281.16442868</x:v>
      </x:c>
      <x:c r="D6" s="106" t="n">
        <x:f>C6-B6</x:f>
        <x:v>-22.38852800999996</x:v>
      </x:c>
      <x:c r="E6" s="104" t="n">
        <x:f>IFERROR(D6/ABS(B6),0)</x:f>
        <x:v>-0.0737549330901889</x:v>
      </x:c>
      <x:c r="F6" s="106" t="n">
        <x:f>SUMIFS('Headcount Data'!$F$6:$F$437,'Headcount Data'!$C$6:$C$437,$A6,'Headcount Data'!$B$6:$B$437,"Forecast",'Headcount Data'!$A$6:$A$437,"&gt;=2026-01-01",'Headcount Data'!$A$6:$A$437,"&lt;=2026-12-01")</x:f>
        <x:v>6</x:v>
      </x:c>
      <x:c r="G6" s="86" t="str">
        <x:f>IF(D6&lt;=0,"WITHIN PLAN","OVER PLAN")</x:f>
        <x:v>WITHIN PLAN</x:v>
      </x:c>
    </x:row>
    <x:row r="7" ht="15" hidden="0" customHeight="1">
      <x:c r="A7" s="86" t="str">
        <x:v>Customer Success</x:v>
      </x:c>
      <x:c r="B7" s="106" t="n">
        <x:f>SUMIFS('Department Data'!$F$6:$F$437,'Department Data'!$B$6:$B$437,$A7,'Department Data'!$Q$6:$Q$437,"Budget",'Department Data'!$R$6:$R$437,2026)</x:f>
        <x:v>45.57091409</x:v>
      </x:c>
      <x:c r="C7" s="106" t="n">
        <x:f>SUMIFS('Department Data'!$F$6:$F$437,'Department Data'!$B$6:$B$437,$A7,'Department Data'!$Q$6:$Q$437,"Forecast",'Department Data'!$R$6:$R$437,2026)</x:f>
        <x:v>41.81829934</x:v>
      </x:c>
      <x:c r="D7" s="106" t="n">
        <x:f>C7-B7</x:f>
        <x:v>-3.7526147499999993</x:v>
      </x:c>
      <x:c r="E7" s="104" t="n">
        <x:f>IFERROR(D7/ABS(B7),0)</x:f>
        <x:v>-0.08234670787135837</x:v>
      </x:c>
      <x:c r="F7" s="106" t="n">
        <x:f>SUMIFS('Headcount Data'!$F$6:$F$437,'Headcount Data'!$C$6:$C$437,$A7,'Headcount Data'!$B$6:$B$437,"Forecast",'Headcount Data'!$A$6:$A$437,"&gt;=2026-01-01",'Headcount Data'!$A$6:$A$437,"&lt;=2026-12-01")</x:f>
        <x:v>1</x:v>
      </x:c>
      <x:c r="G7" s="86" t="str">
        <x:f>IF(D7&lt;=0,"WITHIN PLAN","OVER PLAN")</x:f>
        <x:v>WITHIN PLAN</x:v>
      </x:c>
    </x:row>
    <x:row r="8" ht="15" hidden="0" customHeight="1">
      <x:c r="A8" s="86" t="str">
        <x:v>Marketing</x:v>
      </x:c>
      <x:c r="B8" s="106" t="n">
        <x:f>SUMIFS('Department Data'!$F$6:$F$437,'Department Data'!$B$6:$B$437,$A8,'Department Data'!$Q$6:$Q$437,"Budget",'Department Data'!$R$6:$R$437,2026)</x:f>
        <x:v>95.86660318</x:v>
      </x:c>
      <x:c r="C8" s="106" t="n">
        <x:f>SUMIFS('Department Data'!$F$6:$F$437,'Department Data'!$B$6:$B$437,$A8,'Department Data'!$Q$6:$Q$437,"Forecast",'Department Data'!$R$6:$R$437,2026)</x:f>
        <x:v>91.86497593</x:v>
      </x:c>
      <x:c r="D8" s="106" t="n">
        <x:f>C8-B8</x:f>
        <x:v>-4.0016272499999985</x:v>
      </x:c>
      <x:c r="E8" s="104" t="n">
        <x:f>IFERROR(D8/ABS(B8),0)</x:f>
        <x:v>-0.04174161926324339</x:v>
      </x:c>
      <x:c r="F8" s="106" t="n">
        <x:f>SUMIFS('Headcount Data'!$F$6:$F$437,'Headcount Data'!$C$6:$C$437,$A8,'Headcount Data'!$B$6:$B$437,"Forecast",'Headcount Data'!$A$6:$A$437,"&gt;=2026-01-01",'Headcount Data'!$A$6:$A$437,"&lt;=2026-12-01")</x:f>
        <x:v>1</x:v>
      </x:c>
      <x:c r="G8" s="86" t="str">
        <x:f>IF(D8&lt;=0,"WITHIN PLAN","OVER PLAN")</x:f>
        <x:v>WITHIN PLAN</x:v>
      </x:c>
    </x:row>
    <x:row r="9" ht="15" hidden="0" customHeight="1">
      <x:c r="A9" s="86" t="str">
        <x:v>Operations</x:v>
      </x:c>
      <x:c r="B9" s="106" t="n">
        <x:f>SUMIFS('Department Data'!$F$6:$F$437,'Department Data'!$B$6:$B$437,$A9,'Department Data'!$Q$6:$Q$437,"Budget",'Department Data'!$R$6:$R$437,2026)</x:f>
        <x:v>130.08015980000002</x:v>
      </x:c>
      <x:c r="C9" s="106" t="n">
        <x:f>SUMIFS('Department Data'!$F$6:$F$437,'Department Data'!$B$6:$B$437,$A9,'Department Data'!$Q$6:$Q$437,"Forecast",'Department Data'!$R$6:$R$437,2026)</x:f>
        <x:v>127.04603059000002</x:v>
      </x:c>
      <x:c r="D9" s="106" t="n">
        <x:f>C9-B9</x:f>
        <x:v>-3.0341292100000032</x:v>
      </x:c>
      <x:c r="E9" s="104" t="n">
        <x:f>IFERROR(D9/ABS(B9),0)</x:f>
        <x:v>-0.02332507289862664</x:v>
      </x:c>
      <x:c r="F9" s="106" t="n">
        <x:f>SUMIFS('Headcount Data'!$F$6:$F$437,'Headcount Data'!$C$6:$C$437,$A9,'Headcount Data'!$B$6:$B$437,"Forecast",'Headcount Data'!$A$6:$A$437,"&gt;=2026-01-01",'Headcount Data'!$A$6:$A$437,"&lt;=2026-12-01")</x:f>
        <x:v>1</x:v>
      </x:c>
      <x:c r="G9" s="86" t="str">
        <x:f>IF(D9&lt;=0,"WITHIN PLAN","OVER PLAN")</x:f>
        <x:v>WITHIN PLAN</x:v>
      </x:c>
    </x:row>
    <x:row r="10" ht="15" hidden="0" customHeight="1">
      <x:c r="A10" s="86" t="str">
        <x:v>Technology</x:v>
      </x:c>
      <x:c r="B10" s="106" t="n">
        <x:f>SUMIFS('Department Data'!$F$6:$F$437,'Department Data'!$B$6:$B$437,$A10,'Department Data'!$Q$6:$Q$437,"Budget",'Department Data'!$R$6:$R$437,2026)</x:f>
        <x:v>118.04468752999999</x:v>
      </x:c>
      <x:c r="C10" s="106" t="n">
        <x:f>SUMIFS('Department Data'!$F$6:$F$437,'Department Data'!$B$6:$B$437,$A10,'Department Data'!$Q$6:$Q$437,"Forecast",'Department Data'!$R$6:$R$437,2026)</x:f>
        <x:v>112.88058726</x:v>
      </x:c>
      <x:c r="D10" s="106" t="n">
        <x:f>C10-B10</x:f>
        <x:v>-5.164100269999992</x:v>
      </x:c>
      <x:c r="E10" s="104" t="n">
        <x:f>IFERROR(D10/ABS(B10),0)</x:f>
        <x:v>-0.04374699427865047</x:v>
      </x:c>
      <x:c r="F10" s="106" t="n">
        <x:f>SUMIFS('Headcount Data'!$F$6:$F$437,'Headcount Data'!$C$6:$C$437,$A10,'Headcount Data'!$B$6:$B$437,"Forecast",'Headcount Data'!$A$6:$A$437,"&gt;=2026-01-01",'Headcount Data'!$A$6:$A$437,"&lt;=2026-12-01")</x:f>
        <x:v>1</x:v>
      </x:c>
      <x:c r="G10" s="86" t="str">
        <x:f>IF(D10&lt;=0,"WITHIN PLAN","OVER PLAN")</x:f>
        <x:v>WITHIN PLAN</x:v>
      </x:c>
    </x:row>
    <x:row r="11" ht="15" hidden="0" customHeight="1">
      <x:c r="A11" s="86" t="str">
        <x:v>Finance &amp; Corporate</x:v>
      </x:c>
      <x:c r="B11" s="106" t="n">
        <x:f>SUMIFS('Department Data'!$F$6:$F$437,'Department Data'!$B$6:$B$437,$A11,'Department Data'!$Q$6:$Q$437,"Budget",'Department Data'!$R$6:$R$437,2026)</x:f>
        <x:v>90.2884021</x:v>
      </x:c>
      <x:c r="C11" s="106" t="n">
        <x:f>SUMIFS('Department Data'!$F$6:$F$437,'Department Data'!$B$6:$B$437,$A11,'Department Data'!$Q$6:$Q$437,"Forecast",'Department Data'!$R$6:$R$437,2026)</x:f>
        <x:v>85.75945207999999</x:v>
      </x:c>
      <x:c r="D11" s="106" t="n">
        <x:f>C11-B11</x:f>
        <x:v>-4.528950020000011</x:v>
      </x:c>
      <x:c r="E11" s="104" t="n">
        <x:f>IFERROR(D11/ABS(B11),0)</x:f>
        <x:v>-0.05016092781201198</x:v>
      </x:c>
      <x:c r="F11" s="106" t="n">
        <x:f>SUMIFS('Headcount Data'!$F$6:$F$437,'Headcount Data'!$C$6:$C$437,$A11,'Headcount Data'!$B$6:$B$437,"Forecast",'Headcount Data'!$A$6:$A$437,"&gt;=2026-01-01",'Headcount Data'!$A$6:$A$437,"&lt;=2026-12-01")</x:f>
        <x:v>1</x:v>
      </x:c>
      <x:c r="G11" s="86" t="str">
        <x:f>IF(D11&lt;=0,"WITHIN PLAN","OVER PLAN")</x:f>
        <x:v>WITHIN PLAN</x:v>
      </x:c>
    </x:row>
  </x:sheetData>
  <x:mergeCells>
    <x:mergeCell ref="A1:G2"/>
    <x:mergeCell ref="A3:G3"/>
  </x:mergeCells>
  <x:conditionalFormatting sqref="G6:G11">
    <x:cfRule type="containsText" dxfId="3" priority="1" operator="containsText" text="WITHIN"/>
    <x:cfRule type="containsText" dxfId="4" priority="2" operator="containsText" text="OVER"/>
  </x:conditionalFormatting>
  <x:pageMargins left="0.7" right="0.7" top="0.75" bottom="0.75" header="0.3" footer="0.3"/>
  <x:drawing xmlns:r="http://schemas.openxmlformats.org/officeDocument/2006/relationships" r:id="R6e6376a520cc4e6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8" hidden="0" customWidth="1"/>
  </x:cols>
  <x:sheetData>
    <x:row r="1" ht="25" customHeight="1">
      <x:c r="A1" s="3" t="str">
        <x:v>Cash Flow &amp; Liquidity</x:v>
      </x:c>
      <x:c r="B1" s="3"/>
      <x:c r="C1" s="3"/>
      <x:c r="D1" s="3"/>
      <x:c r="E1" s="3"/>
      <x:c r="F1" s="3"/>
      <x:c r="G1" s="3"/>
      <x:c r="H1" s="3"/>
    </x:row>
    <x:row r="2" ht="25" customHeight="1">
      <x:c r="A2" s="3"/>
      <x:c r="B2" s="3"/>
      <x:c r="C2" s="3"/>
      <x:c r="D2" s="3"/>
      <x:c r="E2" s="3"/>
      <x:c r="F2" s="3"/>
      <x:c r="G2" s="3"/>
      <x:c r="H2" s="3"/>
    </x:row>
    <x:row r="3" ht="15" hidden="0" customHeight="1">
      <x:c r="A3" s="6" t="str">
        <x:v>FY2026 rolling cash outlook | operating cash, capex and ending liquidity</x:v>
      </x:c>
      <x:c r="B3" s="6"/>
      <x:c r="C3" s="6"/>
      <x:c r="D3" s="6"/>
      <x:c r="E3" s="6"/>
      <x:c r="F3" s="6"/>
      <x:c r="G3" s="6"/>
      <x:c r="H3" s="6"/>
    </x:row>
    <x:row r="4"/>
    <x:row r="5" ht="21.600000381469727" hidden="0" customHeight="1">
      <x:c r="A5" s="90" t="str">
        <x:v>Month</x:v>
      </x:c>
      <x:c r="B5" s="90" t="str">
        <x:v>Beginning Cash</x:v>
      </x:c>
      <x:c r="C5" s="90" t="str">
        <x:v>Cash From Operations</x:v>
      </x:c>
      <x:c r="D5" s="90" t="str">
        <x:v>Capex</x:v>
      </x:c>
      <x:c r="E5" s="90" t="str">
        <x:v>Financing</x:v>
      </x:c>
      <x:c r="F5" s="90" t="str">
        <x:v>Net Cash Flow</x:v>
      </x:c>
      <x:c r="G5" s="90" t="str">
        <x:v>Ending Cash</x:v>
      </x:c>
      <x:c r="H5" s="90" t="str">
        <x:v>Liquidity Status</x:v>
      </x:c>
      <x:c r="J5" s="90" t="str">
        <x:v>Month</x:v>
      </x:c>
      <x:c r="K5" s="90" t="str">
        <x:v>Ending Cash</x:v>
      </x:c>
    </x:row>
    <x:row r="6" ht="15" hidden="0" customHeight="1">
      <x:c r="A6" s="86" t="str">
        <x:v>2026-01-01</x:v>
      </x:c>
      <x:c r="B6" s="106" t="n">
        <x:f>SUMIFS('Cash Data'!$C$6:$C$77,'Cash Data'!$A$6:$A$77,$A6,'Cash Data'!$B$6:$B$77,"Forecast")</x:f>
        <x:v>155.40757341999998</x:v>
      </x:c>
      <x:c r="C6" s="106" t="n">
        <x:f>SUMIFS('Cash Data'!$D$6:$D$77,'Cash Data'!$A$6:$A$77,$A6,'Cash Data'!$B$6:$B$77,"Forecast")</x:f>
        <x:v>94.20538298999999</x:v>
      </x:c>
      <x:c r="D6" s="106" t="n">
        <x:f>SUMIFS('Cash Data'!$E$6:$E$77,'Cash Data'!$A$6:$A$77,$A6,'Cash Data'!$B$6:$B$77,"Forecast")</x:f>
        <x:v>1.1333333300000001</x:v>
      </x:c>
      <x:c r="E6" s="106" t="n">
        <x:f>SUMIFS('Cash Data'!$F$6:$F$77,'Cash Data'!$A$6:$A$77,$A6,'Cash Data'!$B$6:$B$77,"Forecast")</x:f>
        <x:v>0</x:v>
      </x:c>
      <x:c r="F6" s="106" t="n">
        <x:f>SUMIFS('Cash Data'!$G$6:$G$77,'Cash Data'!$A$6:$A$77,$A6,'Cash Data'!$B$6:$B$77,"Forecast")</x:f>
        <x:v>93.07204965999999</x:v>
      </x:c>
      <x:c r="G6" s="106" t="n">
        <x:f>SUMIFS('Cash Data'!$H$6:$H$77,'Cash Data'!$A$6:$A$77,$A6,'Cash Data'!$B$6:$B$77,"Forecast")</x:f>
        <x:v>248.47962308</x:v>
      </x:c>
      <x:c r="H6" s="86" t="str">
        <x:f>IF(G6&lt;100,"WATCH",IF(G6&lt;180,"ADEQUATE","STRONG"))</x:f>
        <x:v>STRONG</x:v>
      </x:c>
      <x:c r="J6" s="86" t="str">
        <x:v>2026-01-01</x:v>
      </x:c>
      <x:c r="K6" s="103" t="n">
        <x:f>G6</x:f>
        <x:v>248.47962308</x:v>
      </x:c>
    </x:row>
    <x:row r="7" ht="15" hidden="0" customHeight="1">
      <x:c r="A7" s="86" t="str">
        <x:v>2026-02-01</x:v>
      </x:c>
      <x:c r="B7" s="106" t="n">
        <x:f>SUMIFS('Cash Data'!$C$6:$C$77,'Cash Data'!$A$6:$A$77,$A7,'Cash Data'!$B$6:$B$77,"Forecast")</x:f>
        <x:v>248.47962308</x:v>
      </x:c>
      <x:c r="C7" s="106" t="n">
        <x:f>SUMIFS('Cash Data'!$D$6:$D$77,'Cash Data'!$A$6:$A$77,$A7,'Cash Data'!$B$6:$B$77,"Forecast")</x:f>
        <x:v>-16.49648207</x:v>
      </x:c>
      <x:c r="D7" s="106" t="n">
        <x:f>SUMIFS('Cash Data'!$E$6:$E$77,'Cash Data'!$A$6:$A$77,$A7,'Cash Data'!$B$6:$B$77,"Forecast")</x:f>
        <x:v>2.56666666</x:v>
      </x:c>
      <x:c r="E7" s="106" t="n">
        <x:f>SUMIFS('Cash Data'!$F$6:$F$77,'Cash Data'!$A$6:$A$77,$A7,'Cash Data'!$B$6:$B$77,"Forecast")</x:f>
        <x:v>0</x:v>
      </x:c>
      <x:c r="F7" s="106" t="n">
        <x:f>SUMIFS('Cash Data'!$G$6:$G$77,'Cash Data'!$A$6:$A$77,$A7,'Cash Data'!$B$6:$B$77,"Forecast")</x:f>
        <x:v>-19.06314873</x:v>
      </x:c>
      <x:c r="G7" s="106" t="n">
        <x:f>SUMIFS('Cash Data'!$H$6:$H$77,'Cash Data'!$A$6:$A$77,$A7,'Cash Data'!$B$6:$B$77,"Forecast")</x:f>
        <x:v>229.41647435</x:v>
      </x:c>
      <x:c r="H7" s="86" t="str">
        <x:f>IF(G7&lt;100,"WATCH",IF(G7&lt;180,"ADEQUATE","STRONG"))</x:f>
        <x:v>STRONG</x:v>
      </x:c>
      <x:c r="J7" s="86" t="str">
        <x:v>2026-02-01</x:v>
      </x:c>
      <x:c r="K7" s="103" t="n">
        <x:f>G7</x:f>
        <x:v>229.41647435</x:v>
      </x:c>
    </x:row>
    <x:row r="8" ht="15" hidden="0" customHeight="1">
      <x:c r="A8" s="86" t="str">
        <x:v>2026-03-01</x:v>
      </x:c>
      <x:c r="B8" s="106" t="n">
        <x:f>SUMIFS('Cash Data'!$C$6:$C$77,'Cash Data'!$A$6:$A$77,$A8,'Cash Data'!$B$6:$B$77,"Forecast")</x:f>
        <x:v>229.41647435</x:v>
      </x:c>
      <x:c r="C8" s="106" t="n">
        <x:f>SUMIFS('Cash Data'!$D$6:$D$77,'Cash Data'!$A$6:$A$77,$A8,'Cash Data'!$B$6:$B$77,"Forecast")</x:f>
        <x:v>8.23136845</x:v>
      </x:c>
      <x:c r="D8" s="106" t="n">
        <x:f>SUMIFS('Cash Data'!$E$6:$E$77,'Cash Data'!$A$6:$A$77,$A8,'Cash Data'!$B$6:$B$77,"Forecast")</x:f>
        <x:v>2.56666666</x:v>
      </x:c>
      <x:c r="E8" s="106" t="n">
        <x:f>SUMIFS('Cash Data'!$F$6:$F$77,'Cash Data'!$A$6:$A$77,$A8,'Cash Data'!$B$6:$B$77,"Forecast")</x:f>
        <x:v>-2</x:v>
      </x:c>
      <x:c r="F8" s="106" t="n">
        <x:f>SUMIFS('Cash Data'!$G$6:$G$77,'Cash Data'!$A$6:$A$77,$A8,'Cash Data'!$B$6:$B$77,"Forecast")</x:f>
        <x:v>3.66470179</x:v>
      </x:c>
      <x:c r="G8" s="106" t="n">
        <x:f>SUMIFS('Cash Data'!$H$6:$H$77,'Cash Data'!$A$6:$A$77,$A8,'Cash Data'!$B$6:$B$77,"Forecast")</x:f>
        <x:v>233.08117614</x:v>
      </x:c>
      <x:c r="H8" s="86" t="str">
        <x:f>IF(G8&lt;100,"WATCH",IF(G8&lt;180,"ADEQUATE","STRONG"))</x:f>
        <x:v>STRONG</x:v>
      </x:c>
      <x:c r="J8" s="86" t="str">
        <x:v>2026-03-01</x:v>
      </x:c>
      <x:c r="K8" s="103" t="n">
        <x:f>G8</x:f>
        <x:v>233.08117614</x:v>
      </x:c>
    </x:row>
    <x:row r="9" ht="15" hidden="0" customHeight="1">
      <x:c r="A9" s="86" t="str">
        <x:v>2026-04-01</x:v>
      </x:c>
      <x:c r="B9" s="106" t="n">
        <x:f>SUMIFS('Cash Data'!$C$6:$C$77,'Cash Data'!$A$6:$A$77,$A9,'Cash Data'!$B$6:$B$77,"Forecast")</x:f>
        <x:v>233.08117614</x:v>
      </x:c>
      <x:c r="C9" s="106" t="n">
        <x:f>SUMIFS('Cash Data'!$D$6:$D$77,'Cash Data'!$A$6:$A$77,$A9,'Cash Data'!$B$6:$B$77,"Forecast")</x:f>
        <x:v>-4.4303175</x:v>
      </x:c>
      <x:c r="D9" s="106" t="n">
        <x:f>SUMIFS('Cash Data'!$E$6:$E$77,'Cash Data'!$A$6:$A$77,$A9,'Cash Data'!$B$6:$B$77,"Forecast")</x:f>
        <x:v>3.19333333</x:v>
      </x:c>
      <x:c r="E9" s="106" t="n">
        <x:f>SUMIFS('Cash Data'!$F$6:$F$77,'Cash Data'!$A$6:$A$77,$A9,'Cash Data'!$B$6:$B$77,"Forecast")</x:f>
        <x:v>0</x:v>
      </x:c>
      <x:c r="F9" s="106" t="n">
        <x:f>SUMIFS('Cash Data'!$G$6:$G$77,'Cash Data'!$A$6:$A$77,$A9,'Cash Data'!$B$6:$B$77,"Forecast")</x:f>
        <x:v>-7.62365083</x:v>
      </x:c>
      <x:c r="G9" s="106" t="n">
        <x:f>SUMIFS('Cash Data'!$H$6:$H$77,'Cash Data'!$A$6:$A$77,$A9,'Cash Data'!$B$6:$B$77,"Forecast")</x:f>
        <x:v>225.45752531</x:v>
      </x:c>
      <x:c r="H9" s="86" t="str">
        <x:f>IF(G9&lt;100,"WATCH",IF(G9&lt;180,"ADEQUATE","STRONG"))</x:f>
        <x:v>STRONG</x:v>
      </x:c>
      <x:c r="J9" s="86" t="str">
        <x:v>2026-04-01</x:v>
      </x:c>
      <x:c r="K9" s="103" t="n">
        <x:f>G9</x:f>
        <x:v>225.45752531</x:v>
      </x:c>
    </x:row>
    <x:row r="10" ht="15" hidden="0" customHeight="1">
      <x:c r="A10" s="86" t="str">
        <x:v>2026-05-01</x:v>
      </x:c>
      <x:c r="B10" s="106" t="n">
        <x:f>SUMIFS('Cash Data'!$C$6:$C$77,'Cash Data'!$A$6:$A$77,$A10,'Cash Data'!$B$6:$B$77,"Forecast")</x:f>
        <x:v>225.45752531</x:v>
      </x:c>
      <x:c r="C10" s="106" t="n">
        <x:f>SUMIFS('Cash Data'!$D$6:$D$77,'Cash Data'!$A$6:$A$77,$A10,'Cash Data'!$B$6:$B$77,"Forecast")</x:f>
        <x:v>14.154185589999999</x:v>
      </x:c>
      <x:c r="D10" s="106" t="n">
        <x:f>SUMIFS('Cash Data'!$E$6:$E$77,'Cash Data'!$A$6:$A$77,$A10,'Cash Data'!$B$6:$B$77,"Forecast")</x:f>
        <x:v>3.19333333</x:v>
      </x:c>
      <x:c r="E10" s="106" t="n">
        <x:f>SUMIFS('Cash Data'!$F$6:$F$77,'Cash Data'!$A$6:$A$77,$A10,'Cash Data'!$B$6:$B$77,"Forecast")</x:f>
        <x:v>0</x:v>
      </x:c>
      <x:c r="F10" s="106" t="n">
        <x:f>SUMIFS('Cash Data'!$G$6:$G$77,'Cash Data'!$A$6:$A$77,$A10,'Cash Data'!$B$6:$B$77,"Forecast")</x:f>
        <x:v>10.96085226</x:v>
      </x:c>
      <x:c r="G10" s="106" t="n">
        <x:f>SUMIFS('Cash Data'!$H$6:$H$77,'Cash Data'!$A$6:$A$77,$A10,'Cash Data'!$B$6:$B$77,"Forecast")</x:f>
        <x:v>236.41837757</x:v>
      </x:c>
      <x:c r="H10" s="86" t="str">
        <x:f>IF(G10&lt;100,"WATCH",IF(G10&lt;180,"ADEQUATE","STRONG"))</x:f>
        <x:v>STRONG</x:v>
      </x:c>
      <x:c r="J10" s="86" t="str">
        <x:v>2026-05-01</x:v>
      </x:c>
      <x:c r="K10" s="103" t="n">
        <x:f>G10</x:f>
        <x:v>236.41837757</x:v>
      </x:c>
    </x:row>
    <x:row r="11" ht="15" hidden="0" customHeight="1">
      <x:c r="A11" s="86" t="str">
        <x:v>2026-06-01</x:v>
      </x:c>
      <x:c r="B11" s="106" t="n">
        <x:f>SUMIFS('Cash Data'!$C$6:$C$77,'Cash Data'!$A$6:$A$77,$A11,'Cash Data'!$B$6:$B$77,"Forecast")</x:f>
        <x:v>236.41837757</x:v>
      </x:c>
      <x:c r="C11" s="106" t="n">
        <x:f>SUMIFS('Cash Data'!$D$6:$D$77,'Cash Data'!$A$6:$A$77,$A11,'Cash Data'!$B$6:$B$77,"Forecast")</x:f>
        <x:v>1.6077224399999999</x:v>
      </x:c>
      <x:c r="D11" s="106" t="n">
        <x:f>SUMIFS('Cash Data'!$E$6:$E$77,'Cash Data'!$A$6:$A$77,$A11,'Cash Data'!$B$6:$B$77,"Forecast")</x:f>
        <x:v>3.19333333</x:v>
      </x:c>
      <x:c r="E11" s="106" t="n">
        <x:f>SUMIFS('Cash Data'!$F$6:$F$77,'Cash Data'!$A$6:$A$77,$A11,'Cash Data'!$B$6:$B$77,"Forecast")</x:f>
        <x:v>-2</x:v>
      </x:c>
      <x:c r="F11" s="106" t="n">
        <x:f>SUMIFS('Cash Data'!$G$6:$G$77,'Cash Data'!$A$6:$A$77,$A11,'Cash Data'!$B$6:$B$77,"Forecast")</x:f>
        <x:v>-3.5856108900000003</x:v>
      </x:c>
      <x:c r="G11" s="106" t="n">
        <x:f>SUMIFS('Cash Data'!$H$6:$H$77,'Cash Data'!$A$6:$A$77,$A11,'Cash Data'!$B$6:$B$77,"Forecast")</x:f>
        <x:v>232.83276668000002</x:v>
      </x:c>
      <x:c r="H11" s="86" t="str">
        <x:f>IF(G11&lt;100,"WATCH",IF(G11&lt;180,"ADEQUATE","STRONG"))</x:f>
        <x:v>STRONG</x:v>
      </x:c>
      <x:c r="J11" s="86" t="str">
        <x:v>2026-06-01</x:v>
      </x:c>
      <x:c r="K11" s="103" t="n">
        <x:f>G11</x:f>
        <x:v>232.83276668000002</x:v>
      </x:c>
    </x:row>
    <x:row r="12" ht="15" hidden="0" customHeight="1">
      <x:c r="A12" s="86" t="str">
        <x:v>2026-07-01</x:v>
      </x:c>
      <x:c r="B12" s="106" t="n">
        <x:f>SUMIFS('Cash Data'!$C$6:$C$77,'Cash Data'!$A$6:$A$77,$A12,'Cash Data'!$B$6:$B$77,"Forecast")</x:f>
        <x:v>232.83276668000002</x:v>
      </x:c>
      <x:c r="C12" s="106" t="n">
        <x:f>SUMIFS('Cash Data'!$D$6:$D$77,'Cash Data'!$A$6:$A$77,$A12,'Cash Data'!$B$6:$B$77,"Forecast")</x:f>
        <x:v>20.850460809999998</x:v>
      </x:c>
      <x:c r="D12" s="106" t="n">
        <x:f>SUMIFS('Cash Data'!$E$6:$E$77,'Cash Data'!$A$6:$A$77,$A12,'Cash Data'!$B$6:$B$77,"Forecast")</x:f>
        <x:v>4.398888889999999</x:v>
      </x:c>
      <x:c r="E12" s="106" t="n">
        <x:f>SUMIFS('Cash Data'!$F$6:$F$77,'Cash Data'!$A$6:$A$77,$A12,'Cash Data'!$B$6:$B$77,"Forecast")</x:f>
        <x:v>0</x:v>
      </x:c>
      <x:c r="F12" s="106" t="n">
        <x:f>SUMIFS('Cash Data'!$G$6:$G$77,'Cash Data'!$A$6:$A$77,$A12,'Cash Data'!$B$6:$B$77,"Forecast")</x:f>
        <x:v>16.45157192</x:v>
      </x:c>
      <x:c r="G12" s="106" t="n">
        <x:f>SUMIFS('Cash Data'!$H$6:$H$77,'Cash Data'!$A$6:$A$77,$A12,'Cash Data'!$B$6:$B$77,"Forecast")</x:f>
        <x:v>249.28433859999998</x:v>
      </x:c>
      <x:c r="H12" s="86" t="str">
        <x:f>IF(G12&lt;100,"WATCH",IF(G12&lt;180,"ADEQUATE","STRONG"))</x:f>
        <x:v>STRONG</x:v>
      </x:c>
      <x:c r="J12" s="86" t="str">
        <x:v>2026-07-01</x:v>
      </x:c>
      <x:c r="K12" s="103" t="n">
        <x:f>G12</x:f>
        <x:v>249.28433859999998</x:v>
      </x:c>
    </x:row>
    <x:row r="13" ht="15" hidden="0" customHeight="1">
      <x:c r="A13" s="86" t="str">
        <x:v>2026-08-01</x:v>
      </x:c>
      <x:c r="B13" s="106" t="n">
        <x:f>SUMIFS('Cash Data'!$C$6:$C$77,'Cash Data'!$A$6:$A$77,$A13,'Cash Data'!$B$6:$B$77,"Forecast")</x:f>
        <x:v>249.28433859999998</x:v>
      </x:c>
      <x:c r="C13" s="106" t="n">
        <x:f>SUMIFS('Cash Data'!$D$6:$D$77,'Cash Data'!$A$6:$A$77,$A13,'Cash Data'!$B$6:$B$77,"Forecast")</x:f>
        <x:v>11.8553716</x:v>
      </x:c>
      <x:c r="D13" s="106" t="n">
        <x:f>SUMIFS('Cash Data'!$E$6:$E$77,'Cash Data'!$A$6:$A$77,$A13,'Cash Data'!$B$6:$B$77,"Forecast")</x:f>
        <x:v>4.398888889999999</x:v>
      </x:c>
      <x:c r="E13" s="106" t="n">
        <x:f>SUMIFS('Cash Data'!$F$6:$F$77,'Cash Data'!$A$6:$A$77,$A13,'Cash Data'!$B$6:$B$77,"Forecast")</x:f>
        <x:v>0</x:v>
      </x:c>
      <x:c r="F13" s="106" t="n">
        <x:f>SUMIFS('Cash Data'!$G$6:$G$77,'Cash Data'!$A$6:$A$77,$A13,'Cash Data'!$B$6:$B$77,"Forecast")</x:f>
        <x:v>7.45648271</x:v>
      </x:c>
      <x:c r="G13" s="106" t="n">
        <x:f>SUMIFS('Cash Data'!$H$6:$H$77,'Cash Data'!$A$6:$A$77,$A13,'Cash Data'!$B$6:$B$77,"Forecast")</x:f>
        <x:v>256.74082131</x:v>
      </x:c>
      <x:c r="H13" s="86" t="str">
        <x:f>IF(G13&lt;100,"WATCH",IF(G13&lt;180,"ADEQUATE","STRONG"))</x:f>
        <x:v>STRONG</x:v>
      </x:c>
      <x:c r="J13" s="86" t="str">
        <x:v>2026-08-01</x:v>
      </x:c>
      <x:c r="K13" s="103" t="n">
        <x:f>G13</x:f>
        <x:v>256.74082131</x:v>
      </x:c>
    </x:row>
    <x:row r="14" ht="15" hidden="0" customHeight="1">
      <x:c r="A14" s="86" t="str">
        <x:v>2026-09-01</x:v>
      </x:c>
      <x:c r="B14" s="106" t="n">
        <x:f>SUMIFS('Cash Data'!$C$6:$C$77,'Cash Data'!$A$6:$A$77,$A14,'Cash Data'!$B$6:$B$77,"Forecast")</x:f>
        <x:v>256.74082131</x:v>
      </x:c>
      <x:c r="C14" s="106" t="n">
        <x:f>SUMIFS('Cash Data'!$D$6:$D$77,'Cash Data'!$A$6:$A$77,$A14,'Cash Data'!$B$6:$B$77,"Forecast")</x:f>
        <x:v>-12.19012104</x:v>
      </x:c>
      <x:c r="D14" s="106" t="n">
        <x:f>SUMIFS('Cash Data'!$E$6:$E$77,'Cash Data'!$A$6:$A$77,$A14,'Cash Data'!$B$6:$B$77,"Forecast")</x:f>
        <x:v>4.398888889999999</x:v>
      </x:c>
      <x:c r="E14" s="106" t="n">
        <x:f>SUMIFS('Cash Data'!$F$6:$F$77,'Cash Data'!$A$6:$A$77,$A14,'Cash Data'!$B$6:$B$77,"Forecast")</x:f>
        <x:v>-2</x:v>
      </x:c>
      <x:c r="F14" s="106" t="n">
        <x:f>SUMIFS('Cash Data'!$G$6:$G$77,'Cash Data'!$A$6:$A$77,$A14,'Cash Data'!$B$6:$B$77,"Forecast")</x:f>
        <x:v>-18.58900993</x:v>
      </x:c>
      <x:c r="G14" s="106" t="n">
        <x:f>SUMIFS('Cash Data'!$H$6:$H$77,'Cash Data'!$A$6:$A$77,$A14,'Cash Data'!$B$6:$B$77,"Forecast")</x:f>
        <x:v>238.15181138</x:v>
      </x:c>
      <x:c r="H14" s="86" t="str">
        <x:f>IF(G14&lt;100,"WATCH",IF(G14&lt;180,"ADEQUATE","STRONG"))</x:f>
        <x:v>STRONG</x:v>
      </x:c>
      <x:c r="J14" s="86" t="str">
        <x:v>2026-09-01</x:v>
      </x:c>
      <x:c r="K14" s="103" t="n">
        <x:f>G14</x:f>
        <x:v>238.15181138</x:v>
      </x:c>
    </x:row>
    <x:row r="15" ht="15" hidden="0" customHeight="1">
      <x:c r="A15" s="86" t="str">
        <x:v>2026-10-01</x:v>
      </x:c>
      <x:c r="B15" s="106" t="n">
        <x:f>SUMIFS('Cash Data'!$C$6:$C$77,'Cash Data'!$A$6:$A$77,$A15,'Cash Data'!$B$6:$B$77,"Forecast")</x:f>
        <x:v>238.15181138</x:v>
      </x:c>
      <x:c r="C15" s="106" t="n">
        <x:f>SUMIFS('Cash Data'!$D$6:$D$77,'Cash Data'!$A$6:$A$77,$A15,'Cash Data'!$B$6:$B$77,"Forecast")</x:f>
        <x:v>-6.56621463</x:v>
      </x:c>
      <x:c r="D15" s="106" t="n">
        <x:f>SUMIFS('Cash Data'!$E$6:$E$77,'Cash Data'!$A$6:$A$77,$A15,'Cash Data'!$B$6:$B$77,"Forecast")</x:f>
        <x:v>4.398888889999999</x:v>
      </x:c>
      <x:c r="E15" s="106" t="n">
        <x:f>SUMIFS('Cash Data'!$F$6:$F$77,'Cash Data'!$A$6:$A$77,$A15,'Cash Data'!$B$6:$B$77,"Forecast")</x:f>
        <x:v>0</x:v>
      </x:c>
      <x:c r="F15" s="106" t="n">
        <x:f>SUMIFS('Cash Data'!$G$6:$G$77,'Cash Data'!$A$6:$A$77,$A15,'Cash Data'!$B$6:$B$77,"Forecast")</x:f>
        <x:v>-10.96510352</x:v>
      </x:c>
      <x:c r="G15" s="106" t="n">
        <x:f>SUMIFS('Cash Data'!$H$6:$H$77,'Cash Data'!$A$6:$A$77,$A15,'Cash Data'!$B$6:$B$77,"Forecast")</x:f>
        <x:v>227.18670786</x:v>
      </x:c>
      <x:c r="H15" s="86" t="str">
        <x:f>IF(G15&lt;100,"WATCH",IF(G15&lt;180,"ADEQUATE","STRONG"))</x:f>
        <x:v>STRONG</x:v>
      </x:c>
      <x:c r="J15" s="86" t="str">
        <x:v>2026-10-01</x:v>
      </x:c>
      <x:c r="K15" s="103" t="n">
        <x:f>G15</x:f>
        <x:v>227.18670786</x:v>
      </x:c>
    </x:row>
    <x:row r="16" ht="15" hidden="0" customHeight="1">
      <x:c r="A16" s="86" t="str">
        <x:v>2026-11-01</x:v>
      </x:c>
      <x:c r="B16" s="106" t="n">
        <x:f>SUMIFS('Cash Data'!$C$6:$C$77,'Cash Data'!$A$6:$A$77,$A16,'Cash Data'!$B$6:$B$77,"Forecast")</x:f>
        <x:v>227.18670786</x:v>
      </x:c>
      <x:c r="C16" s="106" t="n">
        <x:f>SUMIFS('Cash Data'!$D$6:$D$77,'Cash Data'!$A$6:$A$77,$A16,'Cash Data'!$B$6:$B$77,"Forecast")</x:f>
        <x:v>-0.36399982000000003</x:v>
      </x:c>
      <x:c r="D16" s="106" t="n">
        <x:f>SUMIFS('Cash Data'!$E$6:$E$77,'Cash Data'!$A$6:$A$77,$A16,'Cash Data'!$B$6:$B$77,"Forecast")</x:f>
        <x:v>2.96555556</x:v>
      </x:c>
      <x:c r="E16" s="106" t="n">
        <x:f>SUMIFS('Cash Data'!$F$6:$F$77,'Cash Data'!$A$6:$A$77,$A16,'Cash Data'!$B$6:$B$77,"Forecast")</x:f>
        <x:v>0</x:v>
      </x:c>
      <x:c r="F16" s="106" t="n">
        <x:f>SUMIFS('Cash Data'!$G$6:$G$77,'Cash Data'!$A$6:$A$77,$A16,'Cash Data'!$B$6:$B$77,"Forecast")</x:f>
        <x:v>-3.32955538</x:v>
      </x:c>
      <x:c r="G16" s="106" t="n">
        <x:f>SUMIFS('Cash Data'!$H$6:$H$77,'Cash Data'!$A$6:$A$77,$A16,'Cash Data'!$B$6:$B$77,"Forecast")</x:f>
        <x:v>223.85715248</x:v>
      </x:c>
      <x:c r="H16" s="86" t="str">
        <x:f>IF(G16&lt;100,"WATCH",IF(G16&lt;180,"ADEQUATE","STRONG"))</x:f>
        <x:v>STRONG</x:v>
      </x:c>
      <x:c r="J16" s="86" t="str">
        <x:v>2026-11-01</x:v>
      </x:c>
      <x:c r="K16" s="103" t="n">
        <x:f>G16</x:f>
        <x:v>223.85715248</x:v>
      </x:c>
    </x:row>
    <x:row r="17" ht="15" hidden="0" customHeight="1">
      <x:c r="A17" s="86" t="str">
        <x:v>2026-12-01</x:v>
      </x:c>
      <x:c r="B17" s="106" t="n">
        <x:f>SUMIFS('Cash Data'!$C$6:$C$77,'Cash Data'!$A$6:$A$77,$A17,'Cash Data'!$B$6:$B$77,"Forecast")</x:f>
        <x:v>223.85715248</x:v>
      </x:c>
      <x:c r="C17" s="106" t="n">
        <x:f>SUMIFS('Cash Data'!$D$6:$D$77,'Cash Data'!$A$6:$A$77,$A17,'Cash Data'!$B$6:$B$77,"Forecast")</x:f>
        <x:v>14.29076224</x:v>
      </x:c>
      <x:c r="D17" s="106" t="n">
        <x:f>SUMIFS('Cash Data'!$E$6:$E$77,'Cash Data'!$A$6:$A$77,$A17,'Cash Data'!$B$6:$B$77,"Forecast")</x:f>
        <x:v>2.96555556</x:v>
      </x:c>
      <x:c r="E17" s="106" t="n">
        <x:f>SUMIFS('Cash Data'!$F$6:$F$77,'Cash Data'!$A$6:$A$77,$A17,'Cash Data'!$B$6:$B$77,"Forecast")</x:f>
        <x:v>-2</x:v>
      </x:c>
      <x:c r="F17" s="106" t="n">
        <x:f>SUMIFS('Cash Data'!$G$6:$G$77,'Cash Data'!$A$6:$A$77,$A17,'Cash Data'!$B$6:$B$77,"Forecast")</x:f>
        <x:v>9.325206679999999</x:v>
      </x:c>
      <x:c r="G17" s="106" t="n">
        <x:f>SUMIFS('Cash Data'!$H$6:$H$77,'Cash Data'!$A$6:$A$77,$A17,'Cash Data'!$B$6:$B$77,"Forecast")</x:f>
        <x:v>233.18235916</x:v>
      </x:c>
      <x:c r="H17" s="86" t="str">
        <x:f>IF(G17&lt;100,"WATCH",IF(G17&lt;180,"ADEQUATE","STRONG"))</x:f>
        <x:v>STRONG</x:v>
      </x:c>
      <x:c r="J17" s="86" t="str">
        <x:v>2026-12-01</x:v>
      </x:c>
      <x:c r="K17" s="103" t="n">
        <x:f>G17</x:f>
        <x:v>233.18235916</x:v>
      </x:c>
    </x:row>
  </x:sheetData>
  <x:mergeCells>
    <x:mergeCell ref="A1:H2"/>
    <x:mergeCell ref="A3:H3"/>
  </x:mergeCells>
  <x:conditionalFormatting sqref="H6:H17">
    <x:cfRule type="containsText" dxfId="5" priority="1" operator="containsText" text="STRONG"/>
    <x:cfRule type="containsText" dxfId="6" priority="2" operator="containsText" text="WATCH"/>
  </x:conditionalFormatting>
  <x:pageMargins left="0.7" right="0.7" top="0.75" bottom="0.75" header="0.3" footer="0.3"/>
  <x:drawing xmlns:r="http://schemas.openxmlformats.org/officeDocument/2006/relationships" r:id="Re724884b3a0b468f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3" hidden="0" customWidth="1"/>
    <x:col min="11" max="11" width="15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25" customHeight="1">
      <x:c r="A1" s="3" t="str">
        <x:v>Working Capital &amp; Cash Conversion Cycle</x:v>
      </x:c>
      <x:c r="B1" s="3"/>
      <x:c r="C1" s="3"/>
      <x:c r="D1" s="3"/>
      <x:c r="E1" s="3"/>
      <x:c r="F1" s="3"/>
      <x:c r="G1" s="3"/>
      <x:c r="H1" s="3"/>
      <x:c r="I1" s="3"/>
    </x:row>
    <x:row r="2" ht="25" customHeight="1">
      <x:c r="A2" s="3"/>
      <x:c r="B2" s="3"/>
      <x:c r="C2" s="3"/>
      <x:c r="D2" s="3"/>
      <x:c r="E2" s="3"/>
      <x:c r="F2" s="3"/>
      <x:c r="G2" s="3"/>
      <x:c r="H2" s="3"/>
      <x:c r="I2" s="3"/>
    </x:row>
    <x:row r="3" ht="15" hidden="0" customHeight="1">
      <x:c r="A3" s="6" t="str">
        <x:v>FY2026 forecast | DSO, DIO, DPO and net working capital</x:v>
      </x:c>
      <x:c r="B3" s="6"/>
      <x:c r="C3" s="6"/>
      <x:c r="D3" s="6"/>
      <x:c r="E3" s="6"/>
      <x:c r="F3" s="6"/>
      <x:c r="G3" s="6"/>
      <x:c r="H3" s="6"/>
      <x:c r="I3" s="6"/>
    </x:row>
    <x:row r="4"/>
    <x:row r="5" ht="15" hidden="0" customHeight="1">
      <x:c r="A5" s="90" t="str">
        <x:v>Month</x:v>
      </x:c>
      <x:c r="B5" s="90" t="str">
        <x:v>DSO</x:v>
      </x:c>
      <x:c r="C5" s="90" t="str">
        <x:v>DIO</x:v>
      </x:c>
      <x:c r="D5" s="90" t="str">
        <x:v>DPO</x:v>
      </x:c>
      <x:c r="E5" s="90" t="str">
        <x:v>CCC</x:v>
      </x:c>
      <x:c r="F5" s="90" t="str">
        <x:v>Accounts Receivable</x:v>
      </x:c>
      <x:c r="G5" s="90" t="str">
        <x:v>Inventory</x:v>
      </x:c>
      <x:c r="H5" s="90" t="str">
        <x:v>Accounts Payable</x:v>
      </x:c>
      <x:c r="I5" s="90" t="str">
        <x:v>Net Working Capital</x:v>
      </x:c>
      <x:c r="K5" s="90" t="str">
        <x:v>Month</x:v>
      </x:c>
      <x:c r="L5" s="90" t="str">
        <x:v>DSO</x:v>
      </x:c>
      <x:c r="M5" s="90" t="str">
        <x:v>DIO</x:v>
      </x:c>
      <x:c r="N5" s="90" t="str">
        <x:v>DPO</x:v>
      </x:c>
    </x:row>
    <x:row r="6" ht="15" hidden="0" customHeight="1">
      <x:c r="A6" s="86" t="str">
        <x:v>2026-01-01</x:v>
      </x:c>
      <x:c r="B6" s="102" t="n">
        <x:f>SUMIFS('WC Data'!$C$6:$C$77,'WC Data'!$A$6:$A$77,$A6,'WC Data'!$B$6:$B$77,"Forecast")</x:f>
        <x:v>31</x:v>
      </x:c>
      <x:c r="C6" s="102" t="n">
        <x:f>SUMIFS('WC Data'!$D$6:$D$77,'WC Data'!$A$6:$A$77,$A6,'WC Data'!$B$6:$B$77,"Forecast")</x:f>
        <x:v>60</x:v>
      </x:c>
      <x:c r="D6" s="102" t="n">
        <x:f>SUMIFS('WC Data'!$E$6:$E$77,'WC Data'!$A$6:$A$77,$A6,'WC Data'!$B$6:$B$77,"Forecast")</x:f>
        <x:v>48</x:v>
      </x:c>
      <x:c r="E6" s="102" t="n">
        <x:f>SUMIFS('WC Data'!$F$6:$F$77,'WC Data'!$A$6:$A$77,$A6,'WC Data'!$B$6:$B$77,"Forecast")</x:f>
        <x:v>43</x:v>
      </x:c>
      <x:c r="F6" s="106" t="n">
        <x:f>SUMIFS('WC Data'!$G$6:$G$77,'WC Data'!$A$6:$A$77,$A6,'WC Data'!$B$6:$B$77,"Forecast")</x:f>
        <x:v>124.15170402</x:v>
      </x:c>
      <x:c r="G6" s="106" t="n">
        <x:f>SUMIFS('WC Data'!$H$6:$H$77,'WC Data'!$A$6:$A$77,$A6,'WC Data'!$B$6:$B$77,"Forecast")</x:f>
        <x:v>118.81209836</x:v>
      </x:c>
      <x:c r="H6" s="106" t="n">
        <x:f>SUMIFS('WC Data'!$I$6:$I$77,'WC Data'!$A$6:$A$77,$A6,'WC Data'!$B$6:$B$77,"Forecast")</x:f>
        <x:v>95.04967869</x:v>
      </x:c>
      <x:c r="I6" s="106" t="n">
        <x:f>SUMIFS('WC Data'!$J$6:$J$77,'WC Data'!$A$6:$A$77,$A6,'WC Data'!$B$6:$B$77,"Forecast")</x:f>
        <x:v>147.91412369</x:v>
      </x:c>
      <x:c r="K6" s="86" t="str">
        <x:v>2026-01-01</x:v>
      </x:c>
      <x:c r="L6" s="105" t="n">
        <x:f>B6</x:f>
        <x:v>31</x:v>
      </x:c>
      <x:c r="M6" s="105" t="n">
        <x:f>C6</x:f>
        <x:v>60</x:v>
      </x:c>
      <x:c r="N6" s="105" t="n">
        <x:f>D6</x:f>
        <x:v>48</x:v>
      </x:c>
    </x:row>
    <x:row r="7" ht="15" hidden="0" customHeight="1">
      <x:c r="A7" s="86" t="str">
        <x:v>2026-02-01</x:v>
      </x:c>
      <x:c r="B7" s="102" t="n">
        <x:f>SUMIFS('WC Data'!$C$6:$C$77,'WC Data'!$A$6:$A$77,$A7,'WC Data'!$B$6:$B$77,"Forecast")</x:f>
        <x:v>31</x:v>
      </x:c>
      <x:c r="C7" s="102" t="n">
        <x:f>SUMIFS('WC Data'!$D$6:$D$77,'WC Data'!$A$6:$A$77,$A7,'WC Data'!$B$6:$B$77,"Forecast")</x:f>
        <x:v>60</x:v>
      </x:c>
      <x:c r="D7" s="102" t="n">
        <x:f>SUMIFS('WC Data'!$E$6:$E$77,'WC Data'!$A$6:$A$77,$A7,'WC Data'!$B$6:$B$77,"Forecast")</x:f>
        <x:v>48</x:v>
      </x:c>
      <x:c r="E7" s="102" t="n">
        <x:f>SUMIFS('WC Data'!$F$6:$F$77,'WC Data'!$A$6:$A$77,$A7,'WC Data'!$B$6:$B$77,"Forecast")</x:f>
        <x:v>43</x:v>
      </x:c>
      <x:c r="F7" s="106" t="n">
        <x:f>SUMIFS('WC Data'!$G$6:$G$77,'WC Data'!$A$6:$A$77,$A7,'WC Data'!$B$6:$B$77,"Forecast")</x:f>
        <x:v>140.99023373</x:v>
      </x:c>
      <x:c r="G7" s="106" t="n">
        <x:f>SUMIFS('WC Data'!$H$6:$H$77,'WC Data'!$A$6:$A$77,$A7,'WC Data'!$B$6:$B$77,"Forecast")</x:f>
        <x:v>135.30850479</x:v>
      </x:c>
      <x:c r="H7" s="106" t="n">
        <x:f>SUMIFS('WC Data'!$I$6:$I$77,'WC Data'!$A$6:$A$77,$A7,'WC Data'!$B$6:$B$77,"Forecast")</x:f>
        <x:v>108.24680383</x:v>
      </x:c>
      <x:c r="I7" s="106" t="n">
        <x:f>SUMIFS('WC Data'!$J$6:$J$77,'WC Data'!$A$6:$A$77,$A7,'WC Data'!$B$6:$B$77,"Forecast")</x:f>
        <x:v>168.05193468000002</x:v>
      </x:c>
      <x:c r="K7" s="86" t="str">
        <x:v>2026-02-01</x:v>
      </x:c>
      <x:c r="L7" s="105" t="n">
        <x:f>B7</x:f>
        <x:v>31</x:v>
      </x:c>
      <x:c r="M7" s="105" t="n">
        <x:f>C7</x:f>
        <x:v>60</x:v>
      </x:c>
      <x:c r="N7" s="105" t="n">
        <x:f>D7</x:f>
        <x:v>48</x:v>
      </x:c>
    </x:row>
    <x:row r="8" ht="15" hidden="0" customHeight="1">
      <x:c r="A8" s="86" t="str">
        <x:v>2026-03-01</x:v>
      </x:c>
      <x:c r="B8" s="102" t="n">
        <x:f>SUMIFS('WC Data'!$C$6:$C$77,'WC Data'!$A$6:$A$77,$A8,'WC Data'!$B$6:$B$77,"Forecast")</x:f>
        <x:v>31</x:v>
      </x:c>
      <x:c r="C8" s="102" t="n">
        <x:f>SUMIFS('WC Data'!$D$6:$D$77,'WC Data'!$A$6:$A$77,$A8,'WC Data'!$B$6:$B$77,"Forecast")</x:f>
        <x:v>60</x:v>
      </x:c>
      <x:c r="D8" s="102" t="n">
        <x:f>SUMIFS('WC Data'!$E$6:$E$77,'WC Data'!$A$6:$A$77,$A8,'WC Data'!$B$6:$B$77,"Forecast")</x:f>
        <x:v>48</x:v>
      </x:c>
      <x:c r="E8" s="102" t="n">
        <x:f>SUMIFS('WC Data'!$F$6:$F$77,'WC Data'!$A$6:$A$77,$A8,'WC Data'!$B$6:$B$77,"Forecast")</x:f>
        <x:v>43</x:v>
      </x:c>
      <x:c r="F8" s="106" t="n">
        <x:f>SUMIFS('WC Data'!$G$6:$G$77,'WC Data'!$A$6:$A$77,$A8,'WC Data'!$B$6:$B$77,"Forecast")</x:f>
        <x:v>140.67192072999998</x:v>
      </x:c>
      <x:c r="G8" s="106" t="n">
        <x:f>SUMIFS('WC Data'!$H$6:$H$77,'WC Data'!$A$6:$A$77,$A8,'WC Data'!$B$6:$B$77,"Forecast")</x:f>
        <x:v>136.23781154</x:v>
      </x:c>
      <x:c r="H8" s="106" t="n">
        <x:f>SUMIFS('WC Data'!$I$6:$I$77,'WC Data'!$A$6:$A$77,$A8,'WC Data'!$B$6:$B$77,"Forecast")</x:f>
        <x:v>108.99024923</x:v>
      </x:c>
      <x:c r="I8" s="106" t="n">
        <x:f>SUMIFS('WC Data'!$J$6:$J$77,'WC Data'!$A$6:$A$77,$A8,'WC Data'!$B$6:$B$77,"Forecast")</x:f>
        <x:v>167.91948304</x:v>
      </x:c>
      <x:c r="K8" s="86" t="str">
        <x:v>2026-03-01</x:v>
      </x:c>
      <x:c r="L8" s="105" t="n">
        <x:f>B8</x:f>
        <x:v>31</x:v>
      </x:c>
      <x:c r="M8" s="105" t="n">
        <x:f>C8</x:f>
        <x:v>60</x:v>
      </x:c>
      <x:c r="N8" s="105" t="n">
        <x:f>D8</x:f>
        <x:v>48</x:v>
      </x:c>
    </x:row>
    <x:row r="9" ht="15" hidden="0" customHeight="1">
      <x:c r="A9" s="86" t="str">
        <x:v>2026-04-01</x:v>
      </x:c>
      <x:c r="B9" s="102" t="n">
        <x:f>SUMIFS('WC Data'!$C$6:$C$77,'WC Data'!$A$6:$A$77,$A9,'WC Data'!$B$6:$B$77,"Forecast")</x:f>
        <x:v>31</x:v>
      </x:c>
      <x:c r="C9" s="102" t="n">
        <x:f>SUMIFS('WC Data'!$D$6:$D$77,'WC Data'!$A$6:$A$77,$A9,'WC Data'!$B$6:$B$77,"Forecast")</x:f>
        <x:v>60</x:v>
      </x:c>
      <x:c r="D9" s="102" t="n">
        <x:f>SUMIFS('WC Data'!$E$6:$E$77,'WC Data'!$A$6:$A$77,$A9,'WC Data'!$B$6:$B$77,"Forecast")</x:f>
        <x:v>48</x:v>
      </x:c>
      <x:c r="E9" s="102" t="n">
        <x:f>SUMIFS('WC Data'!$F$6:$F$77,'WC Data'!$A$6:$A$77,$A9,'WC Data'!$B$6:$B$77,"Forecast")</x:f>
        <x:v>43</x:v>
      </x:c>
      <x:c r="F9" s="106" t="n">
        <x:f>SUMIFS('WC Data'!$G$6:$G$77,'WC Data'!$A$6:$A$77,$A9,'WC Data'!$B$6:$B$77,"Forecast")</x:f>
        <x:v>151.73151086000001</x:v>
      </x:c>
      <x:c r="G9" s="106" t="n">
        <x:f>SUMIFS('WC Data'!$H$6:$H$77,'WC Data'!$A$6:$A$77,$A9,'WC Data'!$B$6:$B$77,"Forecast")</x:f>
        <x:v>146.71823886</x:v>
      </x:c>
      <x:c r="H9" s="106" t="n">
        <x:f>SUMIFS('WC Data'!$I$6:$I$77,'WC Data'!$A$6:$A$77,$A9,'WC Data'!$B$6:$B$77,"Forecast")</x:f>
        <x:v>117.37459109000001</x:v>
      </x:c>
      <x:c r="I9" s="106" t="n">
        <x:f>SUMIFS('WC Data'!$J$6:$J$77,'WC Data'!$A$6:$A$77,$A9,'WC Data'!$B$6:$B$77,"Forecast")</x:f>
        <x:v>181.07515863</x:v>
      </x:c>
      <x:c r="K9" s="86" t="str">
        <x:v>2026-04-01</x:v>
      </x:c>
      <x:c r="L9" s="105" t="n">
        <x:f>B9</x:f>
        <x:v>31</x:v>
      </x:c>
      <x:c r="M9" s="105" t="n">
        <x:f>C9</x:f>
        <x:v>60</x:v>
      </x:c>
      <x:c r="N9" s="105" t="n">
        <x:f>D9</x:f>
        <x:v>48</x:v>
      </x:c>
    </x:row>
    <x:row r="10" ht="15" hidden="0" customHeight="1">
      <x:c r="A10" s="86" t="str">
        <x:v>2026-05-01</x:v>
      </x:c>
      <x:c r="B10" s="102" t="n">
        <x:f>SUMIFS('WC Data'!$C$6:$C$77,'WC Data'!$A$6:$A$77,$A10,'WC Data'!$B$6:$B$77,"Forecast")</x:f>
        <x:v>31</x:v>
      </x:c>
      <x:c r="C10" s="102" t="n">
        <x:f>SUMIFS('WC Data'!$D$6:$D$77,'WC Data'!$A$6:$A$77,$A10,'WC Data'!$B$6:$B$77,"Forecast")</x:f>
        <x:v>60</x:v>
      </x:c>
      <x:c r="D10" s="102" t="n">
        <x:f>SUMIFS('WC Data'!$E$6:$E$77,'WC Data'!$A$6:$A$77,$A10,'WC Data'!$B$6:$B$77,"Forecast")</x:f>
        <x:v>48</x:v>
      </x:c>
      <x:c r="E10" s="102" t="n">
        <x:f>SUMIFS('WC Data'!$F$6:$F$77,'WC Data'!$A$6:$A$77,$A10,'WC Data'!$B$6:$B$77,"Forecast")</x:f>
        <x:v>43</x:v>
      </x:c>
      <x:c r="F10" s="106" t="n">
        <x:f>SUMIFS('WC Data'!$G$6:$G$77,'WC Data'!$A$6:$A$77,$A10,'WC Data'!$B$6:$B$77,"Forecast")</x:f>
        <x:v>147.50381466</x:v>
      </x:c>
      <x:c r="G10" s="106" t="n">
        <x:f>SUMIFS('WC Data'!$H$6:$H$77,'WC Data'!$A$6:$A$77,$A10,'WC Data'!$B$6:$B$77,"Forecast")</x:f>
        <x:v>142.38462959999998</x:v>
      </x:c>
      <x:c r="H10" s="106" t="n">
        <x:f>SUMIFS('WC Data'!$I$6:$I$77,'WC Data'!$A$6:$A$77,$A10,'WC Data'!$B$6:$B$77,"Forecast")</x:f>
        <x:v>113.90770368000001</x:v>
      </x:c>
      <x:c r="I10" s="106" t="n">
        <x:f>SUMIFS('WC Data'!$J$6:$J$77,'WC Data'!$A$6:$A$77,$A10,'WC Data'!$B$6:$B$77,"Forecast")</x:f>
        <x:v>175.98074058</x:v>
      </x:c>
      <x:c r="K10" s="86" t="str">
        <x:v>2026-05-01</x:v>
      </x:c>
      <x:c r="L10" s="105" t="n">
        <x:f>B10</x:f>
        <x:v>31</x:v>
      </x:c>
      <x:c r="M10" s="105" t="n">
        <x:f>C10</x:f>
        <x:v>60</x:v>
      </x:c>
      <x:c r="N10" s="105" t="n">
        <x:f>D10</x:f>
        <x:v>48</x:v>
      </x:c>
    </x:row>
    <x:row r="11" ht="15" hidden="0" customHeight="1">
      <x:c r="A11" s="86" t="str">
        <x:v>2026-06-01</x:v>
      </x:c>
      <x:c r="B11" s="102" t="n">
        <x:f>SUMIFS('WC Data'!$C$6:$C$77,'WC Data'!$A$6:$A$77,$A11,'WC Data'!$B$6:$B$77,"Forecast")</x:f>
        <x:v>31</x:v>
      </x:c>
      <x:c r="C11" s="102" t="n">
        <x:f>SUMIFS('WC Data'!$D$6:$D$77,'WC Data'!$A$6:$A$77,$A11,'WC Data'!$B$6:$B$77,"Forecast")</x:f>
        <x:v>60</x:v>
      </x:c>
      <x:c r="D11" s="102" t="n">
        <x:f>SUMIFS('WC Data'!$E$6:$E$77,'WC Data'!$A$6:$A$77,$A11,'WC Data'!$B$6:$B$77,"Forecast")</x:f>
        <x:v>48</x:v>
      </x:c>
      <x:c r="E11" s="102" t="n">
        <x:f>SUMIFS('WC Data'!$F$6:$F$77,'WC Data'!$A$6:$A$77,$A11,'WC Data'!$B$6:$B$77,"Forecast")</x:f>
        <x:v>43</x:v>
      </x:c>
      <x:c r="F11" s="106" t="n">
        <x:f>SUMIFS('WC Data'!$G$6:$G$77,'WC Data'!$A$6:$A$77,$A11,'WC Data'!$B$6:$B$77,"Forecast")</x:f>
        <x:v>154.42923603</x:v>
      </x:c>
      <x:c r="G11" s="106" t="n">
        <x:f>SUMIFS('WC Data'!$H$6:$H$77,'WC Data'!$A$6:$A$77,$A11,'WC Data'!$B$6:$B$77,"Forecast")</x:f>
        <x:v>147.74331236</x:v>
      </x:c>
      <x:c r="H11" s="106" t="n">
        <x:f>SUMIFS('WC Data'!$I$6:$I$77,'WC Data'!$A$6:$A$77,$A11,'WC Data'!$B$6:$B$77,"Forecast")</x:f>
        <x:v>118.19464989</x:v>
      </x:c>
      <x:c r="I11" s="106" t="n">
        <x:f>SUMIFS('WC Data'!$J$6:$J$77,'WC Data'!$A$6:$A$77,$A11,'WC Data'!$B$6:$B$77,"Forecast")</x:f>
        <x:v>183.9778985</x:v>
      </x:c>
      <x:c r="K11" s="86" t="str">
        <x:v>2026-06-01</x:v>
      </x:c>
      <x:c r="L11" s="105" t="n">
        <x:f>B11</x:f>
        <x:v>31</x:v>
      </x:c>
      <x:c r="M11" s="105" t="n">
        <x:f>C11</x:f>
        <x:v>60</x:v>
      </x:c>
      <x:c r="N11" s="105" t="n">
        <x:f>D11</x:f>
        <x:v>48</x:v>
      </x:c>
    </x:row>
    <x:row r="12" ht="15" hidden="0" customHeight="1">
      <x:c r="A12" s="86" t="str">
        <x:v>2026-07-01</x:v>
      </x:c>
      <x:c r="B12" s="102" t="n">
        <x:f>SUMIFS('WC Data'!$C$6:$C$77,'WC Data'!$A$6:$A$77,$A12,'WC Data'!$B$6:$B$77,"Forecast")</x:f>
        <x:v>31</x:v>
      </x:c>
      <x:c r="C12" s="102" t="n">
        <x:f>SUMIFS('WC Data'!$D$6:$D$77,'WC Data'!$A$6:$A$77,$A12,'WC Data'!$B$6:$B$77,"Forecast")</x:f>
        <x:v>60</x:v>
      </x:c>
      <x:c r="D12" s="102" t="n">
        <x:f>SUMIFS('WC Data'!$E$6:$E$77,'WC Data'!$A$6:$A$77,$A12,'WC Data'!$B$6:$B$77,"Forecast")</x:f>
        <x:v>48</x:v>
      </x:c>
      <x:c r="E12" s="102" t="n">
        <x:f>SUMIFS('WC Data'!$F$6:$F$77,'WC Data'!$A$6:$A$77,$A12,'WC Data'!$B$6:$B$77,"Forecast")</x:f>
        <x:v>43</x:v>
      </x:c>
      <x:c r="F12" s="106" t="n">
        <x:f>SUMIFS('WC Data'!$G$6:$G$77,'WC Data'!$A$6:$A$77,$A12,'WC Data'!$B$6:$B$77,"Forecast")</x:f>
        <x:v>145.25930169999998</x:v>
      </x:c>
      <x:c r="G12" s="106" t="n">
        <x:f>SUMIFS('WC Data'!$H$6:$H$77,'WC Data'!$A$6:$A$77,$A12,'WC Data'!$B$6:$B$77,"Forecast")</x:f>
        <x:v>138.04197883</x:v>
      </x:c>
      <x:c r="H12" s="106" t="n">
        <x:f>SUMIFS('WC Data'!$I$6:$I$77,'WC Data'!$A$6:$A$77,$A12,'WC Data'!$B$6:$B$77,"Forecast")</x:f>
        <x:v>110.43358306</x:v>
      </x:c>
      <x:c r="I12" s="106" t="n">
        <x:f>SUMIFS('WC Data'!$J$6:$J$77,'WC Data'!$A$6:$A$77,$A12,'WC Data'!$B$6:$B$77,"Forecast")</x:f>
        <x:v>172.86769747</x:v>
      </x:c>
      <x:c r="K12" s="86" t="str">
        <x:v>2026-07-01</x:v>
      </x:c>
      <x:c r="L12" s="105" t="n">
        <x:f>B12</x:f>
        <x:v>31</x:v>
      </x:c>
      <x:c r="M12" s="105" t="n">
        <x:f>C12</x:f>
        <x:v>60</x:v>
      </x:c>
      <x:c r="N12" s="105" t="n">
        <x:f>D12</x:f>
        <x:v>48</x:v>
      </x:c>
    </x:row>
    <x:row r="13" ht="15" hidden="0" customHeight="1">
      <x:c r="A13" s="86" t="str">
        <x:v>2026-08-01</x:v>
      </x:c>
      <x:c r="B13" s="102" t="n">
        <x:f>SUMIFS('WC Data'!$C$6:$C$77,'WC Data'!$A$6:$A$77,$A13,'WC Data'!$B$6:$B$77,"Forecast")</x:f>
        <x:v>31</x:v>
      </x:c>
      <x:c r="C13" s="102" t="n">
        <x:f>SUMIFS('WC Data'!$D$6:$D$77,'WC Data'!$A$6:$A$77,$A13,'WC Data'!$B$6:$B$77,"Forecast")</x:f>
        <x:v>60</x:v>
      </x:c>
      <x:c r="D13" s="102" t="n">
        <x:f>SUMIFS('WC Data'!$E$6:$E$77,'WC Data'!$A$6:$A$77,$A13,'WC Data'!$B$6:$B$77,"Forecast")</x:f>
        <x:v>48</x:v>
      </x:c>
      <x:c r="E13" s="102" t="n">
        <x:f>SUMIFS('WC Data'!$F$6:$F$77,'WC Data'!$A$6:$A$77,$A13,'WC Data'!$B$6:$B$77,"Forecast")</x:f>
        <x:v>43</x:v>
      </x:c>
      <x:c r="F13" s="106" t="n">
        <x:f>SUMIFS('WC Data'!$G$6:$G$77,'WC Data'!$A$6:$A$77,$A13,'WC Data'!$B$6:$B$77,"Forecast")</x:f>
        <x:v>141.41465324</x:v>
      </x:c>
      <x:c r="G13" s="106" t="n">
        <x:f>SUMIFS('WC Data'!$H$6:$H$77,'WC Data'!$A$6:$A$77,$A13,'WC Data'!$B$6:$B$77,"Forecast")</x:f>
        <x:v>134.69102518</x:v>
      </x:c>
      <x:c r="H13" s="106" t="n">
        <x:f>SUMIFS('WC Data'!$I$6:$I$77,'WC Data'!$A$6:$A$77,$A13,'WC Data'!$B$6:$B$77,"Forecast")</x:f>
        <x:v>107.75282014</x:v>
      </x:c>
      <x:c r="I13" s="106" t="n">
        <x:f>SUMIFS('WC Data'!$J$6:$J$77,'WC Data'!$A$6:$A$77,$A13,'WC Data'!$B$6:$B$77,"Forecast")</x:f>
        <x:v>168.35285828</x:v>
      </x:c>
      <x:c r="K13" s="86" t="str">
        <x:v>2026-08-01</x:v>
      </x:c>
      <x:c r="L13" s="105" t="n">
        <x:f>B13</x:f>
        <x:v>31</x:v>
      </x:c>
      <x:c r="M13" s="105" t="n">
        <x:f>C13</x:f>
        <x:v>60</x:v>
      </x:c>
      <x:c r="N13" s="105" t="n">
        <x:f>D13</x:f>
        <x:v>48</x:v>
      </x:c>
    </x:row>
    <x:row r="14" ht="15" hidden="0" customHeight="1">
      <x:c r="A14" s="86" t="str">
        <x:v>2026-09-01</x:v>
      </x:c>
      <x:c r="B14" s="102" t="n">
        <x:f>SUMIFS('WC Data'!$C$6:$C$77,'WC Data'!$A$6:$A$77,$A14,'WC Data'!$B$6:$B$77,"Forecast")</x:f>
        <x:v>31</x:v>
      </x:c>
      <x:c r="C14" s="102" t="n">
        <x:f>SUMIFS('WC Data'!$D$6:$D$77,'WC Data'!$A$6:$A$77,$A14,'WC Data'!$B$6:$B$77,"Forecast")</x:f>
        <x:v>60</x:v>
      </x:c>
      <x:c r="D14" s="102" t="n">
        <x:f>SUMIFS('WC Data'!$E$6:$E$77,'WC Data'!$A$6:$A$77,$A14,'WC Data'!$B$6:$B$77,"Forecast")</x:f>
        <x:v>48</x:v>
      </x:c>
      <x:c r="E14" s="102" t="n">
        <x:f>SUMIFS('WC Data'!$F$6:$F$77,'WC Data'!$A$6:$A$77,$A14,'WC Data'!$B$6:$B$77,"Forecast")</x:f>
        <x:v>43</x:v>
      </x:c>
      <x:c r="F14" s="106" t="n">
        <x:f>SUMIFS('WC Data'!$G$6:$G$77,'WC Data'!$A$6:$A$77,$A14,'WC Data'!$B$6:$B$77,"Forecast")</x:f>
        <x:v>161.34573114</x:v>
      </x:c>
      <x:c r="G14" s="106" t="n">
        <x:f>SUMIFS('WC Data'!$H$6:$H$77,'WC Data'!$A$6:$A$77,$A14,'WC Data'!$B$6:$B$77,"Forecast")</x:f>
        <x:v>155.0539977</x:v>
      </x:c>
      <x:c r="H14" s="106" t="n">
        <x:f>SUMIFS('WC Data'!$I$6:$I$77,'WC Data'!$A$6:$A$77,$A14,'WC Data'!$B$6:$B$77,"Forecast")</x:f>
        <x:v>124.04319816</x:v>
      </x:c>
      <x:c r="I14" s="106" t="n">
        <x:f>SUMIFS('WC Data'!$J$6:$J$77,'WC Data'!$A$6:$A$77,$A14,'WC Data'!$B$6:$B$77,"Forecast")</x:f>
        <x:v>192.35653068000002</x:v>
      </x:c>
      <x:c r="K14" s="86" t="str">
        <x:v>2026-09-01</x:v>
      </x:c>
      <x:c r="L14" s="105" t="n">
        <x:f>B14</x:f>
        <x:v>31</x:v>
      </x:c>
      <x:c r="M14" s="105" t="n">
        <x:f>C14</x:f>
        <x:v>60</x:v>
      </x:c>
      <x:c r="N14" s="105" t="n">
        <x:f>D14</x:f>
        <x:v>48</x:v>
      </x:c>
    </x:row>
    <x:row r="15" ht="15" hidden="0" customHeight="1">
      <x:c r="A15" s="86" t="str">
        <x:v>2026-10-01</x:v>
      </x:c>
      <x:c r="B15" s="102" t="n">
        <x:f>SUMIFS('WC Data'!$C$6:$C$77,'WC Data'!$A$6:$A$77,$A15,'WC Data'!$B$6:$B$77,"Forecast")</x:f>
        <x:v>33.1</x:v>
      </x:c>
      <x:c r="C15" s="102" t="n">
        <x:f>SUMIFS('WC Data'!$D$6:$D$77,'WC Data'!$A$6:$A$77,$A15,'WC Data'!$B$6:$B$77,"Forecast")</x:f>
        <x:v>63.6</x:v>
      </x:c>
      <x:c r="D15" s="102" t="n">
        <x:f>SUMIFS('WC Data'!$E$6:$E$77,'WC Data'!$A$6:$A$77,$A15,'WC Data'!$B$6:$B$77,"Forecast")</x:f>
        <x:v>48</x:v>
      </x:c>
      <x:c r="E15" s="102" t="n">
        <x:f>SUMIFS('WC Data'!$F$6:$F$77,'WC Data'!$A$6:$A$77,$A15,'WC Data'!$B$6:$B$77,"Forecast")</x:f>
        <x:v>48.7</x:v>
      </x:c>
      <x:c r="F15" s="106" t="n">
        <x:f>SUMIFS('WC Data'!$G$6:$G$77,'WC Data'!$A$6:$A$77,$A15,'WC Data'!$B$6:$B$77,"Forecast")</x:f>
        <x:v>173.18314786000002</x:v>
      </x:c>
      <x:c r="G15" s="106" t="n">
        <x:f>SUMIFS('WC Data'!$H$6:$H$77,'WC Data'!$A$6:$A$77,$A15,'WC Data'!$B$6:$B$77,"Forecast")</x:f>
        <x:v>164.78853884</x:v>
      </x:c>
      <x:c r="H15" s="106" t="n">
        <x:f>SUMIFS('WC Data'!$I$6:$I$77,'WC Data'!$A$6:$A$77,$A15,'WC Data'!$B$6:$B$77,"Forecast")</x:f>
        <x:v>124.36870856</x:v>
      </x:c>
      <x:c r="I15" s="106" t="n">
        <x:f>SUMIFS('WC Data'!$J$6:$J$77,'WC Data'!$A$6:$A$77,$A15,'WC Data'!$B$6:$B$77,"Forecast")</x:f>
        <x:v>213.60297813999998</x:v>
      </x:c>
      <x:c r="K15" s="86" t="str">
        <x:v>2026-10-01</x:v>
      </x:c>
      <x:c r="L15" s="105" t="n">
        <x:f>B15</x:f>
        <x:v>33.1</x:v>
      </x:c>
      <x:c r="M15" s="105" t="n">
        <x:f>C15</x:f>
        <x:v>63.6</x:v>
      </x:c>
      <x:c r="N15" s="105" t="n">
        <x:f>D15</x:f>
        <x:v>48</x:v>
      </x:c>
    </x:row>
    <x:row r="16" ht="15" hidden="0" customHeight="1">
      <x:c r="A16" s="86" t="str">
        <x:v>2026-11-01</x:v>
      </x:c>
      <x:c r="B16" s="102" t="n">
        <x:f>SUMIFS('WC Data'!$C$6:$C$77,'WC Data'!$A$6:$A$77,$A16,'WC Data'!$B$6:$B$77,"Forecast")</x:f>
        <x:v>33.1</x:v>
      </x:c>
      <x:c r="C16" s="102" t="n">
        <x:f>SUMIFS('WC Data'!$D$6:$D$77,'WC Data'!$A$6:$A$77,$A16,'WC Data'!$B$6:$B$77,"Forecast")</x:f>
        <x:v>63.6</x:v>
      </x:c>
      <x:c r="D16" s="102" t="n">
        <x:f>SUMIFS('WC Data'!$E$6:$E$77,'WC Data'!$A$6:$A$77,$A16,'WC Data'!$B$6:$B$77,"Forecast")</x:f>
        <x:v>48</x:v>
      </x:c>
      <x:c r="E16" s="102" t="n">
        <x:f>SUMIFS('WC Data'!$F$6:$F$77,'WC Data'!$A$6:$A$77,$A16,'WC Data'!$B$6:$B$77,"Forecast")</x:f>
        <x:v>48.7</x:v>
      </x:c>
      <x:c r="F16" s="106" t="n">
        <x:f>SUMIFS('WC Data'!$G$6:$G$77,'WC Data'!$A$6:$A$77,$A16,'WC Data'!$B$6:$B$77,"Forecast")</x:f>
        <x:v>187.2329275</x:v>
      </x:c>
      <x:c r="G16" s="106" t="n">
        <x:f>SUMIFS('WC Data'!$H$6:$H$77,'WC Data'!$A$6:$A$77,$A16,'WC Data'!$B$6:$B$77,"Forecast")</x:f>
        <x:v>176.77542648</x:v>
      </x:c>
      <x:c r="H16" s="106" t="n">
        <x:f>SUMIFS('WC Data'!$I$6:$I$77,'WC Data'!$A$6:$A$77,$A16,'WC Data'!$B$6:$B$77,"Forecast")</x:f>
        <x:v>133.41541621</x:v>
      </x:c>
      <x:c r="I16" s="106" t="n">
        <x:f>SUMIFS('WC Data'!$J$6:$J$77,'WC Data'!$A$6:$A$77,$A16,'WC Data'!$B$6:$B$77,"Forecast")</x:f>
        <x:v>230.59293777000002</x:v>
      </x:c>
      <x:c r="K16" s="86" t="str">
        <x:v>2026-11-01</x:v>
      </x:c>
      <x:c r="L16" s="105" t="n">
        <x:f>B16</x:f>
        <x:v>33.1</x:v>
      </x:c>
      <x:c r="M16" s="105" t="n">
        <x:f>C16</x:f>
        <x:v>63.6</x:v>
      </x:c>
      <x:c r="N16" s="105" t="n">
        <x:f>D16</x:f>
        <x:v>48</x:v>
      </x:c>
    </x:row>
    <x:row r="17" ht="15" hidden="0" customHeight="1">
      <x:c r="A17" s="86" t="str">
        <x:v>2026-12-01</x:v>
      </x:c>
      <x:c r="B17" s="102" t="n">
        <x:f>SUMIFS('WC Data'!$C$6:$C$77,'WC Data'!$A$6:$A$77,$A17,'WC Data'!$B$6:$B$77,"Forecast")</x:f>
        <x:v>33.1</x:v>
      </x:c>
      <x:c r="C17" s="102" t="n">
        <x:f>SUMIFS('WC Data'!$D$6:$D$77,'WC Data'!$A$6:$A$77,$A17,'WC Data'!$B$6:$B$77,"Forecast")</x:f>
        <x:v>63.6</x:v>
      </x:c>
      <x:c r="D17" s="102" t="n">
        <x:f>SUMIFS('WC Data'!$E$6:$E$77,'WC Data'!$A$6:$A$77,$A17,'WC Data'!$B$6:$B$77,"Forecast")</x:f>
        <x:v>48</x:v>
      </x:c>
      <x:c r="E17" s="102" t="n">
        <x:f>SUMIFS('WC Data'!$F$6:$F$77,'WC Data'!$A$6:$A$77,$A17,'WC Data'!$B$6:$B$77,"Forecast")</x:f>
        <x:v>48.7</x:v>
      </x:c>
      <x:c r="F17" s="106" t="n">
        <x:f>SUMIFS('WC Data'!$G$6:$G$77,'WC Data'!$A$6:$A$77,$A17,'WC Data'!$B$6:$B$77,"Forecast")</x:f>
        <x:v>192.34936101</x:v>
      </x:c>
      <x:c r="G17" s="106" t="n">
        <x:f>SUMIFS('WC Data'!$H$6:$H$77,'WC Data'!$A$6:$A$77,$A17,'WC Data'!$B$6:$B$77,"Forecast")</x:f>
        <x:v>180.61637951</x:v>
      </x:c>
      <x:c r="H17" s="106" t="n">
        <x:f>SUMIFS('WC Data'!$I$6:$I$77,'WC Data'!$A$6:$A$77,$A17,'WC Data'!$B$6:$B$77,"Forecast")</x:f>
        <x:v>136.31424869</x:v>
      </x:c>
      <x:c r="I17" s="106" t="n">
        <x:f>SUMIFS('WC Data'!$J$6:$J$77,'WC Data'!$A$6:$A$77,$A17,'WC Data'!$B$6:$B$77,"Forecast")</x:f>
        <x:v>236.65149183000003</x:v>
      </x:c>
      <x:c r="K17" s="86" t="str">
        <x:v>2026-12-01</x:v>
      </x:c>
      <x:c r="L17" s="105" t="n">
        <x:f>B17</x:f>
        <x:v>33.1</x:v>
      </x:c>
      <x:c r="M17" s="105" t="n">
        <x:f>C17</x:f>
        <x:v>63.6</x:v>
      </x:c>
      <x:c r="N17" s="105" t="n">
        <x:f>D17</x:f>
        <x:v>48</x:v>
      </x:c>
    </x:row>
  </x:sheetData>
  <x:mergeCells>
    <x:mergeCell ref="A1:I2"/>
    <x:mergeCell ref="A3:I3"/>
  </x:mergeCells>
  <x:conditionalFormatting sqref="E6:E17">
    <x:cfRule type="colorScale" priority="1">
      <x:colorScale>
        <x:cfvo type="min"/>
        <x:cfvo type="percentile" val="50"/>
        <x:cfvo type="max"/>
        <x:color rgb="FFE8F7F1"/>
        <x:color rgb="FFFFF4D6"/>
        <x:color rgb="FFFDECEC"/>
      </x:colorScale>
    </x:cfRule>
  </x:conditionalFormatting>
  <x:pageMargins left="0.7" right="0.7" top="0.75" bottom="0.75" header="0.3" footer="0.3"/>
  <x:drawing xmlns:r="http://schemas.openxmlformats.org/officeDocument/2006/relationships" r:id="R68dc3027c0164367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5" hidden="0" customWidth="1"/>
    <x:col min="3" max="3" width="15" hidden="0" customWidth="1"/>
    <x:col min="4" max="4" width="15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25" customHeight="1">
      <x:c r="A1" s="3" t="str">
        <x:v>Headcount &amp; Workforce Plan</x:v>
      </x:c>
      <x:c r="B1" s="3"/>
      <x:c r="C1" s="3"/>
      <x:c r="D1" s="3"/>
      <x:c r="E1" s="3"/>
      <x:c r="F1" s="3"/>
      <x:c r="G1" s="3"/>
    </x:row>
    <x:row r="2" ht="25" customHeight="1">
      <x:c r="A2" s="3"/>
      <x:c r="B2" s="3"/>
      <x:c r="C2" s="3"/>
      <x:c r="D2" s="3"/>
      <x:c r="E2" s="3"/>
      <x:c r="F2" s="3"/>
      <x:c r="G2" s="3"/>
    </x:row>
    <x:row r="3" ht="15" hidden="0" customHeight="1">
      <x:c r="A3" s="6" t="str">
        <x:v>December 2026 FTE and full-year payroll | budget versus rolling forecast</x:v>
      </x:c>
      <x:c r="B3" s="6"/>
      <x:c r="C3" s="6"/>
      <x:c r="D3" s="6"/>
      <x:c r="E3" s="6"/>
      <x:c r="F3" s="6"/>
      <x:c r="G3" s="6"/>
    </x:row>
    <x:row r="4"/>
    <x:row r="5" ht="15" hidden="0" customHeight="1">
      <x:c r="A5" s="90" t="str">
        <x:v>Department</x:v>
      </x:c>
      <x:c r="B5" s="90" t="str">
        <x:v>Budget FTE</x:v>
      </x:c>
      <x:c r="C5" s="90" t="str">
        <x:v>Forecast FTE</x:v>
      </x:c>
      <x:c r="D5" s="90" t="str">
        <x:v>FTE Var</x:v>
      </x:c>
      <x:c r="E5" s="90" t="str">
        <x:v>Budget Payroll</x:v>
      </x:c>
      <x:c r="F5" s="90" t="str">
        <x:v>Forecast Payroll</x:v>
      </x:c>
      <x:c r="G5" s="90" t="str">
        <x:v>Payroll Var</x:v>
      </x:c>
    </x:row>
    <x:row r="6" ht="15" hidden="0" customHeight="1">
      <x:c r="A6" s="86" t="str">
        <x:v>Sales</x:v>
      </x:c>
      <x:c r="B6" s="272" t="n">
        <x:f>SUMIFS('Headcount Data'!$D$6:$D$437,'Headcount Data'!$C$6:$C$437,$A6,'Headcount Data'!$B$6:$B$437,"Budget",'Headcount Data'!$A$6:$A$437,"2026-12-01")</x:f>
        <x:v>125</x:v>
      </x:c>
      <x:c r="C6" s="272" t="n">
        <x:f>SUMIFS('Headcount Data'!$D$6:$D$437,'Headcount Data'!$C$6:$C$437,$A6,'Headcount Data'!$B$6:$B$437,"Forecast",'Headcount Data'!$A$6:$A$437,"2026-12-01")</x:f>
        <x:v>125</x:v>
      </x:c>
      <x:c r="D6" s="272" t="n">
        <x:f>C6-B6</x:f>
        <x:v>0</x:v>
      </x:c>
      <x:c r="E6" s="106" t="n">
        <x:f>SUMIFS('Headcount Data'!$G$6:$G$437,'Headcount Data'!$C$6:$C$437,$A6,'Headcount Data'!$B$6:$B$437,"Budget",'Headcount Data'!$A$6:$A$437,"&gt;=2026-01-01",'Headcount Data'!$A$6:$A$437,"&lt;=2026-12-01")</x:f>
        <x:v>152.74732856000003</x:v>
      </x:c>
      <x:c r="F6" s="106" t="n">
        <x:f>SUMIFS('Headcount Data'!$G$6:$G$437,'Headcount Data'!$C$6:$C$437,$A6,'Headcount Data'!$B$6:$B$437,"Forecast",'Headcount Data'!$A$6:$A$437,"&gt;=2026-01-01",'Headcount Data'!$A$6:$A$437,"&lt;=2026-12-01")</x:f>
        <x:v>134.10513149000002</x:v>
      </x:c>
      <x:c r="G6" s="106" t="n">
        <x:f>F6-E6</x:f>
        <x:v>-18.64219707000001</x:v>
      </x:c>
    </x:row>
    <x:row r="7" ht="15" hidden="0" customHeight="1">
      <x:c r="A7" s="86" t="str">
        <x:v>Customer Success</x:v>
      </x:c>
      <x:c r="B7" s="272" t="n">
        <x:f>SUMIFS('Headcount Data'!$D$6:$D$437,'Headcount Data'!$C$6:$C$437,$A7,'Headcount Data'!$B$6:$B$437,"Budget",'Headcount Data'!$A$6:$A$437,"2026-12-01")</x:f>
        <x:v>18</x:v>
      </x:c>
      <x:c r="C7" s="272" t="n">
        <x:f>SUMIFS('Headcount Data'!$D$6:$D$437,'Headcount Data'!$C$6:$C$437,$A7,'Headcount Data'!$B$6:$B$437,"Forecast",'Headcount Data'!$A$6:$A$437,"2026-12-01")</x:f>
        <x:v>15</x:v>
      </x:c>
      <x:c r="D7" s="272" t="n">
        <x:f>C7-B7</x:f>
        <x:v>-3</x:v>
      </x:c>
      <x:c r="E7" s="106" t="n">
        <x:f>SUMIFS('Headcount Data'!$G$6:$G$437,'Headcount Data'!$C$6:$C$437,$A7,'Headcount Data'!$B$6:$B$437,"Budget",'Headcount Data'!$A$6:$A$437,"&gt;=2026-01-01",'Headcount Data'!$A$6:$A$437,"&lt;=2026-12-01")</x:f>
        <x:v>22.76841467</x:v>
      </x:c>
      <x:c r="F7" s="106" t="n">
        <x:f>SUMIFS('Headcount Data'!$G$6:$G$437,'Headcount Data'!$C$6:$C$437,$A7,'Headcount Data'!$B$6:$B$437,"Forecast",'Headcount Data'!$A$6:$A$437,"&gt;=2026-01-01",'Headcount Data'!$A$6:$A$437,"&lt;=2026-12-01")</x:f>
        <x:v>18.802010550000002</x:v>
      </x:c>
      <x:c r="G7" s="106" t="n">
        <x:f>F7-E7</x:f>
        <x:v>-3.9664041199999964</x:v>
      </x:c>
    </x:row>
    <x:row r="8" ht="15" hidden="0" customHeight="1">
      <x:c r="A8" s="86" t="str">
        <x:v>Marketing</x:v>
      </x:c>
      <x:c r="B8" s="272" t="n">
        <x:f>SUMIFS('Headcount Data'!$D$6:$D$437,'Headcount Data'!$C$6:$C$437,$A8,'Headcount Data'!$B$6:$B$437,"Budget",'Headcount Data'!$A$6:$A$437,"2026-12-01")</x:f>
        <x:v>19</x:v>
      </x:c>
      <x:c r="C8" s="272" t="n">
        <x:f>SUMIFS('Headcount Data'!$D$6:$D$437,'Headcount Data'!$C$6:$C$437,$A8,'Headcount Data'!$B$6:$B$437,"Forecast",'Headcount Data'!$A$6:$A$437,"2026-12-01")</x:f>
        <x:v>17</x:v>
      </x:c>
      <x:c r="D8" s="272" t="n">
        <x:f>C8-B8</x:f>
        <x:v>-2</x:v>
      </x:c>
      <x:c r="E8" s="106" t="n">
        <x:f>SUMIFS('Headcount Data'!$G$6:$G$437,'Headcount Data'!$C$6:$C$437,$A8,'Headcount Data'!$B$6:$B$437,"Budget",'Headcount Data'!$A$6:$A$437,"&gt;=2026-01-01",'Headcount Data'!$A$6:$A$437,"&lt;=2026-12-01")</x:f>
        <x:v>25.403086009999996</x:v>
      </x:c>
      <x:c r="F8" s="106" t="n">
        <x:f>SUMIFS('Headcount Data'!$G$6:$G$437,'Headcount Data'!$C$6:$C$437,$A8,'Headcount Data'!$B$6:$B$437,"Forecast",'Headcount Data'!$A$6:$A$437,"&gt;=2026-01-01",'Headcount Data'!$A$6:$A$437,"&lt;=2026-12-01")</x:f>
        <x:v>21.42056677</x:v>
      </x:c>
      <x:c r="G8" s="106" t="n">
        <x:f>F8-E8</x:f>
        <x:v>-3.982519239999995</x:v>
      </x:c>
    </x:row>
    <x:row r="9" ht="15" hidden="0" customHeight="1">
      <x:c r="A9" s="86" t="str">
        <x:v>Operations</x:v>
      </x:c>
      <x:c r="B9" s="272" t="n">
        <x:f>SUMIFS('Headcount Data'!$D$6:$D$437,'Headcount Data'!$C$6:$C$437,$A9,'Headcount Data'!$B$6:$B$437,"Budget",'Headcount Data'!$A$6:$A$437,"2026-12-01")</x:f>
        <x:v>31</x:v>
      </x:c>
      <x:c r="C9" s="272" t="n">
        <x:f>SUMIFS('Headcount Data'!$D$6:$D$437,'Headcount Data'!$C$6:$C$437,$A9,'Headcount Data'!$B$6:$B$437,"Forecast",'Headcount Data'!$A$6:$A$437,"2026-12-01")</x:f>
        <x:v>31</x:v>
      </x:c>
      <x:c r="D9" s="272" t="n">
        <x:f>C9-B9</x:f>
        <x:v>0</x:v>
      </x:c>
      <x:c r="E9" s="106" t="n">
        <x:f>SUMIFS('Headcount Data'!$G$6:$G$437,'Headcount Data'!$C$6:$C$437,$A9,'Headcount Data'!$B$6:$B$437,"Budget",'Headcount Data'!$A$6:$A$437,"&gt;=2026-01-01",'Headcount Data'!$A$6:$A$437,"&lt;=2026-12-01")</x:f>
        <x:v>35.271698959999995</x:v>
      </x:c>
      <x:c r="F9" s="106" t="n">
        <x:f>SUMIFS('Headcount Data'!$G$6:$G$437,'Headcount Data'!$C$6:$C$437,$A9,'Headcount Data'!$B$6:$B$437,"Forecast",'Headcount Data'!$A$6:$A$437,"&gt;=2026-01-01",'Headcount Data'!$A$6:$A$437,"&lt;=2026-12-01")</x:f>
        <x:v>31.232693660000002</x:v>
      </x:c>
      <x:c r="G9" s="106" t="n">
        <x:f>F9-E9</x:f>
        <x:v>-4.039005299999992</x:v>
      </x:c>
    </x:row>
    <x:row r="10" ht="15" hidden="0" customHeight="1">
      <x:c r="A10" s="86" t="str">
        <x:v>Technology</x:v>
      </x:c>
      <x:c r="B10" s="272" t="n">
        <x:f>SUMIFS('Headcount Data'!$D$6:$D$437,'Headcount Data'!$C$6:$C$437,$A10,'Headcount Data'!$B$6:$B$437,"Budget",'Headcount Data'!$A$6:$A$437,"2026-12-01")</x:f>
        <x:v>24</x:v>
      </x:c>
      <x:c r="C10" s="272" t="n">
        <x:f>SUMIFS('Headcount Data'!$D$6:$D$437,'Headcount Data'!$C$6:$C$437,$A10,'Headcount Data'!$B$6:$B$437,"Forecast",'Headcount Data'!$A$6:$A$437,"2026-12-01")</x:f>
        <x:v>23</x:v>
      </x:c>
      <x:c r="D10" s="272" t="n">
        <x:f>C10-B10</x:f>
        <x:v>-1</x:v>
      </x:c>
      <x:c r="E10" s="106" t="n">
        <x:f>SUMIFS('Headcount Data'!$G$6:$G$437,'Headcount Data'!$C$6:$C$437,$A10,'Headcount Data'!$B$6:$B$437,"Budget",'Headcount Data'!$A$6:$A$437,"&gt;=2026-01-01",'Headcount Data'!$A$6:$A$437,"&lt;=2026-12-01")</x:f>
        <x:v>37.26946452999999</x:v>
      </x:c>
      <x:c r="F10" s="106" t="n">
        <x:f>SUMIFS('Headcount Data'!$G$6:$G$437,'Headcount Data'!$C$6:$C$437,$A10,'Headcount Data'!$B$6:$B$437,"Forecast",'Headcount Data'!$A$6:$A$437,"&gt;=2026-01-01",'Headcount Data'!$A$6:$A$437,"&lt;=2026-12-01")</x:f>
        <x:v>32.06946601999999</x:v>
      </x:c>
      <x:c r="G10" s="106" t="n">
        <x:f>F10-E10</x:f>
        <x:v>-5.19999851</x:v>
      </x:c>
    </x:row>
    <x:row r="11" ht="15" hidden="0" customHeight="1">
      <x:c r="A11" s="86" t="str">
        <x:v>Finance &amp; Corporate</x:v>
      </x:c>
      <x:c r="B11" s="272" t="n">
        <x:f>SUMIFS('Headcount Data'!$D$6:$D$437,'Headcount Data'!$C$6:$C$437,$A11,'Headcount Data'!$B$6:$B$437,"Budget",'Headcount Data'!$A$6:$A$437,"2026-12-01")</x:f>
        <x:v>21</x:v>
      </x:c>
      <x:c r="C11" s="272" t="n">
        <x:f>SUMIFS('Headcount Data'!$D$6:$D$437,'Headcount Data'!$C$6:$C$437,$A11,'Headcount Data'!$B$6:$B$437,"Forecast",'Headcount Data'!$A$6:$A$437,"2026-12-01")</x:f>
        <x:v>20</x:v>
      </x:c>
      <x:c r="D11" s="272" t="n">
        <x:f>C11-B11</x:f>
        <x:v>-1</x:v>
      </x:c>
      <x:c r="E11" s="106" t="n">
        <x:f>SUMIFS('Headcount Data'!$G$6:$G$437,'Headcount Data'!$C$6:$C$437,$A11,'Headcount Data'!$B$6:$B$437,"Budget",'Headcount Data'!$A$6:$A$437,"&gt;=2026-01-01",'Headcount Data'!$A$6:$A$437,"&lt;=2026-12-01")</x:f>
        <x:v>31.488939130000002</x:v>
      </x:c>
      <x:c r="F11" s="106" t="n">
        <x:f>SUMIFS('Headcount Data'!$G$6:$G$437,'Headcount Data'!$C$6:$C$437,$A11,'Headcount Data'!$B$6:$B$437,"Forecast",'Headcount Data'!$A$6:$A$437,"&gt;=2026-01-01",'Headcount Data'!$A$6:$A$437,"&lt;=2026-12-01")</x:f>
        <x:v>27.226527839999996</x:v>
      </x:c>
      <x:c r="G11" s="106" t="n">
        <x:f>F11-E11</x:f>
        <x:v>-4.262411290000006</x:v>
      </x:c>
    </x:row>
  </x:sheetData>
  <x:mergeCells>
    <x:mergeCell ref="A1:G2"/>
    <x:mergeCell ref="A3:G3"/>
  </x:mergeCells>
  <x:pageMargins left="0.7" right="0.7" top="0.75" bottom="0.75" header="0.3" footer="0.3"/>
  <x:drawing xmlns:r="http://schemas.openxmlformats.org/officeDocument/2006/relationships" r:id="Rcfe75ad7d3d94d24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7" hidden="0" customWidth="1"/>
  </x:cols>
  <x:sheetData>
    <x:row r="1" ht="25" customHeight="1">
      <x:c r="A1" s="3" t="str">
        <x:v>Capital Expenditure Plan</x:v>
      </x:c>
      <x:c r="B1" s="3"/>
      <x:c r="C1" s="3"/>
      <x:c r="D1" s="3"/>
      <x:c r="E1" s="3"/>
      <x:c r="F1" s="3"/>
      <x:c r="G1" s="3"/>
      <x:c r="H1" s="3"/>
    </x:row>
    <x:row r="2" ht="25" customHeight="1">
      <x:c r="A2" s="3"/>
      <x:c r="B2" s="3"/>
      <x:c r="C2" s="3"/>
      <x:c r="D2" s="3"/>
      <x:c r="E2" s="3"/>
      <x:c r="F2" s="3"/>
      <x:c r="G2" s="3"/>
      <x:c r="H2" s="3"/>
    </x:row>
    <x:row r="3" ht="15" hidden="0" customHeight="1">
      <x:c r="A3" s="6" t="str">
        <x:v>FY2026 spend, depreciation and year-end net book value</x:v>
      </x:c>
      <x:c r="B3" s="6"/>
      <x:c r="C3" s="6"/>
      <x:c r="D3" s="6"/>
      <x:c r="E3" s="6"/>
      <x:c r="F3" s="6"/>
      <x:c r="G3" s="6"/>
      <x:c r="H3" s="6"/>
    </x:row>
    <x:row r="4"/>
    <x:row r="5" ht="15" hidden="0" customHeight="1">
      <x:c r="A5" s="90" t="str">
        <x:v>Department</x:v>
      </x:c>
      <x:c r="B5" s="90" t="str">
        <x:v>Budget Capex</x:v>
      </x:c>
      <x:c r="C5" s="90" t="str">
        <x:v>Forecast Capex</x:v>
      </x:c>
      <x:c r="D5" s="90" t="str">
        <x:v>Variance</x:v>
      </x:c>
      <x:c r="E5" s="90" t="str">
        <x:v>Variance %</x:v>
      </x:c>
      <x:c r="F5" s="90" t="str">
        <x:v>Forecast Depreciation</x:v>
      </x:c>
      <x:c r="G5" s="90" t="str">
        <x:v>Dec-26 NBV</x:v>
      </x:c>
      <x:c r="H5" s="90" t="str">
        <x:v>Status</x:v>
      </x:c>
    </x:row>
    <x:row r="6" ht="15" hidden="0" customHeight="1">
      <x:c r="A6" s="86" t="str">
        <x:v>Sales</x:v>
      </x:c>
      <x:c r="B6" s="106" t="n">
        <x:f>SUMIFS('Capex Data'!$D$6:$D$755,'Capex Data'!$C$6:$C$755,$A6,'Capex Data'!$B$6:$B$755,"Budget",'Capex Data'!$A$6:$A$755,"&gt;=2026-01-01",'Capex Data'!$A$6:$A$755,"&lt;=2026-12-01")</x:f>
        <x:v>0</x:v>
      </x:c>
      <x:c r="C6" s="106" t="n">
        <x:f>SUMIFS('Capex Data'!$D$6:$D$755,'Capex Data'!$C$6:$C$755,$A6,'Capex Data'!$B$6:$B$755,"Forecast",'Capex Data'!$A$6:$A$755,"&gt;=2026-01-01",'Capex Data'!$A$6:$A$755,"&lt;=2026-12-01")</x:f>
        <x:v>0</x:v>
      </x:c>
      <x:c r="D6" s="106" t="n">
        <x:f>C6-B6</x:f>
        <x:v>0</x:v>
      </x:c>
      <x:c r="E6" s="104" t="n">
        <x:f>IFERROR(D6/ABS(B6),0)</x:f>
        <x:v>0</x:v>
      </x:c>
      <x:c r="F6" s="106" t="n">
        <x:f>SUMIFS('Capex Data'!$E$6:$E$755,'Capex Data'!$C$6:$C$755,$A6,'Capex Data'!$B$6:$B$755,"Forecast",'Capex Data'!$A$6:$A$755,"&gt;=2026-01-01",'Capex Data'!$A$6:$A$755,"&lt;=2026-12-01")</x:f>
        <x:v>2.9000000399999997</x:v>
      </x:c>
      <x:c r="G6" s="106" t="n">
        <x:f>SUMIFS('Capex Data'!$F$6:$F$755,'Capex Data'!$C$6:$C$755,$A6,'Capex Data'!$B$6:$B$755,"Forecast",'Capex Data'!$A$6:$A$755,"2026-12-01")</x:f>
        <x:v>8.16083333</x:v>
      </x:c>
      <x:c r="H6" s="86" t="str">
        <x:f>IF(D6&lt;=0,"WITHIN PLAN","OVER PLAN")</x:f>
        <x:v>WITHIN PLAN</x:v>
      </x:c>
    </x:row>
    <x:row r="7" ht="15" hidden="0" customHeight="1">
      <x:c r="A7" s="86" t="str">
        <x:v>Customer Success</x:v>
      </x:c>
      <x:c r="B7" s="106" t="n">
        <x:f>SUMIFS('Capex Data'!$D$6:$D$755,'Capex Data'!$C$6:$C$755,$A7,'Capex Data'!$B$6:$B$755,"Budget",'Capex Data'!$A$6:$A$755,"&gt;=2026-01-01",'Capex Data'!$A$6:$A$755,"&lt;=2026-12-01")</x:f>
        <x:v>7.466666639999999</x:v>
      </x:c>
      <x:c r="C7" s="106" t="n">
        <x:f>SUMIFS('Capex Data'!$D$6:$D$755,'Capex Data'!$C$6:$C$755,$A7,'Capex Data'!$B$6:$B$755,"Forecast",'Capex Data'!$A$6:$A$755,"&gt;=2026-01-01",'Capex Data'!$A$6:$A$755,"&lt;=2026-12-01")</x:f>
        <x:v>7.233333360000001</x:v>
      </x:c>
      <x:c r="D7" s="106" t="n">
        <x:f>C7-B7</x:f>
        <x:v>-0.23333327999999742</x:v>
      </x:c>
      <x:c r="E7" s="104" t="n">
        <x:f>IFERROR(D7/ABS(B7),0)</x:f>
        <x:v>-0.031249992968749633</x:v>
      </x:c>
      <x:c r="F7" s="106" t="n">
        <x:f>SUMIFS('Capex Data'!$E$6:$E$755,'Capex Data'!$C$6:$C$755,$A7,'Capex Data'!$B$6:$B$755,"Forecast",'Capex Data'!$A$6:$A$755,"&gt;=2026-01-01",'Capex Data'!$A$6:$A$755,"&lt;=2026-12-01")</x:f>
        <x:v>2.33750004</x:v>
      </x:c>
      <x:c r="G7" s="106" t="n">
        <x:f>SUMIFS('Capex Data'!$F$6:$F$755,'Capex Data'!$C$6:$C$755,$A7,'Capex Data'!$B$6:$B$755,"Forecast",'Capex Data'!$A$6:$A$755,"2026-12-01")</x:f>
        <x:v>16.49895833</x:v>
      </x:c>
      <x:c r="H7" s="86" t="str">
        <x:f>IF(D7&lt;=0,"WITHIN PLAN","OVER PLAN")</x:f>
        <x:v>WITHIN PLAN</x:v>
      </x:c>
    </x:row>
    <x:row r="8" ht="15" hidden="0" customHeight="1">
      <x:c r="A8" s="86" t="str">
        <x:v>Marketing</x:v>
      </x:c>
      <x:c r="B8" s="106" t="n">
        <x:f>SUMIFS('Capex Data'!$D$6:$D$755,'Capex Data'!$C$6:$C$755,$A8,'Capex Data'!$B$6:$B$755,"Budget",'Capex Data'!$A$6:$A$755,"&gt;=2026-01-01",'Capex Data'!$A$6:$A$755,"&lt;=2026-12-01")</x:f>
        <x:v>0</x:v>
      </x:c>
      <x:c r="C8" s="106" t="n">
        <x:f>SUMIFS('Capex Data'!$D$6:$D$755,'Capex Data'!$C$6:$C$755,$A8,'Capex Data'!$B$6:$B$755,"Forecast",'Capex Data'!$A$6:$A$755,"&gt;=2026-01-01",'Capex Data'!$A$6:$A$755,"&lt;=2026-12-01")</x:f>
        <x:v>0</x:v>
      </x:c>
      <x:c r="D8" s="106" t="n">
        <x:f>C8-B8</x:f>
        <x:v>0</x:v>
      </x:c>
      <x:c r="E8" s="104" t="n">
        <x:f>IFERROR(D8/ABS(B8),0)</x:f>
        <x:v>0</x:v>
      </x:c>
      <x:c r="F8" s="106" t="n">
        <x:f>SUMIFS('Capex Data'!$E$6:$E$755,'Capex Data'!$C$6:$C$755,$A8,'Capex Data'!$B$6:$B$755,"Forecast",'Capex Data'!$A$6:$A$755,"&gt;=2026-01-01",'Capex Data'!$A$6:$A$755,"&lt;=2026-12-01")</x:f>
        <x:v>0</x:v>
      </x:c>
      <x:c r="G8" s="106" t="n">
        <x:f>SUMIFS('Capex Data'!$F$6:$F$755,'Capex Data'!$C$6:$C$755,$A8,'Capex Data'!$B$6:$B$755,"Forecast",'Capex Data'!$A$6:$A$755,"2026-12-01")</x:f>
        <x:v>0</x:v>
      </x:c>
      <x:c r="H8" s="86" t="str">
        <x:f>IF(D8&lt;=0,"WITHIN PLAN","OVER PLAN")</x:f>
        <x:v>WITHIN PLAN</x:v>
      </x:c>
    </x:row>
    <x:row r="9" ht="15" hidden="0" customHeight="1">
      <x:c r="A9" s="86" t="str">
        <x:v>Operations</x:v>
      </x:c>
      <x:c r="B9" s="106" t="n">
        <x:f>SUMIFS('Capex Data'!$D$6:$D$755,'Capex Data'!$C$6:$C$755,$A9,'Capex Data'!$B$6:$B$755,"Budget",'Capex Data'!$A$6:$A$755,"&gt;=2026-01-01",'Capex Data'!$A$6:$A$755,"&lt;=2026-12-01")</x:f>
        <x:v>16.200000000000003</x:v>
      </x:c>
      <x:c r="C9" s="106" t="n">
        <x:f>SUMIFS('Capex Data'!$D$6:$D$755,'Capex Data'!$C$6:$C$755,$A9,'Capex Data'!$B$6:$B$755,"Forecast",'Capex Data'!$A$6:$A$755,"&gt;=2026-01-01",'Capex Data'!$A$6:$A$755,"&lt;=2026-12-01")</x:f>
        <x:v>15.84</x:v>
      </x:c>
      <x:c r="D9" s="106" t="n">
        <x:f>C9-B9</x:f>
        <x:v>-0.360000000000003</x:v>
      </x:c>
      <x:c r="E9" s="104" t="n">
        <x:f>IFERROR(D9/ABS(B9),0)</x:f>
        <x:v>-0.022222222222222403</x:v>
      </x:c>
      <x:c r="F9" s="106" t="n">
        <x:f>SUMIFS('Capex Data'!$E$6:$E$755,'Capex Data'!$C$6:$C$755,$A9,'Capex Data'!$B$6:$B$755,"Forecast",'Capex Data'!$A$6:$A$755,"&gt;=2026-01-01",'Capex Data'!$A$6:$A$755,"&lt;=2026-12-01")</x:f>
        <x:v>2.64999996</x:v>
      </x:c>
      <x:c r="G9" s="106" t="n">
        <x:f>SUMIFS('Capex Data'!$F$6:$F$755,'Capex Data'!$C$6:$C$755,$A9,'Capex Data'!$B$6:$B$755,"Forecast",'Capex Data'!$A$6:$A$755,"2026-12-01")</x:f>
        <x:v>27.75833333</x:v>
      </x:c>
      <x:c r="H9" s="86" t="str">
        <x:f>IF(D9&lt;=0,"WITHIN PLAN","OVER PLAN")</x:f>
        <x:v>WITHIN PLAN</x:v>
      </x:c>
    </x:row>
    <x:row r="10" ht="15" hidden="0" customHeight="1">
      <x:c r="A10" s="86" t="str">
        <x:v>Technology</x:v>
      </x:c>
      <x:c r="B10" s="106" t="n">
        <x:f>SUMIFS('Capex Data'!$D$6:$D$755,'Capex Data'!$C$6:$C$755,$A10,'Capex Data'!$B$6:$B$755,"Budget",'Capex Data'!$A$6:$A$755,"&gt;=2026-01-01",'Capex Data'!$A$6:$A$755,"&lt;=2026-12-01")</x:f>
        <x:v>13.5</x:v>
      </x:c>
      <x:c r="C10" s="106" t="n">
        <x:f>SUMIFS('Capex Data'!$D$6:$D$755,'Capex Data'!$C$6:$C$755,$A10,'Capex Data'!$B$6:$B$755,"Forecast",'Capex Data'!$A$6:$A$755,"&gt;=2026-01-01",'Capex Data'!$A$6:$A$755,"&lt;=2026-12-01")</x:f>
        <x:v>12.899999970000001</x:v>
      </x:c>
      <x:c r="D10" s="106" t="n">
        <x:f>C10-B10</x:f>
        <x:v>-0.6000000299999986</x:v>
      </x:c>
      <x:c r="E10" s="104" t="n">
        <x:f>IFERROR(D10/ABS(B10),0)</x:f>
        <x:v>-0.04444444666666656</x:v>
      </x:c>
      <x:c r="F10" s="106" t="n">
        <x:f>SUMIFS('Capex Data'!$E$6:$E$755,'Capex Data'!$C$6:$C$755,$A10,'Capex Data'!$B$6:$B$755,"Forecast",'Capex Data'!$A$6:$A$755,"&gt;=2026-01-01",'Capex Data'!$A$6:$A$755,"&lt;=2026-12-01")</x:f>
        <x:v>5.91875004</x:v>
      </x:c>
      <x:c r="G10" s="106" t="n">
        <x:f>SUMIFS('Capex Data'!$F$6:$F$755,'Capex Data'!$C$6:$C$755,$A10,'Capex Data'!$B$6:$B$755,"Forecast",'Capex Data'!$A$6:$A$755,"2026-12-01")</x:f>
        <x:v>17.55520833</x:v>
      </x:c>
      <x:c r="H10" s="86" t="str">
        <x:f>IF(D10&lt;=0,"WITHIN PLAN","OVER PLAN")</x:f>
        <x:v>WITHIN PLAN</x:v>
      </x:c>
    </x:row>
    <x:row r="11" ht="15" hidden="0" customHeight="1">
      <x:c r="A11" s="86" t="str">
        <x:v>Finance &amp; Corporate</x:v>
      </x:c>
      <x:c r="B11" s="106" t="n">
        <x:f>SUMIFS('Capex Data'!$D$6:$D$755,'Capex Data'!$C$6:$C$755,$A11,'Capex Data'!$B$6:$B$755,"Budget",'Capex Data'!$A$6:$A$755,"&gt;=2026-01-01",'Capex Data'!$A$6:$A$755,"&lt;=2026-12-01")</x:f>
        <x:v>3.50000001</x:v>
      </x:c>
      <x:c r="C11" s="106" t="n">
        <x:f>SUMIFS('Capex Data'!$D$6:$D$755,'Capex Data'!$C$6:$C$755,$A11,'Capex Data'!$B$6:$B$755,"Forecast",'Capex Data'!$A$6:$A$755,"&gt;=2026-01-01",'Capex Data'!$A$6:$A$755,"&lt;=2026-12-01")</x:f>
        <x:v>3.3999999900000004</x:v>
      </x:c>
      <x:c r="D11" s="106" t="n">
        <x:f>C11-B11</x:f>
        <x:v>-0.10000001999999952</x:v>
      </x:c>
      <x:c r="E11" s="104" t="n">
        <x:f>IFERROR(D11/ABS(B11),0)</x:f>
        <x:v>-0.02857143420408148</x:v>
      </x:c>
      <x:c r="F11" s="106" t="n">
        <x:f>SUMIFS('Capex Data'!$E$6:$E$755,'Capex Data'!$C$6:$C$755,$A11,'Capex Data'!$B$6:$B$755,"Forecast",'Capex Data'!$A$6:$A$755,"&gt;=2026-01-01",'Capex Data'!$A$6:$A$755,"&lt;=2026-12-01")</x:f>
        <x:v>1.6999999999999997</x:v>
      </x:c>
      <x:c r="G11" s="106" t="n">
        <x:f>SUMIFS('Capex Data'!$F$6:$F$755,'Capex Data'!$C$6:$C$755,$A11,'Capex Data'!$B$6:$B$755,"Forecast",'Capex Data'!$A$6:$A$755,"2026-12-01")</x:f>
        <x:v>8.5</x:v>
      </x:c>
      <x:c r="H11" s="86" t="str">
        <x:f>IF(D11&lt;=0,"WITHIN PLAN","OVER PLAN")</x:f>
        <x:v>WITHIN PLAN</x:v>
      </x:c>
    </x:row>
  </x:sheetData>
  <x:mergeCells>
    <x:mergeCell ref="A1:H2"/>
    <x:mergeCell ref="A3:H3"/>
  </x:mergeCells>
  <x:conditionalFormatting sqref="H6:H11">
    <x:cfRule type="containsText" dxfId="7" priority="1" operator="containsText" text="WITHIN"/>
    <x:cfRule type="containsText" dxfId="8" priority="2" operator="containsText" text="OVER"/>
  </x:conditionalFormatting>
  <x:pageMargins left="0.7" right="0.7" top="0.75" bottom="0.75" header="0.3" footer="0.3"/>
  <x:drawing xmlns:r="http://schemas.openxmlformats.org/officeDocument/2006/relationships" r:id="R35c365c52c084990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20" hidden="0" customWidth="1"/>
  </x:cols>
  <x:sheetData>
    <x:row r="1" ht="25" customHeight="1">
      <x:c r="A1" s="3" t="str">
        <x:v>Department Budget Ownership</x:v>
      </x:c>
      <x:c r="B1" s="3"/>
      <x:c r="C1" s="3"/>
      <x:c r="D1" s="3"/>
      <x:c r="E1" s="3"/>
      <x:c r="F1" s="3"/>
      <x:c r="G1" s="3"/>
      <x:c r="H1" s="3"/>
    </x:row>
    <x:row r="2" ht="25" customHeight="1">
      <x:c r="A2" s="3"/>
      <x:c r="B2" s="3"/>
      <x:c r="C2" s="3"/>
      <x:c r="D2" s="3"/>
      <x:c r="E2" s="3"/>
      <x:c r="F2" s="3"/>
      <x:c r="G2" s="3"/>
      <x:c r="H2" s="3"/>
    </x:row>
    <x:row r="3" ht="15" hidden="0" customHeight="1">
      <x:c r="A3" s="6" t="str">
        <x:v>FY2026 revenue, opex and EBITDA accountability</x:v>
      </x:c>
      <x:c r="B3" s="6"/>
      <x:c r="C3" s="6"/>
      <x:c r="D3" s="6"/>
      <x:c r="E3" s="6"/>
      <x:c r="F3" s="6"/>
      <x:c r="G3" s="6"/>
      <x:c r="H3" s="6"/>
    </x:row>
    <x:row r="4"/>
    <x:row r="5" ht="15" hidden="0" customHeight="1">
      <x:c r="A5" s="90" t="str">
        <x:v>Department</x:v>
      </x:c>
      <x:c r="B5" s="90" t="str">
        <x:v>Budget Revenue</x:v>
      </x:c>
      <x:c r="C5" s="90" t="str">
        <x:v>Forecast Revenue</x:v>
      </x:c>
      <x:c r="D5" s="90" t="str">
        <x:v>Revenue Var</x:v>
      </x:c>
      <x:c r="E5" s="90" t="str">
        <x:v>Budget Opex</x:v>
      </x:c>
      <x:c r="F5" s="90" t="str">
        <x:v>Forecast Opex</x:v>
      </x:c>
      <x:c r="G5" s="90" t="str">
        <x:v>Forecast EBITDA</x:v>
      </x:c>
      <x:c r="H5" s="90" t="str">
        <x:v>Forecast EBITDA Margin</x:v>
      </x:c>
    </x:row>
    <x:row r="6" ht="15" hidden="0" customHeight="1">
      <x:c r="A6" s="86" t="str">
        <x:v>Sales</x:v>
      </x:c>
      <x:c r="B6" s="106" t="n">
        <x:f>SUMIFS('Department Data'!$G$6:$G$437,'Department Data'!$B$6:$B$437,$A6,'Department Data'!$Q$6:$Q$437,"Budget",'Department Data'!$R$6:$R$437,2026)</x:f>
        <x:v>1733.7811141</x:v>
      </x:c>
      <x:c r="C6" s="106" t="n">
        <x:f>SUMIFS('Department Data'!$G$6:$G$437,'Department Data'!$B$6:$B$437,$A6,'Department Data'!$Q$6:$Q$437,"Forecast",'Department Data'!$R$6:$R$437,2026)</x:f>
        <x:v>1685.27690876</x:v>
      </x:c>
      <x:c r="D6" s="106" t="n">
        <x:f>C6-B6</x:f>
        <x:v>-48.50420534</x:v>
      </x:c>
      <x:c r="E6" s="106" t="n">
        <x:f>SUMIFS('Department Data'!$F$6:$F$437,'Department Data'!$B$6:$B$437,$A6,'Department Data'!$Q$6:$Q$437,"Budget",'Department Data'!$R$6:$R$437,2026)</x:f>
        <x:v>303.55295669</x:v>
      </x:c>
      <x:c r="F6" s="106" t="n">
        <x:f>SUMIFS('Department Data'!$F$6:$F$437,'Department Data'!$B$6:$B$437,$A6,'Department Data'!$Q$6:$Q$437,"Forecast",'Department Data'!$R$6:$R$437,2026)</x:f>
        <x:v>281.16442868</x:v>
      </x:c>
      <x:c r="G6" s="106" t="n">
        <x:f>SUMIFS('Department Data'!$J$6:$J$437,'Department Data'!$B$6:$B$437,$A6,'Department Data'!$Q$6:$Q$437,"Forecast",'Department Data'!$R$6:$R$437,2026)</x:f>
        <x:v>544.86751566</x:v>
      </x:c>
      <x:c r="H6" s="104" t="n">
        <x:f>IFERROR(G6/C6,0)</x:f>
        <x:v>0.32331037874417023</x:v>
      </x:c>
    </x:row>
    <x:row r="7" ht="15" hidden="0" customHeight="1">
      <x:c r="A7" s="86" t="str">
        <x:v>Customer Success</x:v>
      </x:c>
      <x:c r="B7" s="106" t="n">
        <x:f>SUMIFS('Department Data'!$G$6:$G$437,'Department Data'!$B$6:$B$437,$A7,'Department Data'!$Q$6:$Q$437,"Budget",'Department Data'!$R$6:$R$437,2026)</x:f>
        <x:v>105.06561106999999</x:v>
      </x:c>
      <x:c r="C7" s="106" t="n">
        <x:f>SUMIFS('Department Data'!$G$6:$G$437,'Department Data'!$B$6:$B$437,$A7,'Department Data'!$Q$6:$Q$437,"Forecast",'Department Data'!$R$6:$R$437,2026)</x:f>
        <x:v>105.53526903999999</x:v>
      </x:c>
      <x:c r="D7" s="106" t="n">
        <x:f>C7-B7</x:f>
        <x:v>0.4696579700000001</x:v>
      </x:c>
      <x:c r="E7" s="106" t="n">
        <x:f>SUMIFS('Department Data'!$F$6:$F$437,'Department Data'!$B$6:$B$437,$A7,'Department Data'!$Q$6:$Q$437,"Budget",'Department Data'!$R$6:$R$437,2026)</x:f>
        <x:v>45.57091409</x:v>
      </x:c>
      <x:c r="F7" s="106" t="n">
        <x:f>SUMIFS('Department Data'!$F$6:$F$437,'Department Data'!$B$6:$B$437,$A7,'Department Data'!$Q$6:$Q$437,"Forecast",'Department Data'!$R$6:$R$437,2026)</x:f>
        <x:v>41.81829934</x:v>
      </x:c>
      <x:c r="G7" s="106" t="n">
        <x:f>SUMIFS('Department Data'!$J$6:$J$437,'Department Data'!$B$6:$B$437,$A7,'Department Data'!$Q$6:$Q$437,"Forecast",'Department Data'!$R$6:$R$437,2026)</x:f>
        <x:v>37.0645816</x:v>
      </x:c>
      <x:c r="H7" s="104" t="n">
        <x:f>IFERROR(G7/C7,0)</x:f>
        <x:v>0.35120563899781954</x:v>
      </x:c>
    </x:row>
    <x:row r="8" ht="15" hidden="0" customHeight="1">
      <x:c r="A8" s="86" t="str">
        <x:v>Marketing</x:v>
      </x:c>
      <x:c r="B8" s="106" t="n">
        <x:f>SUMIFS('Department Data'!$G$6:$G$437,'Department Data'!$B$6:$B$437,$A8,'Department Data'!$Q$6:$Q$437,"Budget",'Department Data'!$R$6:$R$437,2026)</x:f>
        <x:v>0</x:v>
      </x:c>
      <x:c r="C8" s="106" t="n">
        <x:f>SUMIFS('Department Data'!$G$6:$G$437,'Department Data'!$B$6:$B$437,$A8,'Department Data'!$Q$6:$Q$437,"Forecast",'Department Data'!$R$6:$R$437,2026)</x:f>
        <x:v>0</x:v>
      </x:c>
      <x:c r="D8" s="106" t="n">
        <x:f>C8-B8</x:f>
        <x:v>0</x:v>
      </x:c>
      <x:c r="E8" s="106" t="n">
        <x:f>SUMIFS('Department Data'!$F$6:$F$437,'Department Data'!$B$6:$B$437,$A8,'Department Data'!$Q$6:$Q$437,"Budget",'Department Data'!$R$6:$R$437,2026)</x:f>
        <x:v>95.86660318</x:v>
      </x:c>
      <x:c r="F8" s="106" t="n">
        <x:f>SUMIFS('Department Data'!$F$6:$F$437,'Department Data'!$B$6:$B$437,$A8,'Department Data'!$Q$6:$Q$437,"Forecast",'Department Data'!$R$6:$R$437,2026)</x:f>
        <x:v>91.86497593</x:v>
      </x:c>
      <x:c r="G8" s="106" t="n">
        <x:f>SUMIFS('Department Data'!$J$6:$J$437,'Department Data'!$B$6:$B$437,$A8,'Department Data'!$Q$6:$Q$437,"Forecast",'Department Data'!$R$6:$R$437,2026)</x:f>
        <x:v>-91.86497593</x:v>
      </x:c>
      <x:c r="H8" s="104" t="n">
        <x:f>IFERROR(G8/C8,0)</x:f>
        <x:v>0</x:v>
      </x:c>
    </x:row>
    <x:row r="9" ht="15" hidden="0" customHeight="1">
      <x:c r="A9" s="86" t="str">
        <x:v>Operations</x:v>
      </x:c>
      <x:c r="B9" s="106" t="n">
        <x:f>SUMIFS('Department Data'!$G$6:$G$437,'Department Data'!$B$6:$B$437,$A9,'Department Data'!$Q$6:$Q$437,"Budget",'Department Data'!$R$6:$R$437,2026)</x:f>
        <x:v>0</x:v>
      </x:c>
      <x:c r="C9" s="106" t="n">
        <x:f>SUMIFS('Department Data'!$G$6:$G$437,'Department Data'!$B$6:$B$437,$A9,'Department Data'!$Q$6:$Q$437,"Forecast",'Department Data'!$R$6:$R$437,2026)</x:f>
        <x:v>0</x:v>
      </x:c>
      <x:c r="D9" s="106" t="n">
        <x:f>C9-B9</x:f>
        <x:v>0</x:v>
      </x:c>
      <x:c r="E9" s="106" t="n">
        <x:f>SUMIFS('Department Data'!$F$6:$F$437,'Department Data'!$B$6:$B$437,$A9,'Department Data'!$Q$6:$Q$437,"Budget",'Department Data'!$R$6:$R$437,2026)</x:f>
        <x:v>130.08015980000002</x:v>
      </x:c>
      <x:c r="F9" s="106" t="n">
        <x:f>SUMIFS('Department Data'!$F$6:$F$437,'Department Data'!$B$6:$B$437,$A9,'Department Data'!$Q$6:$Q$437,"Forecast",'Department Data'!$R$6:$R$437,2026)</x:f>
        <x:v>127.04603059000002</x:v>
      </x:c>
      <x:c r="G9" s="106" t="n">
        <x:f>SUMIFS('Department Data'!$J$6:$J$437,'Department Data'!$B$6:$B$437,$A9,'Department Data'!$Q$6:$Q$437,"Forecast",'Department Data'!$R$6:$R$437,2026)</x:f>
        <x:v>-127.04603059000002</x:v>
      </x:c>
      <x:c r="H9" s="104" t="n">
        <x:f>IFERROR(G9/C9,0)</x:f>
        <x:v>0</x:v>
      </x:c>
    </x:row>
    <x:row r="10" ht="15" hidden="0" customHeight="1">
      <x:c r="A10" s="86" t="str">
        <x:v>Technology</x:v>
      </x:c>
      <x:c r="B10" s="106" t="n">
        <x:f>SUMIFS('Department Data'!$G$6:$G$437,'Department Data'!$B$6:$B$437,$A10,'Department Data'!$Q$6:$Q$437,"Budget",'Department Data'!$R$6:$R$437,2026)</x:f>
        <x:v>0</x:v>
      </x:c>
      <x:c r="C10" s="106" t="n">
        <x:f>SUMIFS('Department Data'!$G$6:$G$437,'Department Data'!$B$6:$B$437,$A10,'Department Data'!$Q$6:$Q$437,"Forecast",'Department Data'!$R$6:$R$437,2026)</x:f>
        <x:v>0</x:v>
      </x:c>
      <x:c r="D10" s="106" t="n">
        <x:f>C10-B10</x:f>
        <x:v>0</x:v>
      </x:c>
      <x:c r="E10" s="106" t="n">
        <x:f>SUMIFS('Department Data'!$F$6:$F$437,'Department Data'!$B$6:$B$437,$A10,'Department Data'!$Q$6:$Q$437,"Budget",'Department Data'!$R$6:$R$437,2026)</x:f>
        <x:v>118.04468752999999</x:v>
      </x:c>
      <x:c r="F10" s="106" t="n">
        <x:f>SUMIFS('Department Data'!$F$6:$F$437,'Department Data'!$B$6:$B$437,$A10,'Department Data'!$Q$6:$Q$437,"Forecast",'Department Data'!$R$6:$R$437,2026)</x:f>
        <x:v>112.88058726</x:v>
      </x:c>
      <x:c r="G10" s="106" t="n">
        <x:f>SUMIFS('Department Data'!$J$6:$J$437,'Department Data'!$B$6:$B$437,$A10,'Department Data'!$Q$6:$Q$437,"Forecast",'Department Data'!$R$6:$R$437,2026)</x:f>
        <x:v>-112.88058726</x:v>
      </x:c>
      <x:c r="H10" s="104" t="n">
        <x:f>IFERROR(G10/C10,0)</x:f>
        <x:v>0</x:v>
      </x:c>
    </x:row>
    <x:row r="11" ht="15" hidden="0" customHeight="1">
      <x:c r="A11" s="86" t="str">
        <x:v>Finance &amp; Corporate</x:v>
      </x:c>
      <x:c r="B11" s="106" t="n">
        <x:f>SUMIFS('Department Data'!$G$6:$G$437,'Department Data'!$B$6:$B$437,$A11,'Department Data'!$Q$6:$Q$437,"Budget",'Department Data'!$R$6:$R$437,2026)</x:f>
        <x:v>0</x:v>
      </x:c>
      <x:c r="C11" s="106" t="n">
        <x:f>SUMIFS('Department Data'!$G$6:$G$437,'Department Data'!$B$6:$B$437,$A11,'Department Data'!$Q$6:$Q$437,"Forecast",'Department Data'!$R$6:$R$437,2026)</x:f>
        <x:v>0</x:v>
      </x:c>
      <x:c r="D11" s="106" t="n">
        <x:f>C11-B11</x:f>
        <x:v>0</x:v>
      </x:c>
      <x:c r="E11" s="106" t="n">
        <x:f>SUMIFS('Department Data'!$F$6:$F$437,'Department Data'!$B$6:$B$437,$A11,'Department Data'!$Q$6:$Q$437,"Budget",'Department Data'!$R$6:$R$437,2026)</x:f>
        <x:v>90.2884021</x:v>
      </x:c>
      <x:c r="F11" s="106" t="n">
        <x:f>SUMIFS('Department Data'!$F$6:$F$437,'Department Data'!$B$6:$B$437,$A11,'Department Data'!$Q$6:$Q$437,"Forecast",'Department Data'!$R$6:$R$437,2026)</x:f>
        <x:v>85.75945207999999</x:v>
      </x:c>
      <x:c r="G11" s="106" t="n">
        <x:f>SUMIFS('Department Data'!$J$6:$J$437,'Department Data'!$B$6:$B$437,$A11,'Department Data'!$Q$6:$Q$437,"Forecast",'Department Data'!$R$6:$R$437,2026)</x:f>
        <x:v>-85.75945207999999</x:v>
      </x:c>
      <x:c r="H11" s="104" t="n">
        <x:f>IFERROR(G11/C11,0)</x:f>
        <x:v>0</x:v>
      </x:c>
    </x:row>
  </x:sheetData>
  <x:mergeCells>
    <x:mergeCell ref="A1:H2"/>
    <x:mergeCell ref="A3:H3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5" hidden="0" customWidth="1"/>
    <x:col min="7" max="7" width="19" hidden="0" customWidth="1"/>
    <x:col min="8" max="8" width="15" hidden="0" customWidth="1"/>
  </x:cols>
  <x:sheetData>
    <x:row r="1" ht="25" customHeight="1">
      <x:c r="A1" s="3" t="str">
        <x:v>Business Unit Performance</x:v>
      </x:c>
      <x:c r="B1" s="3"/>
      <x:c r="C1" s="3"/>
      <x:c r="D1" s="3"/>
      <x:c r="E1" s="3"/>
      <x:c r="F1" s="3"/>
      <x:c r="G1" s="3"/>
      <x:c r="H1" s="3"/>
    </x:row>
    <x:row r="2" ht="25" customHeight="1">
      <x:c r="A2" s="3"/>
      <x:c r="B2" s="3"/>
      <x:c r="C2" s="3"/>
      <x:c r="D2" s="3"/>
      <x:c r="E2" s="3"/>
      <x:c r="F2" s="3"/>
      <x:c r="G2" s="3"/>
      <x:c r="H2" s="3"/>
    </x:row>
    <x:row r="3" ht="15" hidden="0" customHeight="1">
      <x:c r="A3" s="6" t="str">
        <x:v>FY2026 budget and forecast profitability by operating model</x:v>
      </x:c>
      <x:c r="B3" s="6"/>
      <x:c r="C3" s="6"/>
      <x:c r="D3" s="6"/>
      <x:c r="E3" s="6"/>
      <x:c r="F3" s="6"/>
      <x:c r="G3" s="6"/>
      <x:c r="H3" s="6"/>
    </x:row>
    <x:row r="4"/>
    <x:row r="5" ht="15" hidden="0" customHeight="1">
      <x:c r="A5" s="90" t="str">
        <x:v>Business Unit</x:v>
      </x:c>
      <x:c r="B5" s="90" t="str">
        <x:v>Budget Revenue</x:v>
      </x:c>
      <x:c r="C5" s="90" t="str">
        <x:v>Forecast Revenue</x:v>
      </x:c>
      <x:c r="D5" s="90" t="str">
        <x:v>Revenue Var</x:v>
      </x:c>
      <x:c r="E5" s="90" t="str">
        <x:v>Forecast Gross Profit</x:v>
      </x:c>
      <x:c r="F5" s="90" t="str">
        <x:v>Gross Margin</x:v>
      </x:c>
      <x:c r="G5" s="90" t="str">
        <x:v>Forecast EBITDA</x:v>
      </x:c>
      <x:c r="H5" s="90" t="str">
        <x:v>EBITDA Margin</x:v>
      </x:c>
    </x:row>
    <x:row r="6" ht="15" hidden="0" customHeight="1">
      <x:c r="A6" s="86" t="str">
        <x:v>Digital Commerce</x:v>
      </x:c>
      <x:c r="B6" s="106" t="n">
        <x:f>SUMIFS('BU Data'!$G$6:$G$365,'BU Data'!$B$6:$B$365,$A6,'BU Data'!$Q$6:$Q$365,"Budget",'BU Data'!$R$6:$R$365,2026)</x:f>
        <x:v>818.5432772199999</x:v>
      </x:c>
      <x:c r="C6" s="106" t="n">
        <x:f>SUMIFS('BU Data'!$G$6:$G$365,'BU Data'!$B$6:$B$365,$A6,'BU Data'!$Q$6:$Q$365,"Forecast",'BU Data'!$R$6:$R$365,2026)</x:f>
        <x:v>788.3414931199999</x:v>
      </x:c>
      <x:c r="D6" s="106" t="n">
        <x:f>C6-B6</x:f>
        <x:v>-30.201784100000054</x:v>
      </x:c>
      <x:c r="E6" s="106" t="n">
        <x:f>SUMIFS('BU Data'!$I$6:$I$365,'BU Data'!$B$6:$B$365,$A6,'BU Data'!$Q$6:$Q$365,"Forecast",'BU Data'!$R$6:$R$365,2026)</x:f>
        <x:v>426.60115538</x:v>
      </x:c>
      <x:c r="F6" s="104" t="n">
        <x:f>IFERROR(E6/C6,0)</x:f>
        <x:v>0.5411375135052844</x:v>
      </x:c>
      <x:c r="G6" s="106" t="n">
        <x:f>SUMIFS('BU Data'!$J$6:$J$365,'BU Data'!$B$6:$B$365,$A6,'BU Data'!$Q$6:$Q$365,"Forecast",'BU Data'!$R$6:$R$365,2026)</x:f>
        <x:v>296.31951323000004</x:v>
      </x:c>
      <x:c r="H6" s="104" t="n">
        <x:f>IFERROR(G6/C6,0)</x:f>
        <x:v>0.3758770987142432</x:v>
      </x:c>
    </x:row>
    <x:row r="7" ht="15" hidden="0" customHeight="1">
      <x:c r="A7" s="86" t="str">
        <x:v>Retail Stores</x:v>
      </x:c>
      <x:c r="B7" s="106" t="n">
        <x:f>SUMIFS('BU Data'!$G$6:$G$365,'BU Data'!$B$6:$B$365,$A7,'BU Data'!$Q$6:$Q$365,"Budget",'BU Data'!$R$6:$R$365,2026)</x:f>
        <x:v>477.03997811</x:v>
      </x:c>
      <x:c r="C7" s="106" t="n">
        <x:f>SUMIFS('BU Data'!$G$6:$G$365,'BU Data'!$B$6:$B$365,$A7,'BU Data'!$Q$6:$Q$365,"Forecast",'BU Data'!$R$6:$R$365,2026)</x:f>
        <x:v>461.13945637</x:v>
      </x:c>
      <x:c r="D7" s="106" t="n">
        <x:f>C7-B7</x:f>
        <x:v>-15.900521739999988</x:v>
      </x:c>
      <x:c r="E7" s="106" t="n">
        <x:f>SUMIFS('BU Data'!$I$6:$I$365,'BU Data'!$B$6:$B$365,$A7,'BU Data'!$Q$6:$Q$365,"Forecast",'BU Data'!$R$6:$R$365,2026)</x:f>
        <x:v>227.02390868</x:v>
      </x:c>
      <x:c r="F7" s="104" t="n">
        <x:f>IFERROR(E7/C7,0)</x:f>
        <x:v>0.4923107436242563</x:v>
      </x:c>
      <x:c r="G7" s="106" t="n">
        <x:f>SUMIFS('BU Data'!$J$6:$J$365,'BU Data'!$B$6:$B$365,$A7,'BU Data'!$Q$6:$Q$365,"Forecast",'BU Data'!$R$6:$R$365,2026)</x:f>
        <x:v>127.58714671000001</x:v>
      </x:c>
      <x:c r="H7" s="104" t="n">
        <x:f>IFERROR(G7/C7,0)</x:f>
        <x:v>0.2766780091088739</x:v>
      </x:c>
    </x:row>
    <x:row r="8" ht="15" hidden="0" customHeight="1">
      <x:c r="A8" s="86" t="str">
        <x:v>Wholesale</x:v>
      </x:c>
      <x:c r="B8" s="106" t="n">
        <x:f>SUMIFS('BU Data'!$G$6:$G$365,'BU Data'!$B$6:$B$365,$A8,'BU Data'!$Q$6:$Q$365,"Budget",'BU Data'!$R$6:$R$365,2026)</x:f>
        <x:v>438.19785877</x:v>
      </x:c>
      <x:c r="C8" s="106" t="n">
        <x:f>SUMIFS('BU Data'!$G$6:$G$365,'BU Data'!$B$6:$B$365,$A8,'BU Data'!$Q$6:$Q$365,"Forecast",'BU Data'!$R$6:$R$365,2026)</x:f>
        <x:v>435.79595926999986</x:v>
      </x:c>
      <x:c r="D8" s="106" t="n">
        <x:f>C8-B8</x:f>
        <x:v>-2.401899500000127</x:v>
      </x:c>
      <x:c r="E8" s="106" t="n">
        <x:f>SUMIFS('BU Data'!$I$6:$I$365,'BU Data'!$B$6:$B$365,$A8,'BU Data'!$Q$6:$Q$365,"Forecast",'BU Data'!$R$6:$R$365,2026)</x:f>
        <x:v>172.40688027999997</x:v>
      </x:c>
      <x:c r="F8" s="104" t="n">
        <x:f>IFERROR(E8/C8,0)</x:f>
        <x:v>0.3956137651409115</x:v>
      </x:c>
      <x:c r="G8" s="106" t="n">
        <x:f>SUMIFS('BU Data'!$J$6:$J$365,'BU Data'!$B$6:$B$365,$A8,'BU Data'!$Q$6:$Q$365,"Forecast",'BU Data'!$R$6:$R$365,2026)</x:f>
        <x:v>120.96085572</x:v>
      </x:c>
      <x:c r="H8" s="104" t="n">
        <x:f>IFERROR(G8/C8,0)</x:f>
        <x:v>0.27756305020042193</x:v>
      </x:c>
    </x:row>
    <x:row r="9" ht="15" hidden="0" customHeight="1">
      <x:c r="A9" s="86" t="str">
        <x:v>Subscription Services</x:v>
      </x:c>
      <x:c r="B9" s="106" t="n">
        <x:f>SUMIFS('BU Data'!$G$6:$G$365,'BU Data'!$B$6:$B$365,$A9,'BU Data'!$Q$6:$Q$365,"Budget",'BU Data'!$R$6:$R$365,2026)</x:f>
        <x:v>105.06561106999999</x:v>
      </x:c>
      <x:c r="C9" s="106" t="n">
        <x:f>SUMIFS('BU Data'!$G$6:$G$365,'BU Data'!$B$6:$B$365,$A9,'BU Data'!$Q$6:$Q$365,"Forecast",'BU Data'!$R$6:$R$365,2026)</x:f>
        <x:v>105.53526903999999</x:v>
      </x:c>
      <x:c r="D9" s="106" t="n">
        <x:f>C9-B9</x:f>
        <x:v>0.4696579700000001</x:v>
      </x:c>
      <x:c r="E9" s="106" t="n">
        <x:f>SUMIFS('BU Data'!$I$6:$I$365,'BU Data'!$B$6:$B$365,$A9,'BU Data'!$Q$6:$Q$365,"Forecast",'BU Data'!$R$6:$R$365,2026)</x:f>
        <x:v>78.88288093999999</x:v>
      </x:c>
      <x:c r="F9" s="104" t="n">
        <x:f>IFERROR(E9/C9,0)</x:f>
        <x:v>0.7474551555850186</x:v>
      </x:c>
      <x:c r="G9" s="106" t="n">
        <x:f>SUMIFS('BU Data'!$J$6:$J$365,'BU Data'!$B$6:$B$365,$A9,'BU Data'!$Q$6:$Q$365,"Forecast",'BU Data'!$R$6:$R$365,2026)</x:f>
        <x:v>37.0645816</x:v>
      </x:c>
      <x:c r="H9" s="104" t="n">
        <x:f>IFERROR(G9/C9,0)</x:f>
        <x:v>0.35120563899781954</x:v>
      </x:c>
    </x:row>
    <x:row r="10" ht="15" hidden="0" customHeight="1">
      <x:c r="A10" s="86" t="str">
        <x:v>Shared Services</x:v>
      </x:c>
      <x:c r="B10" s="106" t="n">
        <x:f>SUMIFS('BU Data'!$G$6:$G$365,'BU Data'!$B$6:$B$365,$A10,'BU Data'!$Q$6:$Q$365,"Budget",'BU Data'!$R$6:$R$365,2026)</x:f>
        <x:v>0</x:v>
      </x:c>
      <x:c r="C10" s="106" t="n">
        <x:f>SUMIFS('BU Data'!$G$6:$G$365,'BU Data'!$B$6:$B$365,$A10,'BU Data'!$Q$6:$Q$365,"Forecast",'BU Data'!$R$6:$R$365,2026)</x:f>
        <x:v>0</x:v>
      </x:c>
      <x:c r="D10" s="106" t="n">
        <x:f>C10-B10</x:f>
        <x:v>0</x:v>
      </x:c>
      <x:c r="E10" s="106" t="n">
        <x:f>SUMIFS('BU Data'!$I$6:$I$365,'BU Data'!$B$6:$B$365,$A10,'BU Data'!$Q$6:$Q$365,"Forecast",'BU Data'!$R$6:$R$365,2026)</x:f>
        <x:v>0</x:v>
      </x:c>
      <x:c r="F10" s="104" t="n">
        <x:f>IFERROR(E10/C10,0)</x:f>
        <x:v>0</x:v>
      </x:c>
      <x:c r="G10" s="106" t="n">
        <x:f>SUMIFS('BU Data'!$J$6:$J$365,'BU Data'!$B$6:$B$365,$A10,'BU Data'!$Q$6:$Q$365,"Forecast",'BU Data'!$R$6:$R$365,2026)</x:f>
        <x:v>-417.55104585999993</x:v>
      </x:c>
      <x:c r="H10" s="104" t="n">
        <x:f>IFERROR(G10/C10,0)</x:f>
        <x:v>0</x:v>
      </x:c>
    </x:row>
  </x:sheetData>
  <x:mergeCells>
    <x:mergeCell ref="A1:H2"/>
    <x:mergeCell ref="A3:H3"/>
  </x:mergeCells>
  <x:pageMargins left="0.7" right="0.7" top="0.75" bottom="0.75" header="0.3" footer="0.3"/>
  <x:drawing xmlns:r="http://schemas.openxmlformats.org/officeDocument/2006/relationships" r:id="Rae444f2db1b44e4a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30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3" hidden="0" customWidth="1"/>
    <x:col min="10" max="10" width="26" hidden="0" customWidth="1"/>
    <x:col min="11" max="11" width="18" hidden="0" customWidth="1"/>
  </x:cols>
  <x:sheetData>
    <x:row r="1" ht="25" customHeight="1">
      <x:c r="A1" s="3" t="str">
        <x:v>Forecast Accuracy &amp; Model Governance</x:v>
      </x:c>
      <x:c r="B1" s="3"/>
      <x:c r="C1" s="3"/>
      <x:c r="D1" s="3"/>
      <x:c r="E1" s="3"/>
      <x:c r="F1" s="3"/>
      <x:c r="G1" s="3"/>
      <x:c r="H1" s="3"/>
    </x:row>
    <x:row r="2" ht="25" customHeight="1">
      <x:c r="A2" s="3"/>
      <x:c r="B2" s="3"/>
      <x:c r="C2" s="3"/>
      <x:c r="D2" s="3"/>
      <x:c r="E2" s="3"/>
      <x:c r="F2" s="3"/>
      <x:c r="G2" s="3"/>
      <x:c r="H2" s="3"/>
    </x:row>
    <x:row r="3" ht="15" hidden="0" customHeight="1">
      <x:c r="A3" s="6" t="str">
        <x:v>Business-unit backtest metrics and selected champion models</x:v>
      </x:c>
      <x:c r="B3" s="6"/>
      <x:c r="C3" s="6"/>
      <x:c r="D3" s="6"/>
      <x:c r="E3" s="6"/>
      <x:c r="F3" s="6"/>
      <x:c r="G3" s="6"/>
      <x:c r="H3" s="6"/>
    </x:row>
    <x:row r="4"/>
    <x:row r="5" ht="15" hidden="0" customHeight="1">
      <x:c r="A5" s="90" t="str">
        <x:v>BusinessUnit</x:v>
      </x:c>
      <x:c r="B5" s="90" t="str">
        <x:v>Model</x:v>
      </x:c>
      <x:c r="C5" s="90" t="str">
        <x:v>MAE</x:v>
      </x:c>
      <x:c r="D5" s="90" t="str">
        <x:v>RMSE</x:v>
      </x:c>
      <x:c r="E5" s="90" t="str">
        <x:v>WAPE</x:v>
      </x:c>
      <x:c r="F5" s="90" t="str">
        <x:v>Bias</x:v>
      </x:c>
      <x:c r="G5" s="90" t="str">
        <x:v>Score</x:v>
      </x:c>
      <x:c r="H5" s="90" t="str">
        <x:v>ChampionFlag</x:v>
      </x:c>
      <x:c r="J5" s="90" t="str">
        <x:v>Business Unit</x:v>
      </x:c>
      <x:c r="K5" s="90" t="str">
        <x:v>Champion WAPE</x:v>
      </x:c>
    </x:row>
    <x:row r="6" ht="15" hidden="0" customHeight="1">
      <x:c r="A6" s="86" t="str">
        <x:v>Digital Commerce</x:v>
      </x:c>
      <x:c r="B6" s="86" t="str">
        <x:v>Linear Trend + Seasonality</x:v>
      </x:c>
      <x:c r="C6" s="103" t="n">
        <x:v>0.602433286111</x:v>
      </x:c>
      <x:c r="D6" s="103" t="n">
        <x:v>0.8892960877920001</x:v>
      </x:c>
      <x:c r="E6" s="104" t="n">
        <x:v>0.00996</x:v>
      </x:c>
      <x:c r="F6" s="104" t="n">
        <x:v>-0.008097</x:v>
      </x:c>
      <x:c r="G6" s="104" t="n">
        <x:v>0.012389</x:v>
      </x:c>
      <x:c r="H6" s="275" t="b">
        <x:v>1</x:v>
      </x:c>
      <x:c r="J6" s="86" t="str">
        <x:v>Digital Commerce</x:v>
      </x:c>
      <x:c r="K6" s="104" t="n">
        <x:v>0.00996</x:v>
      </x:c>
    </x:row>
    <x:row r="7" ht="15" hidden="0" customHeight="1">
      <x:c r="A7" s="86" t="str">
        <x:v>Retail Stores</x:v>
      </x:c>
      <x:c r="B7" s="86" t="str">
        <x:v>Linear Trend + Seasonality</x:v>
      </x:c>
      <x:c r="C7" s="103" t="n">
        <x:v>1.0113272213889999</x:v>
      </x:c>
      <x:c r="D7" s="103" t="n">
        <x:v>1.227430260041</x:v>
      </x:c>
      <x:c r="E7" s="104" t="n">
        <x:v>0.028352</x:v>
      </x:c>
      <x:c r="F7" s="104" t="n">
        <x:v>0.028352</x:v>
      </x:c>
      <x:c r="G7" s="104" t="n">
        <x:v>0.036858</x:v>
      </x:c>
      <x:c r="H7" s="275" t="b">
        <x:v>1</x:v>
      </x:c>
      <x:c r="J7" s="86" t="str">
        <x:v>Retail Stores</x:v>
      </x:c>
      <x:c r="K7" s="104" t="n">
        <x:v>0.028352</x:v>
      </x:c>
    </x:row>
    <x:row r="8" ht="15" hidden="0" customHeight="1">
      <x:c r="A8" s="86" t="str">
        <x:v>Subscription Services</x:v>
      </x:c>
      <x:c r="B8" s="86" t="str">
        <x:v>Log-Ridge Seasonal</x:v>
      </x:c>
      <x:c r="C8" s="103" t="n">
        <x:v>0.29627652385</x:v>
      </x:c>
      <x:c r="D8" s="103" t="n">
        <x:v>0.356523632845</x:v>
      </x:c>
      <x:c r="E8" s="104" t="n">
        <x:v>0.036423</x:v>
      </x:c>
      <x:c r="F8" s="104" t="n">
        <x:v>0.015355</x:v>
      </x:c>
      <x:c r="G8" s="104" t="n">
        <x:v>0.041029</x:v>
      </x:c>
      <x:c r="H8" s="275" t="b">
        <x:v>1</x:v>
      </x:c>
      <x:c r="J8" s="86" t="str">
        <x:v>Subscription Services</x:v>
      </x:c>
      <x:c r="K8" s="104" t="n">
        <x:v>0.036423</x:v>
      </x:c>
    </x:row>
    <x:row r="9" ht="15" hidden="0" customHeight="1">
      <x:c r="A9" s="86" t="str">
        <x:v>Wholesale</x:v>
      </x:c>
      <x:c r="B9" s="86" t="str">
        <x:v>Log-Ridge Seasonal</x:v>
      </x:c>
      <x:c r="C9" s="103" t="n">
        <x:v>0.5876682893130001</x:v>
      </x:c>
      <x:c r="D9" s="103" t="n">
        <x:v>0.680531680561</x:v>
      </x:c>
      <x:c r="E9" s="104" t="n">
        <x:v>0.016772</x:v>
      </x:c>
      <x:c r="F9" s="104" t="n">
        <x:v>-0.004134</x:v>
      </x:c>
      <x:c r="G9" s="104" t="n">
        <x:v>0.018012</x:v>
      </x:c>
      <x:c r="H9" s="275" t="b">
        <x:v>1</x:v>
      </x:c>
      <x:c r="J9" s="86" t="str">
        <x:v>Wholesale</x:v>
      </x:c>
      <x:c r="K9" s="104" t="n">
        <x:v>0.016772</x:v>
      </x:c>
    </x:row>
  </x:sheetData>
  <x:mergeCells>
    <x:mergeCell ref="A1:H2"/>
    <x:mergeCell ref="A3:H3"/>
  </x:mergeCells>
  <x:conditionalFormatting sqref="E6:E9">
    <x:cfRule type="colorScale" priority="1">
      <x:colorScale>
        <x:cfvo type="min"/>
        <x:cfvo type="percentile" val="50"/>
        <x:cfvo type="max"/>
        <x:color rgb="FFE8F7F1"/>
        <x:color rgb="FFFFF4D6"/>
        <x:color rgb="FFFDECEC"/>
      </x:colorScale>
    </x:cfRule>
  </x:conditionalFormatting>
  <x:pageMargins left="0.7" right="0.7" top="0.75" bottom="0.75" header="0.3" footer="0.3"/>
  <x:drawing xmlns:r="http://schemas.openxmlformats.org/officeDocument/2006/relationships" r:id="R78267798e9ed49fd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21" hidden="0" customWidth="1"/>
    <x:col min="3" max="3" width="14" hidden="0" customWidth="1"/>
    <x:col min="4" max="4" width="3" hidden="0" customWidth="1"/>
    <x:col min="5" max="5" width="16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25" customHeight="1">
      <x:c r="A1" s="3" t="str">
        <x:v>Scenario &amp; Monte Carlo Risk Analysis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5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</x:row>
    <x:row r="3" ht="15" hidden="0" customHeight="1">
      <x:c r="A3" s="6" t="str">
        <x:v>5,000 simulations | revenue, EBITDA and liquidity confidence ranges</x:v>
      </x:c>
      <x:c r="B3" s="6"/>
      <x:c r="C3" s="6"/>
      <x:c r="D3" s="6"/>
      <x:c r="E3" s="6"/>
      <x:c r="F3" s="6"/>
      <x:c r="G3" s="6"/>
      <x:c r="H3" s="6"/>
      <x:c r="I3" s="6"/>
      <x:c r="J3" s="6"/>
    </x:row>
    <x:row r="4"/>
    <x:row r="5" ht="15" hidden="0" customHeight="1">
      <x:c r="A5" s="90" t="str">
        <x:v>RiskMetric</x:v>
      </x:c>
      <x:c r="B5" s="90" t="str">
        <x:v>Value</x:v>
      </x:c>
      <x:c r="C5" s="90" t="str">
        <x:v>Unit</x:v>
      </x:c>
      <x:c r="E5" s="90" t="str">
        <x:v>Scenario</x:v>
      </x:c>
      <x:c r="F5" s="90" t="str">
        <x:v>Revenue</x:v>
      </x:c>
      <x:c r="G5" s="90" t="str">
        <x:v>EBITDA</x:v>
      </x:c>
      <x:c r="H5" s="90" t="str">
        <x:v>EBITDA Margin</x:v>
      </x:c>
      <x:c r="I5" s="90" t="str">
        <x:v>Ending Cash</x:v>
      </x:c>
      <x:c r="J5" s="90" t="str">
        <x:v>Minimum Cash</x:v>
      </x:c>
    </x:row>
    <x:row r="6" ht="15" hidden="0" customHeight="1">
      <x:c r="A6" s="86" t="str">
        <x:v>Revenue P10</x:v>
      </x:c>
      <x:c r="B6" s="103" t="n">
        <x:v>1619.324765463</x:v>
      </x:c>
      <x:c r="C6" s="86" t="str">
        <x:v>TRY</x:v>
      </x:c>
      <x:c r="E6" s="86" t="str">
        <x:v>Upside</x:v>
      </x:c>
      <x:c r="F6" s="103" t="n">
        <x:v>1876.74904924</x:v>
      </x:c>
      <x:c r="G6" s="103" t="n">
        <x:v>206.25580812</x:v>
      </x:c>
      <x:c r="H6" s="104" t="n">
        <x:v>0.109901</x:v>
      </x:c>
      <x:c r="I6" s="103" t="n">
        <x:v>293.28697947</x:v>
      </x:c>
      <x:c r="J6" s="103" t="n">
        <x:v>274.20172336</x:v>
      </x:c>
    </x:row>
    <x:row r="7" ht="15" hidden="0" customHeight="1">
      <x:c r="A7" s="86" t="str">
        <x:v>Revenue P50</x:v>
      </x:c>
      <x:c r="B7" s="103" t="n">
        <x:v>1788.791645905</x:v>
      </x:c>
      <x:c r="C7" s="86" t="str">
        <x:v>TRY</x:v>
      </x:c>
      <x:c r="E7" s="86" t="str">
        <x:v>Base</x:v>
      </x:c>
      <x:c r="F7" s="103" t="n">
        <x:v>1790.8121778</x:v>
      </x:c>
      <x:c r="G7" s="103" t="n">
        <x:v>164.38105140000002</x:v>
      </x:c>
      <x:c r="H7" s="104" t="n">
        <x:v>0.091791</x:v>
      </x:c>
      <x:c r="I7" s="103" t="n">
        <x:v>245.62902581</x:v>
      </x:c>
      <x:c r="J7" s="103" t="n">
        <x:v>236.30381912</x:v>
      </x:c>
    </x:row>
    <x:row r="8" ht="15" hidden="0" customHeight="1">
      <x:c r="A8" s="86" t="str">
        <x:v>Revenue P90</x:v>
      </x:c>
      <x:c r="B8" s="103" t="n">
        <x:v>1958.7403767649998</x:v>
      </x:c>
      <x:c r="C8" s="86" t="str">
        <x:v>TRY</x:v>
      </x:c>
      <x:c r="E8" s="86" t="str">
        <x:v>Downside</x:v>
      </x:c>
      <x:c r="F8" s="103" t="n">
        <x:v>1695.32676509</x:v>
      </x:c>
      <x:c r="G8" s="103" t="n">
        <x:v>118.54125289</x:v>
      </x:c>
      <x:c r="H8" s="104" t="n">
        <x:v>0.069922</x:v>
      </x:c>
      <x:c r="I8" s="103" t="n">
        <x:v>185.60080772</x:v>
      </x:c>
      <x:c r="J8" s="103" t="n">
        <x:v>183.39676246000002</x:v>
      </x:c>
    </x:row>
    <x:row r="9" ht="15" hidden="0" customHeight="1">
      <x:c r="A9" s="86" t="str">
        <x:v>EBITDA P10</x:v>
      </x:c>
      <x:c r="B9" s="103" t="n">
        <x:v>60.324580964</x:v>
      </x:c>
      <x:c r="C9" s="86" t="str">
        <x:v>TRY</x:v>
      </x:c>
      <x:c r="E9" s="86" t="str">
        <x:v>Stress</x:v>
      </x:c>
      <x:c r="F9" s="103" t="n">
        <x:v>1599.84135239</x:v>
      </x:c>
      <x:c r="G9" s="103" t="n">
        <x:v>71.29683487</x:v>
      </x:c>
      <x:c r="H9" s="104" t="n">
        <x:v>0.044565</x:v>
      </x:c>
      <x:c r="I9" s="103" t="n">
        <x:v>115.87768392</x:v>
      </x:c>
      <x:c r="J9" s="103" t="n">
        <x:v>115.87768392</x:v>
      </x:c>
    </x:row>
    <x:row r="10" ht="15" hidden="0" customHeight="1">
      <x:c r="A10" s="86" t="str">
        <x:v>EBITDA P50</x:v>
      </x:c>
      <x:c r="B10" s="103" t="n">
        <x:v>163.66204119</x:v>
      </x:c>
      <x:c r="C10" s="86" t="str">
        <x:v>TRY</x:v>
      </x:c>
    </x:row>
    <x:row r="11" ht="15" hidden="0" customHeight="1">
      <x:c r="A11" s="86" t="str">
        <x:v>EBITDA P90</x:v>
      </x:c>
      <x:c r="B11" s="103" t="n">
        <x:v>268.5311887800001</x:v>
      </x:c>
      <x:c r="C11" s="86" t="str">
        <x:v>TRY</x:v>
      </x:c>
    </x:row>
    <x:row r="12" ht="15" hidden="0" customHeight="1">
      <x:c r="A12" s="86" t="str">
        <x:v>Probability EBITDA Below Budget</x:v>
      </x:c>
      <x:c r="B12" s="104" t="n">
        <x:v>0.4762</x:v>
      </x:c>
      <x:c r="C12" s="86" t="str">
        <x:v>Percent</x:v>
      </x:c>
    </x:row>
    <x:row r="13" ht="15" hidden="0" customHeight="1">
      <x:c r="A13" s="86" t="str">
        <x:v>Probability Negative Cash</x:v>
      </x:c>
      <x:c r="B13" s="104" t="n">
        <x:v>0</x:v>
      </x:c>
      <x:c r="C13" s="86" t="str">
        <x:v>Percent</x:v>
      </x:c>
    </x:row>
    <x:row r="14" ht="15" hidden="0" customHeight="1">
      <x:c r="A14" s="86" t="str">
        <x:v>Ending Cash P10</x:v>
      </x:c>
      <x:c r="B14" s="103" t="n">
        <x:v>170.04152790700002</x:v>
      </x:c>
      <x:c r="C14" s="86" t="str">
        <x:v>TRY</x:v>
      </x:c>
    </x:row>
  </x:sheetData>
  <x:mergeCells>
    <x:mergeCell ref="A1:J2"/>
    <x:mergeCell ref="A3:J3"/>
  </x:mergeCells>
  <x:pageMargins left="0.7" right="0.7" top="0.75" bottom="0.75" header="0.3" footer="0.3"/>
  <x:drawing xmlns:r="http://schemas.openxmlformats.org/officeDocument/2006/relationships" r:id="R8ed9969361de4139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3" hidden="0" customWidth="1"/>
    <x:col min="3" max="3" width="23" hidden="0" customWidth="1"/>
    <x:col min="4" max="4" width="23" hidden="0" customWidth="1"/>
    <x:col min="5" max="5" width="15" hidden="0" customWidth="1"/>
    <x:col min="6" max="6" width="15" hidden="0" customWidth="1"/>
    <x:col min="7" max="7" width="15" hidden="0" customWidth="1"/>
    <x:col min="9" max="9" width="18" hidden="0" customWidth="1"/>
    <x:col min="10" max="10" width="28" hidden="0" customWidth="1"/>
  </x:cols>
  <x:sheetData>
    <x:row r="1" ht="25" customHeight="1">
      <x:c r="A1" s="3" t="str">
        <x:v>Assumptions &amp; Planning Guardrails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5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</x:row>
    <x:row r="3" ht="15" hidden="0" customHeight="1">
      <x:c r="A3" s="6" t="str">
        <x:v>Editable scenario drivers | blue font and yellow fill</x:v>
      </x:c>
      <x:c r="B3" s="6"/>
      <x:c r="C3" s="6"/>
      <x:c r="D3" s="6"/>
      <x:c r="E3" s="6"/>
      <x:c r="F3" s="6"/>
      <x:c r="G3" s="6"/>
      <x:c r="H3" s="6"/>
      <x:c r="I3" s="6"/>
      <x:c r="J3" s="6"/>
    </x:row>
    <x:row r="4"/>
    <x:row r="5" ht="15" hidden="0" customHeight="1">
      <x:c r="A5" s="90" t="str">
        <x:v>Scenario</x:v>
      </x:c>
      <x:c r="B5" s="90" t="str">
        <x:v>Revenue Multiplier</x:v>
      </x:c>
      <x:c r="C5" s="90" t="str">
        <x:v>COGS Ratio Multiplier</x:v>
      </x:c>
      <x:c r="D5" s="90" t="str">
        <x:v>Opex Multiplier</x:v>
      </x:c>
      <x:c r="E5" s="90" t="str">
        <x:v>DSO Delta</x:v>
      </x:c>
      <x:c r="F5" s="90" t="str">
        <x:v>DIO Delta</x:v>
      </x:c>
      <x:c r="G5" s="90" t="str">
        <x:v>DPO Delta</x:v>
      </x:c>
      <x:c r="I5" s="90" t="str">
        <x:v>Color</x:v>
      </x:c>
      <x:c r="J5" s="90" t="str">
        <x:v>Meaning</x:v>
      </x:c>
    </x:row>
    <x:row r="6" ht="15" hidden="0" customHeight="1">
      <x:c r="A6" s="86" t="str">
        <x:v>Base</x:v>
      </x:c>
      <x:c r="B6" s="93" t="n">
        <x:v>1</x:v>
      </x:c>
      <x:c r="C6" s="93" t="n">
        <x:v>1</x:v>
      </x:c>
      <x:c r="D6" s="93" t="n">
        <x:v>1</x:v>
      </x:c>
      <x:c r="E6" s="94" t="n">
        <x:v>0</x:v>
      </x:c>
      <x:c r="F6" s="94" t="n">
        <x:v>0</x:v>
      </x:c>
      <x:c r="G6" s="94" t="n">
        <x:v>0</x:v>
      </x:c>
      <x:c r="I6" s="86" t="str">
        <x:v>Blue font</x:v>
      </x:c>
      <x:c r="J6" s="86" t="str">
        <x:v>Editable input</x:v>
      </x:c>
    </x:row>
    <x:row r="7" ht="15" hidden="0" customHeight="1">
      <x:c r="A7" s="86" t="str">
        <x:v>Upside</x:v>
      </x:c>
      <x:c r="B7" s="93" t="n">
        <x:v>1.09</x:v>
      </x:c>
      <x:c r="C7" s="93" t="n">
        <x:v>0.985</x:v>
      </x:c>
      <x:c r="D7" s="93" t="n">
        <x:v>1.025</x:v>
      </x:c>
      <x:c r="E7" s="94" t="n">
        <x:v>-3</x:v>
      </x:c>
      <x:c r="F7" s="94" t="n">
        <x:v>-4</x:v>
      </x:c>
      <x:c r="G7" s="94" t="n">
        <x:v>2</x:v>
      </x:c>
      <x:c r="I7" s="86" t="str">
        <x:v>Green font</x:v>
      </x:c>
      <x:c r="J7" s="86" t="str">
        <x:v>Internal worksheet link</x:v>
      </x:c>
    </x:row>
    <x:row r="8" ht="15" hidden="0" customHeight="1">
      <x:c r="A8" s="86" t="str">
        <x:v>Downside</x:v>
      </x:c>
      <x:c r="B8" s="93" t="n">
        <x:v>0.9</x:v>
      </x:c>
      <x:c r="C8" s="93" t="n">
        <x:v>1.025</x:v>
      </x:c>
      <x:c r="D8" s="93" t="n">
        <x:v>0.965</x:v>
      </x:c>
      <x:c r="E8" s="94" t="n">
        <x:v>5</x:v>
      </x:c>
      <x:c r="F8" s="94" t="n">
        <x:v>7</x:v>
      </x:c>
      <x:c r="G8" s="94" t="n">
        <x:v>-2</x:v>
      </x:c>
      <x:c r="I8" s="86" t="str">
        <x:v>Black font</x:v>
      </x:c>
      <x:c r="J8" s="86" t="str">
        <x:v>Formula / calculation</x:v>
      </x:c>
    </x:row>
    <x:row r="9" ht="15" hidden="0" customHeight="1">
      <x:c r="A9" s="86" t="str">
        <x:v>Stress</x:v>
      </x:c>
      <x:c r="B9" s="93" t="n">
        <x:v>0.8</x:v>
      </x:c>
      <x:c r="C9" s="93" t="n">
        <x:v>1.065</x:v>
      </x:c>
      <x:c r="D9" s="93" t="n">
        <x:v>0.925</x:v>
      </x:c>
      <x:c r="E9" s="94" t="n">
        <x:v>12</x:v>
      </x:c>
      <x:c r="F9" s="94" t="n">
        <x:v>15</x:v>
      </x:c>
      <x:c r="G9" s="94" t="n">
        <x:v>-5</x:v>
      </x:c>
      <x:c r="I9" s="86" t="str">
        <x:v>Red font</x:v>
      </x:c>
      <x:c r="J9" s="86" t="str">
        <x:v>External workbook link</x:v>
      </x:c>
    </x:row>
    <x:row r="10"/>
    <x:row r="11"/>
    <x:row r="12" ht="15" hidden="0" customHeight="1">
      <x:c r="A12" s="90" t="str">
        <x:v>Planning Convention</x:v>
      </x:c>
      <x:c r="B12" s="90" t="str">
        <x:v>Value</x:v>
      </x:c>
      <x:c r="C12" s="90" t="str">
        <x:v>Owner</x:v>
      </x:c>
      <x:c r="D12" s="90" t="str">
        <x:v>Notes</x:v>
      </x:c>
    </x:row>
    <x:row r="13" ht="15" hidden="0" customHeight="1">
      <x:c r="A13" s="86" t="str">
        <x:v>Company</x:v>
      </x:c>
      <x:c r="B13" s="86" t="str">
        <x:v>Asteria Consumer Group</x:v>
      </x:c>
      <x:c r="C13" s="86" t="str">
        <x:v>FP&amp;A</x:v>
      </x:c>
      <x:c r="D13" s="86" t="str">
        <x:v>Synthetic portfolio entity</x:v>
      </x:c>
    </x:row>
    <x:row r="14" ht="15" hidden="0" customHeight="1">
      <x:c r="A14" s="86" t="str">
        <x:v>As-of date</x:v>
      </x:c>
      <x:c r="B14" s="86" t="str">
        <x:v>2026-06-30</x:v>
      </x:c>
      <x:c r="C14" s="86" t="str">
        <x:v>Controllership</x:v>
      </x:c>
      <x:c r="D14" s="86" t="str">
        <x:v>June close complete</x:v>
      </x:c>
    </x:row>
    <x:row r="15" ht="15" hidden="0" customHeight="1">
      <x:c r="A15" s="86" t="str">
        <x:v>Reporting currency</x:v>
      </x:c>
      <x:c r="B15" s="86" t="str">
        <x:v>TRY</x:v>
      </x:c>
      <x:c r="C15" s="86" t="str">
        <x:v>Finance</x:v>
      </x:c>
      <x:c r="D15" s="86" t="str">
        <x:v>Nominal values</x:v>
      </x:c>
    </x:row>
    <x:row r="16" ht="15" hidden="0" customHeight="1">
      <x:c r="A16" s="86" t="str">
        <x:v>Actual period</x:v>
      </x:c>
      <x:c r="B16" s="86" t="str">
        <x:v>Jan 2023 - Jun 2026</x:v>
      </x:c>
      <x:c r="C16" s="86" t="str">
        <x:v>Accounting</x:v>
      </x:c>
      <x:c r="D16" s="86" t="str">
        <x:v>42 monthly closes</x:v>
      </x:c>
    </x:row>
    <x:row r="17" ht="15" hidden="0" customHeight="1">
      <x:c r="A17" s="86" t="str">
        <x:v>Budget version</x:v>
      </x:c>
      <x:c r="B17" s="86" t="str">
        <x:v>FY2026 Budget v1</x:v>
      </x:c>
      <x:c r="C17" s="86" t="str">
        <x:v>FP&amp;A</x:v>
      </x:c>
      <x:c r="D17" s="86" t="str">
        <x:v>Approved baseline</x:v>
      </x:c>
    </x:row>
    <x:row r="18" ht="15" hidden="0" customHeight="1">
      <x:c r="A18" s="86" t="str">
        <x:v>Forecast version</x:v>
      </x:c>
      <x:c r="B18" s="86" t="str">
        <x:v>Q2 2026 Rolling Forecast</x:v>
      </x:c>
      <x:c r="C18" s="86" t="str">
        <x:v>FP&amp;A</x:v>
      </x:c>
      <x:c r="D18" s="86" t="str">
        <x:v>Actuals through June</x:v>
      </x:c>
    </x:row>
    <x:row r="19" ht="15" hidden="0" customHeight="1">
      <x:c r="A19" s="86" t="str">
        <x:v>Forecast horizon</x:v>
      </x:c>
      <x:c r="B19" s="86" t="str">
        <x:v>Jul 2026 - Jun 2027</x:v>
      </x:c>
      <x:c r="C19" s="86" t="str">
        <x:v>FP&amp;A</x:v>
      </x:c>
      <x:c r="D19" s="86" t="str">
        <x:v>12 open months</x:v>
      </x:c>
    </x:row>
    <x:row r="20" ht="15" hidden="0" customHeight="1">
      <x:c r="A20" s="86" t="str">
        <x:v>Tax rate</x:v>
      </x:c>
      <x:c r="B20" s="93" t="n">
        <x:v>0.25</x:v>
      </x:c>
      <x:c r="C20" s="86" t="str">
        <x:v>Tax</x:v>
      </x:c>
      <x:c r="D20" s="86" t="str">
        <x:v>Applied to positive EBT</x:v>
      </x:c>
    </x:row>
  </x:sheetData>
  <x:mergeCells>
    <x:mergeCell ref="A1:J2"/>
    <x:mergeCell ref="A3:J3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4" hidden="0" customWidth="1"/>
    <x:col min="7" max="7" width="28" hidden="0" customWidth="1"/>
  </x:cols>
  <x:sheetData>
    <x:row r="1" ht="25" customHeight="1">
      <x:c r="A1" s="3" t="str">
        <x:v>Model Controls &amp; Audit Checks</x:v>
      </x:c>
      <x:c r="B1" s="3"/>
      <x:c r="C1" s="3"/>
      <x:c r="D1" s="3"/>
      <x:c r="E1" s="3"/>
      <x:c r="F1" s="3"/>
      <x:c r="G1" s="3"/>
    </x:row>
    <x:row r="2" ht="25" customHeight="1">
      <x:c r="A2" s="3"/>
      <x:c r="B2" s="3"/>
      <x:c r="C2" s="3"/>
      <x:c r="D2" s="3"/>
      <x:c r="E2" s="3"/>
      <x:c r="F2" s="3"/>
      <x:c r="G2" s="3"/>
    </x:row>
    <x:row r="3" ht="15" hidden="0" customHeight="1">
      <x:c r="A3" s="6" t="str">
        <x:v>Formula-driven financial integrity and completeness controls</x:v>
      </x:c>
      <x:c r="B3" s="6"/>
      <x:c r="C3" s="6"/>
      <x:c r="D3" s="6"/>
      <x:c r="E3" s="6"/>
      <x:c r="F3" s="6"/>
      <x:c r="G3" s="6"/>
    </x:row>
    <x:row r="4"/>
    <x:row r="5" ht="15" hidden="0" customHeight="1">
      <x:c r="A5" s="90" t="str">
        <x:v>Check</x:v>
      </x:c>
      <x:c r="B5" s="90" t="str">
        <x:v>Actual / Result</x:v>
      </x:c>
      <x:c r="C5" s="90" t="str">
        <x:v>Expected</x:v>
      </x:c>
      <x:c r="D5" s="90" t="str">
        <x:v>Difference</x:v>
      </x:c>
      <x:c r="E5" s="90" t="str">
        <x:v>Tolerance</x:v>
      </x:c>
      <x:c r="F5" s="90" t="str">
        <x:v>Status</x:v>
      </x:c>
      <x:c r="G5" s="90" t="str">
        <x:v>Where to Fix</x:v>
      </x:c>
    </x:row>
    <x:row r="6" ht="15" hidden="0" customHeight="1">
      <x:c r="A6" s="86" t="str">
        <x:v>P&amp;L gross profit identity</x:v>
      </x:c>
      <x:c r="B6" s="103" t="n">
        <x:f>'Income Statement'!F8-('Income Statement'!F6-'Income Statement'!F7)</x:f>
        <x:v>0</x:v>
      </x:c>
      <x:c r="C6" s="86" t="n">
        <x:v>0</x:v>
      </x:c>
      <x:c r="D6" s="86" t="n">
        <x:f>B6-C6</x:f>
        <x:v>0</x:v>
      </x:c>
      <x:c r="E6" s="86" t="n">
        <x:v>0.01</x:v>
      </x:c>
      <x:c r="F6" s="86" t="str">
        <x:f>IF(ABS(D6)&lt;=E6,"PASS","FAIL")</x:f>
        <x:v>PASS</x:v>
      </x:c>
      <x:c r="G6" s="86" t="str">
        <x:v>Income Statement</x:v>
      </x:c>
    </x:row>
    <x:row r="7" ht="15" hidden="0" customHeight="1">
      <x:c r="A7" s="86" t="str">
        <x:v>P&amp;L EBITDA identity</x:v>
      </x:c>
      <x:c r="B7" s="103" t="n">
        <x:f>'Income Statement'!F11-('Income Statement'!F8-'Income Statement'!F10)</x:f>
        <x:v>-8.526512829121202e-14</x:v>
      </x:c>
      <x:c r="C7" s="86" t="n">
        <x:v>0</x:v>
      </x:c>
      <x:c r="D7" s="86" t="n">
        <x:f>B7-C7</x:f>
        <x:v>-8.526512829121202e-14</x:v>
      </x:c>
      <x:c r="E7" s="86" t="n">
        <x:v>0.01</x:v>
      </x:c>
      <x:c r="F7" s="86" t="str">
        <x:f>IF(ABS(D7)&lt;=E7,"PASS","FAIL")</x:f>
        <x:v>PASS</x:v>
      </x:c>
      <x:c r="G7" s="86" t="str">
        <x:v>Income Statement</x:v>
      </x:c>
    </x:row>
    <x:row r="8" ht="15" hidden="0" customHeight="1">
      <x:c r="A8" s="86" t="str">
        <x:v>Net income identity</x:v>
      </x:c>
      <x:c r="B8" s="103" t="n">
        <x:f>'Income Statement'!F17-('Income Statement'!F11-'Income Statement'!F13-'Income Statement'!F15-'Income Statement'!F16)</x:f>
        <x:v>-2.842170943040401e-14</x:v>
      </x:c>
      <x:c r="C8" s="86" t="n">
        <x:v>0</x:v>
      </x:c>
      <x:c r="D8" s="86" t="n">
        <x:f>B8-C8</x:f>
        <x:v>-2.842170943040401e-14</x:v>
      </x:c>
      <x:c r="E8" s="86" t="n">
        <x:v>0.01</x:v>
      </x:c>
      <x:c r="F8" s="86" t="str">
        <x:f>IF(ABS(D8)&lt;=E8,"PASS","FAIL")</x:f>
        <x:v>PASS</x:v>
      </x:c>
      <x:c r="G8" s="86" t="str">
        <x:v>Income Statement</x:v>
      </x:c>
    </x:row>
    <x:row r="9" ht="15" hidden="0" customHeight="1">
      <x:c r="A9" s="86" t="str">
        <x:v>Cash roll-forward</x:v>
      </x:c>
      <x:c r="B9" s="103" t="n">
        <x:f>SUM('Cash Data'!H6:H77)-SUM('Cash Data'!C6:C77)-SUM('Cash Data'!G6:G77)</x:f>
        <x:v>3.524291969370097e-12</x:v>
      </x:c>
      <x:c r="C9" s="86" t="n">
        <x:v>0</x:v>
      </x:c>
      <x:c r="D9" s="86" t="n">
        <x:f>B9-C9</x:f>
        <x:v>3.524291969370097e-12</x:v>
      </x:c>
      <x:c r="E9" s="86" t="n">
        <x:v>0.01</x:v>
      </x:c>
      <x:c r="F9" s="86" t="str">
        <x:f>IF(ABS(D9)&lt;=E9,"PASS","FAIL")</x:f>
        <x:v>PASS</x:v>
      </x:c>
      <x:c r="G9" s="86" t="str">
        <x:v>Cash Data</x:v>
      </x:c>
    </x:row>
    <x:row r="10" ht="15" hidden="0" customHeight="1">
      <x:c r="A10" s="86" t="str">
        <x:v>Scenario count</x:v>
      </x:c>
      <x:c r="B10" s="86" t="n">
        <x:f>COUNTA('Scenario Data'!A6:A9)</x:f>
        <x:v>4</x:v>
      </x:c>
      <x:c r="C10" s="86" t="n">
        <x:v>4</x:v>
      </x:c>
      <x:c r="D10" s="86" t="n">
        <x:f>B10-C10</x:f>
        <x:v>0</x:v>
      </x:c>
      <x:c r="E10" s="86" t="n">
        <x:v>0</x:v>
      </x:c>
      <x:c r="F10" s="86" t="str">
        <x:f>IF(ABS(D10)&lt;=E10,"PASS","FAIL")</x:f>
        <x:v>PASS</x:v>
      </x:c>
      <x:c r="G10" s="86" t="str">
        <x:v>Scenario Data</x:v>
      </x:c>
    </x:row>
    <x:row r="11" ht="15" hidden="0" customHeight="1">
      <x:c r="A11" s="86" t="str">
        <x:v>Champion model count</x:v>
      </x:c>
      <x:c r="B11" s="86" t="n">
        <x:f>COUNTA('Forecast Accuracy'!A6:A9)</x:f>
        <x:v>4</x:v>
      </x:c>
      <x:c r="C11" s="86" t="n">
        <x:v>4</x:v>
      </x:c>
      <x:c r="D11" s="86" t="n">
        <x:f>B11-C11</x:f>
        <x:v>0</x:v>
      </x:c>
      <x:c r="E11" s="86" t="n">
        <x:v>0</x:v>
      </x:c>
      <x:c r="F11" s="86" t="str">
        <x:f>IF(ABS(D11)&lt;=E11,"PASS","FAIL")</x:f>
        <x:v>PASS</x:v>
      </x:c>
      <x:c r="G11" s="86" t="str">
        <x:v>Model Data</x:v>
      </x:c>
    </x:row>
    <x:row r="12" ht="15" hidden="0" customHeight="1">
      <x:c r="A12" s="86" t="str">
        <x:v>Budget submissions approved</x:v>
      </x:c>
      <x:c r="B12" s="86" t="n">
        <x:v>12</x:v>
      </x:c>
      <x:c r="C12" s="86" t="n">
        <x:v>12</x:v>
      </x:c>
      <x:c r="D12" s="86" t="n">
        <x:f>B12-C12</x:f>
        <x:v>0</x:v>
      </x:c>
      <x:c r="E12" s="86" t="n">
        <x:v>0</x:v>
      </x:c>
      <x:c r="F12" s="86" t="str">
        <x:f>IF(ABS(D12)&lt;=E12,"PASS","FAIL")</x:f>
        <x:v>PASS</x:v>
      </x:c>
      <x:c r="G12" s="86" t="str">
        <x:v>Budget submissions</x:v>
      </x:c>
    </x:row>
    <x:row r="13" ht="15" hidden="0" customHeight="1">
      <x:c r="A13" s="86" t="str">
        <x:v>Forecast months</x:v>
      </x:c>
      <x:c r="B13" s="86" t="n">
        <x:f>COUNTIFS('P&amp;L Data'!P6:P77,"Forecast")</x:f>
        <x:v>18</x:v>
      </x:c>
      <x:c r="C13" s="86" t="n">
        <x:v>18</x:v>
      </x:c>
      <x:c r="D13" s="86" t="n">
        <x:f>B13-C13</x:f>
        <x:v>0</x:v>
      </x:c>
      <x:c r="E13" s="86" t="n">
        <x:v>0</x:v>
      </x:c>
      <x:c r="F13" s="86" t="str">
        <x:f>IF(ABS(D13)&lt;=E13,"PASS","FAIL")</x:f>
        <x:v>PASS</x:v>
      </x:c>
      <x:c r="G13" s="86" t="str">
        <x:v>P&amp;L Data</x:v>
      </x:c>
    </x:row>
    <x:row r="14" ht="15" hidden="0" customHeight="1">
      <x:c r="A14" s="86" t="str">
        <x:v>Stress EBITDA below Base</x:v>
      </x:c>
      <x:c r="B14" s="86" t="n">
        <x:f>IF(SUMIF('Scenario Data'!A6:A9,"Stress",'Scenario Data'!D6:D9)&lt;SUMIF('Scenario Data'!A6:A9,"Base",'Scenario Data'!D6:D9),1,0)</x:f>
        <x:v>1</x:v>
      </x:c>
      <x:c r="C14" s="86" t="n">
        <x:v>1</x:v>
      </x:c>
      <x:c r="D14" s="86" t="n">
        <x:f>B14-C14</x:f>
        <x:v>0</x:v>
      </x:c>
      <x:c r="E14" s="86" t="n">
        <x:v>0</x:v>
      </x:c>
      <x:c r="F14" s="86" t="str">
        <x:f>IF(ABS(D14)&lt;=E14,"PASS","FAIL")</x:f>
        <x:v>PASS</x:v>
      </x:c>
      <x:c r="G14" s="86" t="str">
        <x:v>Scenario Data</x:v>
      </x:c>
    </x:row>
    <x:row r="15" ht="15" hidden="0" customHeight="1">
      <x:c r="A15" s="86" t="str">
        <x:v>Negative forecast revenue rows</x:v>
      </x:c>
      <x:c r="B15" s="86" t="n">
        <x:f>COUNTIFS('P&amp;L Data'!P6:P77,"Forecast",'P&amp;L Data'!F6:F77,"&lt;0")</x:f>
        <x:v>0</x:v>
      </x:c>
      <x:c r="C15" s="86" t="n">
        <x:v>0</x:v>
      </x:c>
      <x:c r="D15" s="86" t="n">
        <x:f>B15-C15</x:f>
        <x:v>0</x:v>
      </x:c>
      <x:c r="E15" s="86" t="n">
        <x:v>0</x:v>
      </x:c>
      <x:c r="F15" s="86" t="str">
        <x:f>IF(ABS(D15)&lt;=E15,"PASS","FAIL")</x:f>
        <x:v>PASS</x:v>
      </x:c>
      <x:c r="G15" s="86" t="str">
        <x:v>P&amp;L Data</x:v>
      </x:c>
    </x:row>
    <x:row r="16" ht="15" hidden="0" customHeight="1">
      <x:c r="A16" s="86" t="str">
        <x:v>Forecast EBITDA is positive</x:v>
      </x:c>
      <x:c r="B16" s="86" t="n">
        <x:f>IF('Income Statement'!F11&gt;0,1,0)</x:f>
        <x:v>1</x:v>
      </x:c>
      <x:c r="C16" s="86" t="n">
        <x:v>1</x:v>
      </x:c>
      <x:c r="D16" s="86" t="n">
        <x:f>B16-C16</x:f>
        <x:v>0</x:v>
      </x:c>
      <x:c r="E16" s="86" t="n">
        <x:v>0</x:v>
      </x:c>
      <x:c r="F16" s="86" t="str">
        <x:f>IF(ABS(D16)&lt;=E16,"PASS","FAIL")</x:f>
        <x:v>PASS</x:v>
      </x:c>
      <x:c r="G16" s="86" t="str">
        <x:v>Income Statement</x:v>
      </x:c>
    </x:row>
    <x:row r="17" ht="15" hidden="0" customHeight="1">
      <x:c r="A17" s="86" t="str">
        <x:v>MODEL STATUS</x:v>
      </x:c>
      <x:c r="B17" s="86" t="n">
        <x:f>COUNTIF(F6:F16,"PASS")</x:f>
        <x:v>11</x:v>
      </x:c>
      <x:c r="C17" s="86" t="n">
        <x:v>11</x:v>
      </x:c>
      <x:c r="D17" s="86" t="n">
        <x:f>B17-C17</x:f>
        <x:v>0</x:v>
      </x:c>
      <x:c r="E17" s="86" t="n">
        <x:v>0</x:v>
      </x:c>
      <x:c r="F17" s="86" t="str">
        <x:f>IF(B17=C17,"PASS","FAIL")</x:f>
        <x:v>PASS</x:v>
      </x:c>
      <x:c r="G17" s="86" t="str">
        <x:v>Review failed rows above</x:v>
      </x:c>
    </x:row>
  </x:sheetData>
  <x:mergeCells>
    <x:mergeCell ref="A1:G2"/>
    <x:mergeCell ref="A3:G3"/>
  </x:mergeCells>
  <x:conditionalFormatting sqref="F6:F17">
    <x:cfRule type="containsText" dxfId="9" priority="1" operator="containsText" text="PASS"/>
    <x:cfRule type="containsText" dxfId="10" priority="2" operator="containsText" text="FAIL"/>
  </x:conditionalFormatting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8" hidden="0" customWidth="1"/>
    <x:col min="3" max="3" width="14" hidden="0" customWidth="1"/>
    <x:col min="4" max="4" width="48" hidden="0" customWidth="1"/>
    <x:col min="5" max="5" width="25" hidden="0" customWidth="1"/>
    <x:col min="6" max="6" width="22" hidden="0" customWidth="1"/>
    <x:col min="7" max="7" width="22" hidden="0" customWidth="1"/>
    <x:col min="8" max="8" width="23" hidden="0" customWidth="1"/>
  </x:cols>
  <x:sheetData>
    <x:row r="1" ht="25" customHeight="1">
      <x:c r="A1" s="3" t="str">
        <x:v>FP&amp;A Data Dictionary</x:v>
      </x:c>
      <x:c r="B1" s="3"/>
      <x:c r="C1" s="3"/>
      <x:c r="D1" s="3"/>
      <x:c r="E1" s="3"/>
      <x:c r="F1" s="3"/>
      <x:c r="G1" s="3"/>
      <x:c r="H1" s="3"/>
    </x:row>
    <x:row r="2" ht="25" customHeight="1">
      <x:c r="A2" s="3"/>
      <x:c r="B2" s="3"/>
      <x:c r="C2" s="3"/>
      <x:c r="D2" s="3"/>
      <x:c r="E2" s="3"/>
      <x:c r="F2" s="3"/>
      <x:c r="G2" s="3"/>
      <x:c r="H2" s="3"/>
    </x:row>
    <x:row r="3" ht="15" hidden="0" customHeight="1">
      <x:c r="A3" s="6" t="str">
        <x:v>Primary analytical entities, measures and business definitions</x:v>
      </x:c>
      <x:c r="B3" s="6"/>
      <x:c r="C3" s="6"/>
      <x:c r="D3" s="6"/>
      <x:c r="E3" s="6"/>
      <x:c r="F3" s="6"/>
      <x:c r="G3" s="6"/>
      <x:c r="H3" s="6"/>
    </x:row>
    <x:row r="4"/>
    <x:row r="5" ht="15" hidden="0" customHeight="1">
      <x:c r="A5" s="90" t="str">
        <x:v>Table</x:v>
      </x:c>
      <x:c r="B5" s="90" t="str">
        <x:v>Field / Metric</x:v>
      </x:c>
      <x:c r="C5" s="90" t="str">
        <x:v>Type</x:v>
      </x:c>
      <x:c r="D5" s="90" t="str">
        <x:v>Definition</x:v>
      </x:c>
      <x:c r="E5" s="90" t="str">
        <x:v>Grain</x:v>
      </x:c>
      <x:c r="F5" s="90" t="str">
        <x:v>Source</x:v>
      </x:c>
      <x:c r="G5" s="90" t="str">
        <x:v>Owner</x:v>
      </x:c>
      <x:c r="H5" s="90" t="str">
        <x:v>Notes</x:v>
      </x:c>
    </x:row>
    <x:row r="6" ht="15" hidden="0" customHeight="1">
      <x:c r="A6" s="276" t="str">
        <x:v>fact_actuals</x:v>
      </x:c>
      <x:c r="B6" s="276" t="str">
        <x:v>AmountTRY</x:v>
      </x:c>
      <x:c r="C6" s="276" t="str">
        <x:v>Currency</x:v>
      </x:c>
      <x:c r="D6" s="276" t="str">
        <x:v>Natural-sign actual ledger amount</x:v>
      </x:c>
      <x:c r="E6" s="276" t="str">
        <x:v>Month-account-cost center</x:v>
      </x:c>
      <x:c r="F6" s="276" t="str">
        <x:v>Synthetic ERP</x:v>
      </x:c>
      <x:c r="G6" s="276" t="str">
        <x:v>Controllership</x:v>
      </x:c>
      <x:c r="H6" s="276" t="str">
        <x:v>Non-negative storage</x:v>
      </x:c>
    </x:row>
    <x:row r="7" ht="15" hidden="0" customHeight="1">
      <x:c r="A7" s="276" t="str">
        <x:v>fact_budget</x:v>
      </x:c>
      <x:c r="B7" s="276" t="str">
        <x:v>AmountTRY</x:v>
      </x:c>
      <x:c r="C7" s="276" t="str">
        <x:v>Currency</x:v>
      </x:c>
      <x:c r="D7" s="276" t="str">
        <x:v>Approved FY2026 budget amount</x:v>
      </x:c>
      <x:c r="E7" s="276" t="str">
        <x:v>Month-account-cost center</x:v>
      </x:c>
      <x:c r="F7" s="276" t="str">
        <x:v>Budget v1</x:v>
      </x:c>
      <x:c r="G7" s="276" t="str">
        <x:v>FP&amp;A</x:v>
      </x:c>
      <x:c r="H7" s="276" t="str">
        <x:v>12 months</x:v>
      </x:c>
    </x:row>
    <x:row r="8" ht="15" hidden="0" customHeight="1">
      <x:c r="A8" s="276" t="str">
        <x:v>fact_forecast</x:v>
      </x:c>
      <x:c r="B8" s="276" t="str">
        <x:v>AmountTRY</x:v>
      </x:c>
      <x:c r="C8" s="276" t="str">
        <x:v>Currency</x:v>
      </x:c>
      <x:c r="D8" s="276" t="str">
        <x:v>Q2 rolling forecast with closed actuals</x:v>
      </x:c>
      <x:c r="E8" s="276" t="str">
        <x:v>Month-account-cost center</x:v>
      </x:c>
      <x:c r="F8" s="276" t="str">
        <x:v>Forecast engine</x:v>
      </x:c>
      <x:c r="G8" s="276" t="str">
        <x:v>FP&amp;A</x:v>
      </x:c>
      <x:c r="H8" s="276" t="str">
        <x:v>18 months</x:v>
      </x:c>
    </x:row>
    <x:row r="9" ht="15" hidden="0" customHeight="1">
      <x:c r="A9" s="276" t="str">
        <x:v>monthly_pnl</x:v>
      </x:c>
      <x:c r="B9" s="276" t="str">
        <x:v>RevenueTRY</x:v>
      </x:c>
      <x:c r="C9" s="276" t="str">
        <x:v>Currency</x:v>
      </x:c>
      <x:c r="D9" s="276" t="str">
        <x:v>Revenue accounts aggregated by month and version</x:v>
      </x:c>
      <x:c r="E9" s="276" t="str">
        <x:v>Month-version</x:v>
      </x:c>
      <x:c r="F9" s="276" t="str">
        <x:v>Reporting layer</x:v>
      </x:c>
      <x:c r="G9" s="276" t="str">
        <x:v>FP&amp;A</x:v>
      </x:c>
      <x:c r="H9" s="276" t="str">
        <x:v>TRY</x:v>
      </x:c>
    </x:row>
    <x:row r="10" ht="15" hidden="0" customHeight="1">
      <x:c r="A10" s="276" t="str">
        <x:v>monthly_pnl</x:v>
      </x:c>
      <x:c r="B10" s="276" t="str">
        <x:v>GrossProfitTRY</x:v>
      </x:c>
      <x:c r="C10" s="276" t="str">
        <x:v>Currency</x:v>
      </x:c>
      <x:c r="D10" s="276" t="str">
        <x:v>Revenue less COGS</x:v>
      </x:c>
      <x:c r="E10" s="276" t="str">
        <x:v>Month-version</x:v>
      </x:c>
      <x:c r="F10" s="276" t="str">
        <x:v>Reporting layer</x:v>
      </x:c>
      <x:c r="G10" s="276" t="str">
        <x:v>FP&amp;A</x:v>
      </x:c>
      <x:c r="H10" s="276"/>
    </x:row>
    <x:row r="11" ht="15" hidden="0" customHeight="1">
      <x:c r="A11" s="276" t="str">
        <x:v>monthly_pnl</x:v>
      </x:c>
      <x:c r="B11" s="276" t="str">
        <x:v>EBITDATRY</x:v>
      </x:c>
      <x:c r="C11" s="276" t="str">
        <x:v>Currency</x:v>
      </x:c>
      <x:c r="D11" s="276" t="str">
        <x:v>Gross profit less operating expense</x:v>
      </x:c>
      <x:c r="E11" s="276" t="str">
        <x:v>Month-version</x:v>
      </x:c>
      <x:c r="F11" s="276" t="str">
        <x:v>Reporting layer</x:v>
      </x:c>
      <x:c r="G11" s="276" t="str">
        <x:v>FP&amp;A</x:v>
      </x:c>
      <x:c r="H11" s="276"/>
    </x:row>
    <x:row r="12" ht="15" hidden="0" customHeight="1">
      <x:c r="A12" s="276" t="str">
        <x:v>monthly_pnl</x:v>
      </x:c>
      <x:c r="B12" s="276" t="str">
        <x:v>NetIncomeTRY</x:v>
      </x:c>
      <x:c r="C12" s="276" t="str">
        <x:v>Currency</x:v>
      </x:c>
      <x:c r="D12" s="276" t="str">
        <x:v>EBT less income tax</x:v>
      </x:c>
      <x:c r="E12" s="276" t="str">
        <x:v>Month-version</x:v>
      </x:c>
      <x:c r="F12" s="276" t="str">
        <x:v>Reporting layer</x:v>
      </x:c>
      <x:c r="G12" s="276" t="str">
        <x:v>FP&amp;A</x:v>
      </x:c>
      <x:c r="H12" s="276"/>
    </x:row>
    <x:row r="13" ht="15" hidden="0" customHeight="1">
      <x:c r="A13" s="276" t="str">
        <x:v>fact_working_capital</x:v>
      </x:c>
      <x:c r="B13" s="276" t="str">
        <x:v>DSO</x:v>
      </x:c>
      <x:c r="C13" s="276" t="str">
        <x:v>Days</x:v>
      </x:c>
      <x:c r="D13" s="276" t="str">
        <x:v>Accounts receivable divided by revenue per day</x:v>
      </x:c>
      <x:c r="E13" s="276" t="str">
        <x:v>Month-version</x:v>
      </x:c>
      <x:c r="F13" s="276" t="str">
        <x:v>Planning model</x:v>
      </x:c>
      <x:c r="G13" s="276" t="str">
        <x:v>Treasury</x:v>
      </x:c>
      <x:c r="H13" s="276"/>
    </x:row>
    <x:row r="14" ht="15" hidden="0" customHeight="1">
      <x:c r="A14" s="276" t="str">
        <x:v>fact_working_capital</x:v>
      </x:c>
      <x:c r="B14" s="276" t="str">
        <x:v>DIO</x:v>
      </x:c>
      <x:c r="C14" s="276" t="str">
        <x:v>Days</x:v>
      </x:c>
      <x:c r="D14" s="276" t="str">
        <x:v>Inventory divided by COGS per day</x:v>
      </x:c>
      <x:c r="E14" s="276" t="str">
        <x:v>Month-version</x:v>
      </x:c>
      <x:c r="F14" s="276" t="str">
        <x:v>Planning model</x:v>
      </x:c>
      <x:c r="G14" s="276" t="str">
        <x:v>Supply Chain</x:v>
      </x:c>
      <x:c r="H14" s="276"/>
    </x:row>
    <x:row r="15" ht="15" hidden="0" customHeight="1">
      <x:c r="A15" s="276" t="str">
        <x:v>fact_working_capital</x:v>
      </x:c>
      <x:c r="B15" s="276" t="str">
        <x:v>DPO</x:v>
      </x:c>
      <x:c r="C15" s="276" t="str">
        <x:v>Days</x:v>
      </x:c>
      <x:c r="D15" s="276" t="str">
        <x:v>Accounts payable divided by COGS per day</x:v>
      </x:c>
      <x:c r="E15" s="276" t="str">
        <x:v>Month-version</x:v>
      </x:c>
      <x:c r="F15" s="276" t="str">
        <x:v>Planning model</x:v>
      </x:c>
      <x:c r="G15" s="276" t="str">
        <x:v>Procurement</x:v>
      </x:c>
      <x:c r="H15" s="276"/>
    </x:row>
    <x:row r="16" ht="15" hidden="0" customHeight="1">
      <x:c r="A16" s="276" t="str">
        <x:v>fact_cash_flow</x:v>
      </x:c>
      <x:c r="B16" s="276" t="str">
        <x:v>EndingCashTRY</x:v>
      </x:c>
      <x:c r="C16" s="276" t="str">
        <x:v>Currency</x:v>
      </x:c>
      <x:c r="D16" s="276" t="str">
        <x:v>Beginning cash plus net cash flow</x:v>
      </x:c>
      <x:c r="E16" s="276" t="str">
        <x:v>Month-version</x:v>
      </x:c>
      <x:c r="F16" s="276" t="str">
        <x:v>Cash model</x:v>
      </x:c>
      <x:c r="G16" s="276" t="str">
        <x:v>Treasury</x:v>
      </x:c>
      <x:c r="H16" s="276"/>
    </x:row>
    <x:row r="17" ht="15" hidden="0" customHeight="1">
      <x:c r="A17" s="276" t="str">
        <x:v>fact_headcount</x:v>
      </x:c>
      <x:c r="B17" s="276" t="str">
        <x:v>FTE</x:v>
      </x:c>
      <x:c r="C17" s="276" t="str">
        <x:v>Count</x:v>
      </x:c>
      <x:c r="D17" s="276" t="str">
        <x:v>Full-time equivalent positions</x:v>
      </x:c>
      <x:c r="E17" s="276" t="str">
        <x:v>Month-cost center-version</x:v>
      </x:c>
      <x:c r="F17" s="276" t="str">
        <x:v>Workforce plan</x:v>
      </x:c>
      <x:c r="G17" s="276" t="str">
        <x:v>People</x:v>
      </x:c>
      <x:c r="H17" s="276"/>
    </x:row>
    <x:row r="18" ht="15" hidden="0" customHeight="1">
      <x:c r="A18" s="276" t="str">
        <x:v>fact_capex</x:v>
      </x:c>
      <x:c r="B18" s="276" t="str">
        <x:v>CapexSpendTRY</x:v>
      </x:c>
      <x:c r="C18" s="276" t="str">
        <x:v>Currency</x:v>
      </x:c>
      <x:c r="D18" s="276" t="str">
        <x:v>Project spend recognized in month</x:v>
      </x:c>
      <x:c r="E18" s="276" t="str">
        <x:v>Month-project-version</x:v>
      </x:c>
      <x:c r="F18" s="276" t="str">
        <x:v>Capex schedule</x:v>
      </x:c>
      <x:c r="G18" s="276" t="str">
        <x:v>Finance</x:v>
      </x:c>
      <x:c r="H18" s="276"/>
    </x:row>
    <x:row r="19" ht="15" hidden="0" customHeight="1">
      <x:c r="A19" s="276" t="str">
        <x:v>fact_capex</x:v>
      </x:c>
      <x:c r="B19" s="276" t="str">
        <x:v>RemainingNBVTRY</x:v>
      </x:c>
      <x:c r="C19" s="276" t="str">
        <x:v>Currency</x:v>
      </x:c>
      <x:c r="D19" s="276" t="str">
        <x:v>Asset cost less accumulated depreciation</x:v>
      </x:c>
      <x:c r="E19" s="276" t="str">
        <x:v>Month-project-version</x:v>
      </x:c>
      <x:c r="F19" s="276" t="str">
        <x:v>Capex schedule</x:v>
      </x:c>
      <x:c r="G19" s="276" t="str">
        <x:v>Finance</x:v>
      </x:c>
      <x:c r="H19" s="276"/>
    </x:row>
    <x:row r="20" ht="15" hidden="0" customHeight="1">
      <x:c r="A20" s="276" t="str">
        <x:v>forecast_model_comparison</x:v>
      </x:c>
      <x:c r="B20" s="276" t="str">
        <x:v>WAPE</x:v>
      </x:c>
      <x:c r="C20" s="276" t="str">
        <x:v>Percentage</x:v>
      </x:c>
      <x:c r="D20" s="276" t="str">
        <x:v>Absolute forecast error divided by actual revenue</x:v>
      </x:c>
      <x:c r="E20" s="276" t="str">
        <x:v>Business unit-model</x:v>
      </x:c>
      <x:c r="F20" s="276" t="str">
        <x:v>Backtest</x:v>
      </x:c>
      <x:c r="G20" s="276" t="str">
        <x:v>Analytics</x:v>
      </x:c>
      <x:c r="H20" s="276" t="str">
        <x:v>Lower is better</x:v>
      </x:c>
    </x:row>
    <x:row r="21" ht="15" hidden="0" customHeight="1">
      <x:c r="A21" s="276" t="str">
        <x:v>forecast_model_comparison</x:v>
      </x:c>
      <x:c r="B21" s="276" t="str">
        <x:v>Bias</x:v>
      </x:c>
      <x:c r="C21" s="276" t="str">
        <x:v>Percentage</x:v>
      </x:c>
      <x:c r="D21" s="276" t="str">
        <x:v>Net forecast error divided by actual revenue</x:v>
      </x:c>
      <x:c r="E21" s="276" t="str">
        <x:v>Business unit-model</x:v>
      </x:c>
      <x:c r="F21" s="276" t="str">
        <x:v>Backtest</x:v>
      </x:c>
      <x:c r="G21" s="276" t="str">
        <x:v>Analytics</x:v>
      </x:c>
      <x:c r="H21" s="276" t="str">
        <x:v>Positive = over-forecast</x:v>
      </x:c>
    </x:row>
    <x:row r="22" ht="15" hidden="0" customHeight="1">
      <x:c r="A22" s="276" t="str">
        <x:v>scenario_summary</x:v>
      </x:c>
      <x:c r="B22" s="276" t="str">
        <x:v>MinimumCashTRY</x:v>
      </x:c>
      <x:c r="C22" s="276" t="str">
        <x:v>Currency</x:v>
      </x:c>
      <x:c r="D22" s="276" t="str">
        <x:v>Minimum FY2026 cash balance by scenario</x:v>
      </x:c>
      <x:c r="E22" s="276" t="str">
        <x:v>Scenario</x:v>
      </x:c>
      <x:c r="F22" s="276" t="str">
        <x:v>Scenario engine</x:v>
      </x:c>
      <x:c r="G22" s="276" t="str">
        <x:v>Treasury</x:v>
      </x:c>
      <x:c r="H22" s="276"/>
    </x:row>
    <x:row r="23" ht="15" hidden="0" customHeight="1">
      <x:c r="A23" s="276" t="str">
        <x:v>scenario_summary</x:v>
      </x:c>
      <x:c r="B23" s="276" t="str">
        <x:v>CashConversionCycleDays</x:v>
      </x:c>
      <x:c r="C23" s="276" t="str">
        <x:v>Days</x:v>
      </x:c>
      <x:c r="D23" s="276" t="str">
        <x:v>Average DSO plus DIO less DPO</x:v>
      </x:c>
      <x:c r="E23" s="276" t="str">
        <x:v>Scenario</x:v>
      </x:c>
      <x:c r="F23" s="276" t="str">
        <x:v>Scenario engine</x:v>
      </x:c>
      <x:c r="G23" s="276" t="str">
        <x:v>FP&amp;A</x:v>
      </x:c>
      <x:c r="H23" s="276"/>
    </x:row>
    <x:row r="24" ht="15" hidden="0" customHeight="1">
      <x:c r="A24" s="276" t="str">
        <x:v>risk_summary</x:v>
      </x:c>
      <x:c r="B24" s="276" t="str">
        <x:v>Probability EBITDA Below Budget</x:v>
      </x:c>
      <x:c r="C24" s="276" t="str">
        <x:v>Percentage</x:v>
      </x:c>
      <x:c r="D24" s="276" t="str">
        <x:v>Share of Monte Carlo runs below budget EBITDA</x:v>
      </x:c>
      <x:c r="E24" s="276" t="str">
        <x:v>Portfolio</x:v>
      </x:c>
      <x:c r="F24" s="276" t="str">
        <x:v>5,000 simulations</x:v>
      </x:c>
      <x:c r="G24" s="276" t="str">
        <x:v>FP&amp;A</x:v>
      </x:c>
      <x:c r="H24" s="276"/>
    </x:row>
    <x:row r="25" ht="15" hidden="0" customHeight="1">
      <x:c r="A25" s="276" t="str">
        <x:v>validation_report</x:v>
      </x:c>
      <x:c r="B25" s="276" t="str">
        <x:v>all_passed</x:v>
      </x:c>
      <x:c r="C25" s="276" t="str">
        <x:v>Boolean</x:v>
      </x:c>
      <x:c r="D25" s="276" t="str">
        <x:v>All automated data and business-rule checks passed</x:v>
      </x:c>
      <x:c r="E25" s="276" t="str">
        <x:v>Project</x:v>
      </x:c>
      <x:c r="F25" s="276" t="str">
        <x:v>Validation</x:v>
      </x:c>
      <x:c r="G25" s="276" t="str">
        <x:v>Analytics</x:v>
      </x:c>
      <x:c r="H25" s="276" t="str">
        <x:v>17 controls</x:v>
      </x:c>
    </x:row>
  </x:sheetData>
  <x:mergeCells>
    <x:mergeCell ref="A1:H2"/>
    <x:mergeCell ref="A3:H3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8" hidden="0" customWidth="1"/>
    <x:col min="3" max="3" width="34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</x:cols>
  <x:sheetData>
    <x:row r="1" ht="25" customHeight="1">
      <x:c r="A1" s="3" t="str">
        <x:v>Sources, Versioning &amp; Data Notice</x:v>
      </x:c>
      <x:c r="B1" s="3"/>
      <x:c r="C1" s="3"/>
      <x:c r="D1" s="3"/>
      <x:c r="E1" s="3"/>
      <x:c r="F1" s="3"/>
      <x:c r="G1" s="3"/>
      <x:c r="H1" s="3"/>
      <x:c r="I1" s="3"/>
    </x:row>
    <x:row r="2" ht="25" customHeight="1">
      <x:c r="A2" s="3"/>
      <x:c r="B2" s="3"/>
      <x:c r="C2" s="3"/>
      <x:c r="D2" s="3"/>
      <x:c r="E2" s="3"/>
      <x:c r="F2" s="3"/>
      <x:c r="G2" s="3"/>
      <x:c r="H2" s="3"/>
      <x:c r="I2" s="3"/>
    </x:row>
    <x:row r="3" ht="15" hidden="0" customHeight="1">
      <x:c r="A3" s="6" t="str">
        <x:v>Lineage, ownership and portfolio disclosure</x:v>
      </x:c>
      <x:c r="B3" s="6"/>
      <x:c r="C3" s="6"/>
      <x:c r="D3" s="6"/>
      <x:c r="E3" s="6"/>
      <x:c r="F3" s="6"/>
      <x:c r="G3" s="6"/>
      <x:c r="H3" s="6"/>
      <x:c r="I3" s="6"/>
    </x:row>
    <x:row r="4"/>
    <x:row r="5" ht="15" hidden="0" customHeight="1">
      <x:c r="A5" s="90" t="str">
        <x:v>Item</x:v>
      </x:c>
      <x:c r="B5" s="90" t="str">
        <x:v>Location</x:v>
      </x:c>
      <x:c r="C5" s="90" t="str">
        <x:v>Purpose</x:v>
      </x:c>
      <x:c r="D5" s="90" t="str">
        <x:v>Type</x:v>
      </x:c>
      <x:c r="E5" s="90" t="str">
        <x:v>Period / As-of</x:v>
      </x:c>
      <x:c r="F5" s="90" t="str">
        <x:v>Currency</x:v>
      </x:c>
      <x:c r="G5" s="90" t="str">
        <x:v>Owner</x:v>
      </x:c>
      <x:c r="H5" s="90" t="str">
        <x:v>Disclosure</x:v>
      </x:c>
      <x:c r="I5" s="90" t="str">
        <x:v>Refresh</x:v>
      </x:c>
    </x:row>
    <x:row r="6" ht="15" hidden="0" customHeight="1">
      <x:c r="A6" s="276" t="str">
        <x:v>Actual ledger</x:v>
      </x:c>
      <x:c r="B6" s="276" t="str">
        <x:v>Data/fact_actuals.csv</x:v>
      </x:c>
      <x:c r="C6" s="276" t="str">
        <x:v>Historical P&amp;L actuals</x:v>
      </x:c>
      <x:c r="D6" s="276" t="str">
        <x:v>Generated</x:v>
      </x:c>
      <x:c r="E6" s="276" t="str">
        <x:v>Jan 2023 - Jun 2026</x:v>
      </x:c>
      <x:c r="F6" s="276" t="str">
        <x:v>TRY</x:v>
      </x:c>
      <x:c r="G6" s="276" t="str">
        <x:v>Controllership</x:v>
      </x:c>
      <x:c r="H6" s="276" t="str">
        <x:v>Synthetic</x:v>
      </x:c>
      <x:c r="I6" s="276" t="str">
        <x:v>Pipeline</x:v>
      </x:c>
    </x:row>
    <x:row r="7" ht="15" hidden="0" customHeight="1">
      <x:c r="A7" s="276" t="str">
        <x:v>FY2026 budget</x:v>
      </x:c>
      <x:c r="B7" s="276" t="str">
        <x:v>Data/fact_budget.csv</x:v>
      </x:c>
      <x:c r="C7" s="276" t="str">
        <x:v>Approved baseline</x:v>
      </x:c>
      <x:c r="D7" s="276" t="str">
        <x:v>Generated</x:v>
      </x:c>
      <x:c r="E7" s="276" t="str">
        <x:v>FY2026</x:v>
      </x:c>
      <x:c r="F7" s="276" t="str">
        <x:v>TRY</x:v>
      </x:c>
      <x:c r="G7" s="276" t="str">
        <x:v>FP&amp;A</x:v>
      </x:c>
      <x:c r="H7" s="276" t="str">
        <x:v>Synthetic</x:v>
      </x:c>
      <x:c r="I7" s="276" t="str">
        <x:v>Pipeline</x:v>
      </x:c>
    </x:row>
    <x:row r="8" ht="15" hidden="0" customHeight="1">
      <x:c r="A8" s="276" t="str">
        <x:v>Rolling forecast</x:v>
      </x:c>
      <x:c r="B8" s="276" t="str">
        <x:v>Data/fact_forecast.csv</x:v>
      </x:c>
      <x:c r="C8" s="276" t="str">
        <x:v>Q2 outlook</x:v>
      </x:c>
      <x:c r="D8" s="276" t="str">
        <x:v>Model output</x:v>
      </x:c>
      <x:c r="E8" s="276" t="str">
        <x:v>Jan 2026 - Jun 2027</x:v>
      </x:c>
      <x:c r="F8" s="276" t="str">
        <x:v>TRY</x:v>
      </x:c>
      <x:c r="G8" s="276" t="str">
        <x:v>FP&amp;A</x:v>
      </x:c>
      <x:c r="H8" s="276" t="str">
        <x:v>Synthetic</x:v>
      </x:c>
      <x:c r="I8" s="276" t="str">
        <x:v>Pipeline</x:v>
      </x:c>
    </x:row>
    <x:row r="9" ht="15" hidden="0" customHeight="1">
      <x:c r="A9" s="276" t="str">
        <x:v>Working capital</x:v>
      </x:c>
      <x:c r="B9" s="276" t="str">
        <x:v>Data/fact_working_capital.csv</x:v>
      </x:c>
      <x:c r="C9" s="276" t="str">
        <x:v>AR, inventory and AP</x:v>
      </x:c>
      <x:c r="D9" s="276" t="str">
        <x:v>Model output</x:v>
      </x:c>
      <x:c r="E9" s="276" t="str">
        <x:v>2023-2027</x:v>
      </x:c>
      <x:c r="F9" s="276" t="str">
        <x:v>TRY / days</x:v>
      </x:c>
      <x:c r="G9" s="276" t="str">
        <x:v>Treasury</x:v>
      </x:c>
      <x:c r="H9" s="276" t="str">
        <x:v>Synthetic</x:v>
      </x:c>
      <x:c r="I9" s="276" t="str">
        <x:v>Pipeline</x:v>
      </x:c>
    </x:row>
    <x:row r="10" ht="15" hidden="0" customHeight="1">
      <x:c r="A10" s="276" t="str">
        <x:v>Cash flow</x:v>
      </x:c>
      <x:c r="B10" s="276" t="str">
        <x:v>Data/fact_cash_flow.csv</x:v>
      </x:c>
      <x:c r="C10" s="276" t="str">
        <x:v>Liquidity outlook</x:v>
      </x:c>
      <x:c r="D10" s="276" t="str">
        <x:v>Model output</x:v>
      </x:c>
      <x:c r="E10" s="276" t="str">
        <x:v>2023-2027</x:v>
      </x:c>
      <x:c r="F10" s="276" t="str">
        <x:v>TRY</x:v>
      </x:c>
      <x:c r="G10" s="276" t="str">
        <x:v>Treasury</x:v>
      </x:c>
      <x:c r="H10" s="276" t="str">
        <x:v>Synthetic</x:v>
      </x:c>
      <x:c r="I10" s="276" t="str">
        <x:v>Pipeline</x:v>
      </x:c>
    </x:row>
    <x:row r="11" ht="15" hidden="0" customHeight="1">
      <x:c r="A11" s="276" t="str">
        <x:v>Headcount</x:v>
      </x:c>
      <x:c r="B11" s="276" t="str">
        <x:v>Data/fact_headcount.csv</x:v>
      </x:c>
      <x:c r="C11" s="276" t="str">
        <x:v>FTE and payroll plan</x:v>
      </x:c>
      <x:c r="D11" s="276" t="str">
        <x:v>Generated</x:v>
      </x:c>
      <x:c r="E11" s="276" t="str">
        <x:v>2023-2027</x:v>
      </x:c>
      <x:c r="F11" s="276" t="str">
        <x:v>TRY / FTE</x:v>
      </x:c>
      <x:c r="G11" s="276" t="str">
        <x:v>People</x:v>
      </x:c>
      <x:c r="H11" s="276" t="str">
        <x:v>Synthetic</x:v>
      </x:c>
      <x:c r="I11" s="276" t="str">
        <x:v>Pipeline</x:v>
      </x:c>
    </x:row>
    <x:row r="12" ht="15" hidden="0" customHeight="1">
      <x:c r="A12" s="276" t="str">
        <x:v>Capex</x:v>
      </x:c>
      <x:c r="B12" s="276" t="str">
        <x:v>Data/fact_capex.csv</x:v>
      </x:c>
      <x:c r="C12" s="276" t="str">
        <x:v>Spend and depreciation</x:v>
      </x:c>
      <x:c r="D12" s="276" t="str">
        <x:v>Generated</x:v>
      </x:c>
      <x:c r="E12" s="276" t="str">
        <x:v>2023-2027</x:v>
      </x:c>
      <x:c r="F12" s="276" t="str">
        <x:v>TRY</x:v>
      </x:c>
      <x:c r="G12" s="276" t="str">
        <x:v>Finance</x:v>
      </x:c>
      <x:c r="H12" s="276" t="str">
        <x:v>Synthetic</x:v>
      </x:c>
      <x:c r="I12" s="276" t="str">
        <x:v>Pipeline</x:v>
      </x:c>
    </x:row>
    <x:row r="13" ht="15" hidden="0" customHeight="1">
      <x:c r="A13" s="276" t="str">
        <x:v>Forecast models</x:v>
      </x:c>
      <x:c r="B13" s="276" t="str">
        <x:v>Data/forecast_model_comparison.csv</x:v>
      </x:c>
      <x:c r="C13" s="276" t="str">
        <x:v>Model governance</x:v>
      </x:c>
      <x:c r="D13" s="276" t="str">
        <x:v>Backtest</x:v>
      </x:c>
      <x:c r="E13" s="276" t="str">
        <x:v>H1 2026</x:v>
      </x:c>
      <x:c r="F13" s="276" t="str">
        <x:v>TRY / %</x:v>
      </x:c>
      <x:c r="G13" s="276" t="str">
        <x:v>Analytics</x:v>
      </x:c>
      <x:c r="H13" s="276" t="str">
        <x:v>Synthetic</x:v>
      </x:c>
      <x:c r="I13" s="276" t="str">
        <x:v>Pipeline</x:v>
      </x:c>
    </x:row>
    <x:row r="14" ht="15" hidden="0" customHeight="1">
      <x:c r="A14" s="276" t="str">
        <x:v>Scenario engine</x:v>
      </x:c>
      <x:c r="B14" s="276" t="str">
        <x:v>Data/scenario_summary.csv</x:v>
      </x:c>
      <x:c r="C14" s="276" t="str">
        <x:v>Decision cases</x:v>
      </x:c>
      <x:c r="D14" s="276" t="str">
        <x:v>Model output</x:v>
      </x:c>
      <x:c r="E14" s="276" t="str">
        <x:v>FY2026</x:v>
      </x:c>
      <x:c r="F14" s="276" t="str">
        <x:v>TRY / days</x:v>
      </x:c>
      <x:c r="G14" s="276" t="str">
        <x:v>FP&amp;A</x:v>
      </x:c>
      <x:c r="H14" s="276" t="str">
        <x:v>Synthetic</x:v>
      </x:c>
      <x:c r="I14" s="276" t="str">
        <x:v>Pipeline</x:v>
      </x:c>
    </x:row>
    <x:row r="15" ht="15" hidden="0" customHeight="1">
      <x:c r="A15" s="276" t="str">
        <x:v>Monte Carlo</x:v>
      </x:c>
      <x:c r="B15" s="276" t="str">
        <x:v>Data/monte_carlo_simulations.csv</x:v>
      </x:c>
      <x:c r="C15" s="276" t="str">
        <x:v>Risk distribution</x:v>
      </x:c>
      <x:c r="D15" s="276" t="str">
        <x:v>5,000 runs</x:v>
      </x:c>
      <x:c r="E15" s="276" t="str">
        <x:v>FY2026</x:v>
      </x:c>
      <x:c r="F15" s="276" t="str">
        <x:v>TRY / %</x:v>
      </x:c>
      <x:c r="G15" s="276" t="str">
        <x:v>FP&amp;A</x:v>
      </x:c>
      <x:c r="H15" s="276" t="str">
        <x:v>Synthetic</x:v>
      </x:c>
      <x:c r="I15" s="276" t="str">
        <x:v>Pipeline</x:v>
      </x:c>
    </x:row>
    <x:row r="16" ht="15" hidden="0" customHeight="1">
      <x:c r="A16" s="276" t="str">
        <x:v>Author</x:v>
      </x:c>
      <x:c r="B16" s="276" t="str">
        <x:v>Murat Miraç Gedik</x:v>
      </x:c>
      <x:c r="C16" s="276" t="str">
        <x:v>Portfolio attribution</x:v>
      </x:c>
      <x:c r="D16" s="276" t="str">
        <x:v>Metadata</x:v>
      </x:c>
      <x:c r="E16" s="276" t="str">
        <x:v>July 2026</x:v>
      </x:c>
      <x:c r="F16" s="276"/>
      <x:c r="G16" s="276" t="str">
        <x:v>Author</x:v>
      </x:c>
      <x:c r="H16" s="276" t="str">
        <x:v>No real company records</x:v>
      </x:c>
      <x:c r="I16" s="276" t="str">
        <x:v>Versioned</x:v>
      </x:c>
    </x:row>
  </x:sheetData>
  <x:mergeCells>
    <x:mergeCell ref="A1:I2"/>
    <x:mergeCell ref="A3:I3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7" max="7" width="16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5" customHeight="1">
      <x:c r="A1" s="3" t="str">
        <x:v>Dashboard Data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5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</x:row>
    <x:row r="3" ht="15" hidden="0" customHeight="1">
      <x:c r="A3" s="6" t="str">
        <x:v>Formula-backed helper ranges for executive charts</x:v>
      </x:c>
      <x:c r="B3" s="6"/>
      <x:c r="C3" s="6"/>
      <x:c r="D3" s="6"/>
      <x:c r="E3" s="6"/>
      <x:c r="F3" s="6"/>
      <x:c r="G3" s="6"/>
      <x:c r="H3" s="6"/>
      <x:c r="I3" s="6"/>
      <x:c r="J3" s="6"/>
    </x:row>
    <x:row r="4"/>
    <x:row r="5" ht="21.600000381469727" hidden="0" customHeight="1">
      <x:c r="A5" s="90" t="str">
        <x:v>Month</x:v>
      </x:c>
      <x:c r="B5" s="90" t="str">
        <x:v>Budget Revenue</x:v>
      </x:c>
      <x:c r="C5" s="90" t="str">
        <x:v>Forecast Revenue</x:v>
      </x:c>
      <x:c r="D5" s="90" t="str">
        <x:v>Budget EBITDA</x:v>
      </x:c>
      <x:c r="E5" s="90" t="str">
        <x:v>Forecast EBITDA</x:v>
      </x:c>
      <x:c r="G5" s="90" t="str">
        <x:v>Scenario</x:v>
      </x:c>
      <x:c r="H5" s="90" t="str">
        <x:v>Revenue</x:v>
      </x:c>
      <x:c r="I5" s="90" t="str">
        <x:v>EBITDA</x:v>
      </x:c>
      <x:c r="J5" s="90" t="str">
        <x:v>Ending Cash</x:v>
      </x:c>
      <x:c r="L5" s="90" t="str">
        <x:v>Month</x:v>
      </x:c>
      <x:c r="M5" s="90" t="str">
        <x:v>Budget EBITDA</x:v>
      </x:c>
      <x:c r="N5" s="90" t="str">
        <x:v>Forecast EBITDA</x:v>
      </x:c>
    </x:row>
    <x:row r="6" ht="15" hidden="0" customHeight="1">
      <x:c r="A6" s="86" t="str">
        <x:v>2026-01-01</x:v>
      </x:c>
      <x:c r="B6" s="106" t="n">
        <x:f>SUMIFS('P&amp;L Data'!$F$6:$F$77,'P&amp;L Data'!$A$6:$A$77,$A6,'P&amp;L Data'!$P$6:$P$77,"Budget")</x:f>
        <x:v>123.35455284999999</x:v>
      </x:c>
      <x:c r="C6" s="106" t="n">
        <x:f>SUMIFS('P&amp;L Data'!$F$6:$F$77,'P&amp;L Data'!$A$6:$A$77,$A6,'P&amp;L Data'!$P$6:$P$77,"Forecast")</x:f>
        <x:v>124.15170402</x:v>
      </x:c>
      <x:c r="D6" s="106" t="n">
        <x:f>SUMIFS('P&amp;L Data'!$I$6:$I$77,'P&amp;L Data'!$A$6:$A$77,$A6,'P&amp;L Data'!$P$6:$P$77,"Budget")</x:f>
        <x:v>2.35440986999999</x:v>
      </x:c>
      <x:c r="E6" s="106" t="n">
        <x:f>SUMIFS('P&amp;L Data'!$I$6:$I$77,'P&amp;L Data'!$A$6:$A$77,$A6,'P&amp;L Data'!$P$6:$P$77,"Forecast")</x:f>
        <x:v>4.395871299999997</x:v>
      </x:c>
      <x:c r="G6" s="86" t="str">
        <x:v>Upside</x:v>
      </x:c>
      <x:c r="H6" s="103" t="n">
        <x:v>1876.74904924</x:v>
      </x:c>
      <x:c r="I6" s="103" t="n">
        <x:v>206.25580812</x:v>
      </x:c>
      <x:c r="J6" s="103" t="n">
        <x:v>293.28697947</x:v>
      </x:c>
      <x:c r="L6" s="86" t="str">
        <x:v>2026-01-01</x:v>
      </x:c>
      <x:c r="M6" s="103" t="n">
        <x:f>D6</x:f>
        <x:v>2.35440986999999</x:v>
      </x:c>
      <x:c r="N6" s="103" t="n">
        <x:f>E6</x:f>
        <x:v>4.395871299999997</x:v>
      </x:c>
    </x:row>
    <x:row r="7" ht="15" hidden="0" customHeight="1">
      <x:c r="A7" s="86" t="str">
        <x:v>2026-02-01</x:v>
      </x:c>
      <x:c r="B7" s="106" t="n">
        <x:f>SUMIFS('P&amp;L Data'!$F$6:$F$77,'P&amp;L Data'!$A$6:$A$77,$A7,'P&amp;L Data'!$P$6:$P$77,"Budget")</x:f>
        <x:v>128.01089502</x:v>
      </x:c>
      <x:c r="C7" s="106" t="n">
        <x:f>SUMIFS('P&amp;L Data'!$F$6:$F$77,'P&amp;L Data'!$A$6:$A$77,$A7,'P&amp;L Data'!$P$6:$P$77,"Forecast")</x:f>
        <x:v>127.34601756</x:v>
      </x:c>
      <x:c r="D7" s="106" t="n">
        <x:f>SUMIFS('P&amp;L Data'!$I$6:$I$77,'P&amp;L Data'!$A$6:$A$77,$A7,'P&amp;L Data'!$P$6:$P$77,"Budget")</x:f>
        <x:v>2.256037879999995</x:v>
      </x:c>
      <x:c r="E7" s="106" t="n">
        <x:f>SUMIFS('P&amp;L Data'!$I$6:$I$77,'P&amp;L Data'!$A$6:$A$77,$A7,'P&amp;L Data'!$P$6:$P$77,"Forecast")</x:f>
        <x:v>4.994220830000006</x:v>
      </x:c>
      <x:c r="G7" s="86" t="str">
        <x:v>Base</x:v>
      </x:c>
      <x:c r="H7" s="103" t="n">
        <x:v>1790.8121778</x:v>
      </x:c>
      <x:c r="I7" s="103" t="n">
        <x:v>164.38105140000002</x:v>
      </x:c>
      <x:c r="J7" s="103" t="n">
        <x:v>245.62902581</x:v>
      </x:c>
      <x:c r="L7" s="86" t="str">
        <x:v>2026-02-01</x:v>
      </x:c>
      <x:c r="M7" s="103" t="n">
        <x:f>D7</x:f>
        <x:v>2.256037879999995</x:v>
      </x:c>
      <x:c r="N7" s="103" t="n">
        <x:f>E7</x:f>
        <x:v>4.994220830000006</x:v>
      </x:c>
    </x:row>
    <x:row r="8" ht="15" hidden="0" customHeight="1">
      <x:c r="A8" s="86" t="str">
        <x:v>2026-03-01</x:v>
      </x:c>
      <x:c r="B8" s="106" t="n">
        <x:f>SUMIFS('P&amp;L Data'!$F$6:$F$77,'P&amp;L Data'!$A$6:$A$77,$A8,'P&amp;L Data'!$P$6:$P$77,"Budget")</x:f>
        <x:v>145.50506318</x:v>
      </x:c>
      <x:c r="C8" s="106" t="n">
        <x:f>SUMIFS('P&amp;L Data'!$F$6:$F$77,'P&amp;L Data'!$A$6:$A$77,$A8,'P&amp;L Data'!$P$6:$P$77,"Forecast")</x:f>
        <x:v>140.67192072999998</x:v>
      </x:c>
      <x:c r="D8" s="106" t="n">
        <x:f>SUMIFS('P&amp;L Data'!$I$6:$I$77,'P&amp;L Data'!$A$6:$A$77,$A8,'P&amp;L Data'!$P$6:$P$77,"Budget")</x:f>
        <x:v>10.33264467000001</x:v>
      </x:c>
      <x:c r="E8" s="106" t="n">
        <x:f>SUMIFS('P&amp;L Data'!$I$6:$I$77,'P&amp;L Data'!$A$6:$A$77,$A8,'P&amp;L Data'!$P$6:$P$77,"Forecast")</x:f>
        <x:v>10.881004679999993</x:v>
      </x:c>
      <x:c r="G8" s="86" t="str">
        <x:v>Downside</x:v>
      </x:c>
      <x:c r="H8" s="103" t="n">
        <x:v>1695.32676509</x:v>
      </x:c>
      <x:c r="I8" s="103" t="n">
        <x:v>118.54125289</x:v>
      </x:c>
      <x:c r="J8" s="103" t="n">
        <x:v>185.60080772</x:v>
      </x:c>
      <x:c r="L8" s="86" t="str">
        <x:v>2026-03-01</x:v>
      </x:c>
      <x:c r="M8" s="103" t="n">
        <x:f>D8</x:f>
        <x:v>10.33264467000001</x:v>
      </x:c>
      <x:c r="N8" s="103" t="n">
        <x:f>E8</x:f>
        <x:v>10.881004679999993</x:v>
      </x:c>
    </x:row>
    <x:row r="9" ht="15" hidden="0" customHeight="1">
      <x:c r="A9" s="86" t="str">
        <x:v>2026-04-01</x:v>
      </x:c>
      <x:c r="B9" s="106" t="n">
        <x:f>SUMIFS('P&amp;L Data'!$F$6:$F$77,'P&amp;L Data'!$A$6:$A$77,$A9,'P&amp;L Data'!$P$6:$P$77,"Budget")</x:f>
        <x:v>147.99680145</x:v>
      </x:c>
      <x:c r="C9" s="106" t="n">
        <x:f>SUMIFS('P&amp;L Data'!$F$6:$F$77,'P&amp;L Data'!$A$6:$A$77,$A9,'P&amp;L Data'!$P$6:$P$77,"Forecast")</x:f>
        <x:v>146.83694599</x:v>
      </x:c>
      <x:c r="D9" s="106" t="n">
        <x:f>SUMIFS('P&amp;L Data'!$I$6:$I$77,'P&amp;L Data'!$A$6:$A$77,$A9,'P&amp;L Data'!$P$6:$P$77,"Budget")</x:f>
        <x:v>11.33483373999998</x:v>
      </x:c>
      <x:c r="E9" s="106" t="n">
        <x:f>SUMIFS('P&amp;L Data'!$I$6:$I$77,'P&amp;L Data'!$A$6:$A$77,$A9,'P&amp;L Data'!$P$6:$P$77,"Forecast")</x:f>
        <x:v>11.716259730000019</x:v>
      </x:c>
      <x:c r="G9" s="86" t="str">
        <x:v>Stress</x:v>
      </x:c>
      <x:c r="H9" s="103" t="n">
        <x:v>1599.84135239</x:v>
      </x:c>
      <x:c r="I9" s="103" t="n">
        <x:v>71.29683487</x:v>
      </x:c>
      <x:c r="J9" s="103" t="n">
        <x:v>115.87768392</x:v>
      </x:c>
      <x:c r="L9" s="86" t="str">
        <x:v>2026-04-01</x:v>
      </x:c>
      <x:c r="M9" s="103" t="n">
        <x:f>D9</x:f>
        <x:v>11.33483373999998</x:v>
      </x:c>
      <x:c r="N9" s="103" t="n">
        <x:f>E9</x:f>
        <x:v>11.716259730000019</x:v>
      </x:c>
    </x:row>
    <x:row r="10" ht="15" hidden="0" customHeight="1">
      <x:c r="A10" s="86" t="str">
        <x:v>2026-05-01</x:v>
      </x:c>
      <x:c r="B10" s="106" t="n">
        <x:f>SUMIFS('P&amp;L Data'!$F$6:$F$77,'P&amp;L Data'!$A$6:$A$77,$A10,'P&amp;L Data'!$P$6:$P$77,"Budget")</x:f>
        <x:v>150.11665496</x:v>
      </x:c>
      <x:c r="C10" s="106" t="n">
        <x:f>SUMIFS('P&amp;L Data'!$F$6:$F$77,'P&amp;L Data'!$A$6:$A$77,$A10,'P&amp;L Data'!$P$6:$P$77,"Forecast")</x:f>
        <x:v>147.50381466</x:v>
      </x:c>
      <x:c r="D10" s="106" t="n">
        <x:f>SUMIFS('P&amp;L Data'!$I$6:$I$77,'P&amp;L Data'!$A$6:$A$77,$A10,'P&amp;L Data'!$P$6:$P$77,"Budget")</x:f>
        <x:v>12.04475331000001</x:v>
      </x:c>
      <x:c r="E10" s="106" t="n">
        <x:f>SUMIFS('P&amp;L Data'!$I$6:$I$77,'P&amp;L Data'!$A$6:$A$77,$A10,'P&amp;L Data'!$P$6:$P$77,"Forecast")</x:f>
        <x:v>12.162139</x:v>
      </x:c>
      <x:c r="L10" s="86" t="str">
        <x:v>2026-05-01</x:v>
      </x:c>
      <x:c r="M10" s="103" t="n">
        <x:f>D10</x:f>
        <x:v>12.04475331000001</x:v>
      </x:c>
      <x:c r="N10" s="103" t="n">
        <x:f>E10</x:f>
        <x:v>12.162139</x:v>
      </x:c>
    </x:row>
    <x:row r="11" ht="15" hidden="0" customHeight="1">
      <x:c r="A11" s="86" t="str">
        <x:v>2026-06-01</x:v>
      </x:c>
      <x:c r="B11" s="106" t="n">
        <x:f>SUMIFS('P&amp;L Data'!$F$6:$F$77,'P&amp;L Data'!$A$6:$A$77,$A11,'P&amp;L Data'!$P$6:$P$77,"Budget")</x:f>
        <x:v>154.21713512</x:v>
      </x:c>
      <x:c r="C11" s="106" t="n">
        <x:f>SUMIFS('P&amp;L Data'!$F$6:$F$77,'P&amp;L Data'!$A$6:$A$77,$A11,'P&amp;L Data'!$P$6:$P$77,"Forecast")</x:f>
        <x:v>149.44764777</x:v>
      </x:c>
      <x:c r="D11" s="106" t="n">
        <x:f>SUMIFS('P&amp;L Data'!$I$6:$I$77,'P&amp;L Data'!$A$6:$A$77,$A11,'P&amp;L Data'!$P$6:$P$77,"Budget")</x:f>
        <x:v>13.574219710000001</x:v>
      </x:c>
      <x:c r="E11" s="106" t="n">
        <x:f>SUMIFS('P&amp;L Data'!$I$6:$I$77,'P&amp;L Data'!$A$6:$A$77,$A11,'P&amp;L Data'!$P$6:$P$77,"Forecast")</x:f>
        <x:v>12.888956090000004</x:v>
      </x:c>
      <x:c r="L11" s="86" t="str">
        <x:v>2026-06-01</x:v>
      </x:c>
      <x:c r="M11" s="103" t="n">
        <x:f>D11</x:f>
        <x:v>13.574219710000001</x:v>
      </x:c>
      <x:c r="N11" s="103" t="n">
        <x:f>E11</x:f>
        <x:v>12.888956090000004</x:v>
      </x:c>
    </x:row>
    <x:row r="12" ht="15" hidden="0" customHeight="1">
      <x:c r="A12" s="86" t="str">
        <x:v>2026-07-01</x:v>
      </x:c>
      <x:c r="B12" s="106" t="n">
        <x:f>SUMIFS('P&amp;L Data'!$F$6:$F$77,'P&amp;L Data'!$A$6:$A$77,$A12,'P&amp;L Data'!$P$6:$P$77,"Budget")</x:f>
        <x:v>145.97480799000002</x:v>
      </x:c>
      <x:c r="C12" s="106" t="n">
        <x:f>SUMIFS('P&amp;L Data'!$F$6:$F$77,'P&amp;L Data'!$A$6:$A$77,$A12,'P&amp;L Data'!$P$6:$P$77,"Forecast")</x:f>
        <x:v>145.25930169999998</x:v>
      </x:c>
      <x:c r="D12" s="106" t="n">
        <x:f>SUMIFS('P&amp;L Data'!$I$6:$I$77,'P&amp;L Data'!$A$6:$A$77,$A12,'P&amp;L Data'!$P$6:$P$77,"Budget")</x:f>
        <x:v>10.211983400000006</x:v>
      </x:c>
      <x:c r="E12" s="106" t="n">
        <x:f>SUMIFS('P&amp;L Data'!$I$6:$I$77,'P&amp;L Data'!$A$6:$A$77,$A12,'P&amp;L Data'!$P$6:$P$77,"Forecast")</x:f>
        <x:v>13.022270769999988</x:v>
      </x:c>
      <x:c r="L12" s="86" t="str">
        <x:v>2026-07-01</x:v>
      </x:c>
      <x:c r="M12" s="103" t="n">
        <x:f>D12</x:f>
        <x:v>10.211983400000006</x:v>
      </x:c>
      <x:c r="N12" s="103" t="n">
        <x:f>E12</x:f>
        <x:v>13.022270769999988</x:v>
      </x:c>
    </x:row>
    <x:row r="13" ht="15" hidden="0" customHeight="1">
      <x:c r="A13" s="86" t="str">
        <x:v>2026-08-01</x:v>
      </x:c>
      <x:c r="B13" s="106" t="n">
        <x:f>SUMIFS('P&amp;L Data'!$F$6:$F$77,'P&amp;L Data'!$A$6:$A$77,$A13,'P&amp;L Data'!$P$6:$P$77,"Budget")</x:f>
        <x:v>141.03261813999998</x:v>
      </x:c>
      <x:c r="C13" s="106" t="n">
        <x:f>SUMIFS('P&amp;L Data'!$F$6:$F$77,'P&amp;L Data'!$A$6:$A$77,$A13,'P&amp;L Data'!$P$6:$P$77,"Forecast")</x:f>
        <x:v>141.41465324</x:v>
      </x:c>
      <x:c r="D13" s="106" t="n">
        <x:f>SUMIFS('P&amp;L Data'!$I$6:$I$77,'P&amp;L Data'!$A$6:$A$77,$A13,'P&amp;L Data'!$P$6:$P$77,"Budget")</x:f>
        <x:v>6.890343289999992</x:v>
      </x:c>
      <x:c r="E13" s="106" t="n">
        <x:f>SUMIFS('P&amp;L Data'!$I$6:$I$77,'P&amp;L Data'!$A$6:$A$77,$A13,'P&amp;L Data'!$P$6:$P$77,"Forecast")</x:f>
        <x:v>9.822634290000021</x:v>
      </x:c>
      <x:c r="L13" s="86" t="str">
        <x:v>2026-08-01</x:v>
      </x:c>
      <x:c r="M13" s="103" t="n">
        <x:f>D13</x:f>
        <x:v>6.890343289999992</x:v>
      </x:c>
      <x:c r="N13" s="103" t="n">
        <x:f>E13</x:f>
        <x:v>9.822634290000021</x:v>
      </x:c>
    </x:row>
    <x:row r="14" ht="15" hidden="0" customHeight="1">
      <x:c r="A14" s="86" t="str">
        <x:v>2026-09-01</x:v>
      </x:c>
      <x:c r="B14" s="106" t="n">
        <x:f>SUMIFS('P&amp;L Data'!$F$6:$F$77,'P&amp;L Data'!$A$6:$A$77,$A14,'P&amp;L Data'!$P$6:$P$77,"Budget")</x:f>
        <x:v>160.77074397</x:v>
      </x:c>
      <x:c r="C14" s="106" t="n">
        <x:f>SUMIFS('P&amp;L Data'!$F$6:$F$77,'P&amp;L Data'!$A$6:$A$77,$A14,'P&amp;L Data'!$P$6:$P$77,"Forecast")</x:f>
        <x:v>156.14103014</x:v>
      </x:c>
      <x:c r="D14" s="106" t="n">
        <x:f>SUMIFS('P&amp;L Data'!$I$6:$I$77,'P&amp;L Data'!$A$6:$A$77,$A14,'P&amp;L Data'!$P$6:$P$77,"Budget")</x:f>
        <x:v>16.663433120000004</x:v>
      </x:c>
      <x:c r="E14" s="106" t="n">
        <x:f>SUMIFS('P&amp;L Data'!$I$6:$I$77,'P&amp;L Data'!$A$6:$A$77,$A14,'P&amp;L Data'!$P$6:$P$77,"Forecast")</x:f>
        <x:v>15.786659569999992</x:v>
      </x:c>
      <x:c r="L14" s="86" t="str">
        <x:v>2026-09-01</x:v>
      </x:c>
      <x:c r="M14" s="103" t="n">
        <x:f>D14</x:f>
        <x:v>16.663433120000004</x:v>
      </x:c>
      <x:c r="N14" s="103" t="n">
        <x:f>E14</x:f>
        <x:v>15.786659569999992</x:v>
      </x:c>
    </x:row>
    <x:row r="15" ht="15" hidden="0" customHeight="1">
      <x:c r="A15" s="86" t="str">
        <x:v>2026-10-01</x:v>
      </x:c>
      <x:c r="B15" s="106" t="n">
        <x:f>SUMIFS('P&amp;L Data'!$F$6:$F$77,'P&amp;L Data'!$A$6:$A$77,$A15,'P&amp;L Data'!$P$6:$P$77,"Budget")</x:f>
        <x:v>169.32750542</x:v>
      </x:c>
      <x:c r="C15" s="106" t="n">
        <x:f>SUMIFS('P&amp;L Data'!$F$6:$F$77,'P&amp;L Data'!$A$6:$A$77,$A15,'P&amp;L Data'!$P$6:$P$77,"Forecast")</x:f>
        <x:v>162.19569739000002</x:v>
      </x:c>
      <x:c r="D15" s="106" t="n">
        <x:f>SUMIFS('P&amp;L Data'!$I$6:$I$77,'P&amp;L Data'!$A$6:$A$77,$A15,'P&amp;L Data'!$P$6:$P$77,"Budget")</x:f>
        <x:v>19.053607090000003</x:v>
      </x:c>
      <x:c r="E15" s="106" t="n">
        <x:f>SUMIFS('P&amp;L Data'!$I$6:$I$77,'P&amp;L Data'!$A$6:$A$77,$A15,'P&amp;L Data'!$P$6:$P$77,"Forecast")</x:f>
        <x:v>19.519318170000016</x:v>
      </x:c>
      <x:c r="L15" s="86" t="str">
        <x:v>2026-10-01</x:v>
      </x:c>
      <x:c r="M15" s="103" t="n">
        <x:f>D15</x:f>
        <x:v>19.053607090000003</x:v>
      </x:c>
      <x:c r="N15" s="103" t="n">
        <x:f>E15</x:f>
        <x:v>19.519318170000016</x:v>
      </x:c>
    </x:row>
    <x:row r="16" ht="15" hidden="0" customHeight="1">
      <x:c r="A16" s="86" t="str">
        <x:v>2026-11-01</x:v>
      </x:c>
      <x:c r="B16" s="106" t="n">
        <x:f>SUMIFS('P&amp;L Data'!$F$6:$F$77,'P&amp;L Data'!$A$6:$A$77,$A16,'P&amp;L Data'!$P$6:$P$77,"Budget")</x:f>
        <x:v>179.39495583000001</x:v>
      </x:c>
      <x:c r="C16" s="106" t="n">
        <x:f>SUMIFS('P&amp;L Data'!$F$6:$F$77,'P&amp;L Data'!$A$6:$A$77,$A16,'P&amp;L Data'!$P$6:$P$77,"Forecast")</x:f>
        <x:v>169.69751737</x:v>
      </x:c>
      <x:c r="D16" s="106" t="n">
        <x:f>SUMIFS('P&amp;L Data'!$I$6:$I$77,'P&amp;L Data'!$A$6:$A$77,$A16,'P&amp;L Data'!$P$6:$P$77,"Budget")</x:f>
        <x:v>23.37832164</x:v>
      </x:c>
      <x:c r="E16" s="106" t="n">
        <x:f>SUMIFS('P&amp;L Data'!$I$6:$I$77,'P&amp;L Data'!$A$6:$A$77,$A16,'P&amp;L Data'!$P$6:$P$77,"Forecast")</x:f>
        <x:v>22.11362082000001</x:v>
      </x:c>
      <x:c r="L16" s="86" t="str">
        <x:v>2026-11-01</x:v>
      </x:c>
      <x:c r="M16" s="103" t="n">
        <x:f>D16</x:f>
        <x:v>23.37832164</x:v>
      </x:c>
      <x:c r="N16" s="103" t="n">
        <x:f>E16</x:f>
        <x:v>22.11362082000001</x:v>
      </x:c>
    </x:row>
    <x:row r="17" ht="15" hidden="0" customHeight="1">
      <x:c r="A17" s="86" t="str">
        <x:v>2026-12-01</x:v>
      </x:c>
      <x:c r="B17" s="106" t="n">
        <x:f>SUMIFS('P&amp;L Data'!$F$6:$F$77,'P&amp;L Data'!$A$6:$A$77,$A17,'P&amp;L Data'!$P$6:$P$77,"Budget")</x:f>
        <x:v>193.14499124</x:v>
      </x:c>
      <x:c r="C17" s="106" t="n">
        <x:f>SUMIFS('P&amp;L Data'!$F$6:$F$77,'P&amp;L Data'!$A$6:$A$77,$A17,'P&amp;L Data'!$P$6:$P$77,"Forecast")</x:f>
        <x:v>180.14592722999998</x:v>
      </x:c>
      <x:c r="D17" s="106" t="n">
        <x:f>SUMIFS('P&amp;L Data'!$I$6:$I$77,'P&amp;L Data'!$A$6:$A$77,$A17,'P&amp;L Data'!$P$6:$P$77,"Budget")</x:f>
        <x:v>30.677000090000003</x:v>
      </x:c>
      <x:c r="E17" s="106" t="n">
        <x:f>SUMIFS('P&amp;L Data'!$I$6:$I$77,'P&amp;L Data'!$A$6:$A$77,$A17,'P&amp;L Data'!$P$6:$P$77,"Forecast")</x:f>
        <x:v>27.07809614999999</x:v>
      </x:c>
      <x:c r="L17" s="86" t="str">
        <x:v>2026-12-01</x:v>
      </x:c>
      <x:c r="M17" s="103" t="n">
        <x:f>D17</x:f>
        <x:v>30.677000090000003</x:v>
      </x:c>
      <x:c r="N17" s="103" t="n">
        <x:f>E17</x:f>
        <x:v>27.07809614999999</x:v>
      </x:c>
    </x:row>
  </x:sheetData>
  <x:mergeCells>
    <x:mergeCell ref="A1:J2"/>
    <x:mergeCell ref="A3:J3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</x:cols>
  <x:sheetData>
    <x:row r="1" ht="25" customHeight="1">
      <x:c r="A1" s="3" t="str">
        <x:v>P&amp;L Data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</x:row>
    <x:row r="2" ht="25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</x:row>
    <x:row r="3" ht="25" customHeight="1">
      <x:c r="A3" s="6" t="str">
        <x:v>Formula source | actual, budget and Q2 rolling forecast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  <x:c r="S3" s="6"/>
      <x:c r="T3" s="6"/>
      <x:c r="U3" s="6"/>
      <x:c r="V3" s="6"/>
      <x:c r="W3" s="6"/>
    </x:row>
    <x:row r="5" ht="17" customHeight="1">
      <x:c r="A5" s="13" t="str">
        <x:v>Month</x:v>
      </x:c>
      <x:c r="B5" s="13" t="str">
        <x:v>COGSTRY</x:v>
      </x:c>
      <x:c r="C5" s="13" t="str">
        <x:v>DepreciationTRY</x:v>
      </x:c>
      <x:c r="D5" s="13" t="str">
        <x:v>InterestTRY</x:v>
      </x:c>
      <x:c r="E5" s="13" t="str">
        <x:v>OperatingExpenseTRY</x:v>
      </x:c>
      <x:c r="F5" s="13" t="str">
        <x:v>RevenueTRY</x:v>
      </x:c>
      <x:c r="G5" s="13" t="str">
        <x:v>TaxTRY</x:v>
      </x:c>
      <x:c r="H5" s="13" t="str">
        <x:v>GrossProfitTRY</x:v>
      </x:c>
      <x:c r="I5" s="13" t="str">
        <x:v>EBITDATRY</x:v>
      </x:c>
      <x:c r="J5" s="13" t="str">
        <x:v>EBITTRY</x:v>
      </x:c>
      <x:c r="K5" s="13" t="str">
        <x:v>EBTTRY</x:v>
      </x:c>
      <x:c r="L5" s="13" t="str">
        <x:v>NetIncomeTRY</x:v>
      </x:c>
      <x:c r="M5" s="13" t="str">
        <x:v>GrossMarginPct</x:v>
      </x:c>
      <x:c r="N5" s="13" t="str">
        <x:v>EBITDAMarginPct</x:v>
      </x:c>
      <x:c r="O5" s="13" t="str">
        <x:v>NetIncomeMarginPct</x:v>
      </x:c>
      <x:c r="P5" s="13" t="str">
        <x:v>Version</x:v>
      </x:c>
      <x:c r="Q5" s="13" t="str">
        <x:v>PeriodStatus</x:v>
      </x:c>
      <x:c r="R5" s="13" t="str">
        <x:v>MonthKey</x:v>
      </x:c>
      <x:c r="S5" s="13" t="str">
        <x:v>MonthLabel</x:v>
      </x:c>
      <x:c r="T5" s="13" t="str">
        <x:v>Year</x:v>
      </x:c>
      <x:c r="U5" s="13" t="str">
        <x:v>Quarter</x:v>
      </x:c>
      <x:c r="V5" s="13" t="str">
        <x:v>RevenueGrowthPct</x:v>
      </x:c>
      <x:c r="W5" s="13" t="str">
        <x:v>ForecastAccuracyPct</x:v>
      </x:c>
    </x:row>
    <x:row r="6" ht="17" customHeight="1">
      <x:c r="A6" s="9" t="str">
        <x:v>2023-01-01</x:v>
      </x:c>
      <x:c r="B6" s="107" t="n">
        <x:v>41.76326077</x:v>
      </x:c>
      <x:c r="C6" s="107" t="n">
        <x:v>0</x:v>
      </x:c>
      <x:c r="D6" s="107" t="n">
        <x:v>0.42</x:v>
      </x:c>
      <x:c r="E6" s="107" t="n">
        <x:v>39.267566810000005</x:v>
      </x:c>
      <x:c r="F6" s="107" t="n">
        <x:v>82.96524967</x:v>
      </x:c>
      <x:c r="G6" s="107" t="n">
        <x:v>0.37860552000000003</x:v>
      </x:c>
      <x:c r="H6" s="107" t="n">
        <x:v>41.201988899999996</x:v>
      </x:c>
      <x:c r="I6" s="107" t="n">
        <x:v>1.9344220899999962</x:v>
      </x:c>
      <x:c r="J6" s="107" t="n">
        <x:v>1.9344220899999962</x:v>
      </x:c>
      <x:c r="K6" s="107" t="n">
        <x:v>1.514422089999996</x:v>
      </x:c>
      <x:c r="L6" s="107" t="n">
        <x:v>1.135816569999996</x:v>
      </x:c>
      <x:c r="M6" s="108" t="n">
        <x:v>0.4966174279458418</x:v>
      </x:c>
      <x:c r="N6" s="108" t="n">
        <x:v>0.023316052174787556</x:v>
      </x:c>
      <x:c r="O6" s="108" t="n">
        <x:v>0.013690268811554052</x:v>
      </x:c>
      <x:c r="P6" s="9" t="str">
        <x:v>Actual</x:v>
      </x:c>
      <x:c r="Q6" s="9" t="str">
        <x:v>Actual</x:v>
      </x:c>
      <x:c r="R6" s="9" t="str">
        <x:v>2023-01</x:v>
      </x:c>
      <x:c r="S6" s="9" t="str">
        <x:v>Jan 2023</x:v>
      </x:c>
      <x:c r="T6" s="9" t="n">
        <x:v>2023</x:v>
      </x:c>
      <x:c r="U6" s="9" t="str">
        <x:v>Q1</x:v>
      </x:c>
      <x:c r="V6" s="108"/>
      <x:c r="W6" s="108"/>
    </x:row>
    <x:row r="7" ht="17" customHeight="1">
      <x:c r="A7" s="9" t="str">
        <x:v>2023-02-01</x:v>
      </x:c>
      <x:c r="B7" s="107" t="n">
        <x:v>43.64971386</x:v>
      </x:c>
      <x:c r="C7" s="107" t="n">
        <x:v>0</x:v>
      </x:c>
      <x:c r="D7" s="107" t="n">
        <x:v>0.42</x:v>
      </x:c>
      <x:c r="E7" s="107" t="n">
        <x:v>39.56473725</x:v>
      </x:c>
      <x:c r="F7" s="107" t="n">
        <x:v>87.26513138</x:v>
      </x:c>
      <x:c r="G7" s="107" t="n">
        <x:v>0.90767007</x:v>
      </x:c>
      <x:c r="H7" s="107" t="n">
        <x:v>43.615417519999994</x:v>
      </x:c>
      <x:c r="I7" s="107" t="n">
        <x:v>4.0506802699999955</x:v>
      </x:c>
      <x:c r="J7" s="107" t="n">
        <x:v>4.0506802699999955</x:v>
      </x:c>
      <x:c r="K7" s="107" t="n">
        <x:v>3.630680269999996</x:v>
      </x:c>
      <x:c r="L7" s="107" t="n">
        <x:v>2.723010199999996</x:v>
      </x:c>
      <x:c r="M7" s="108" t="n">
        <x:v>0.4998034934488859</x:v>
      </x:c>
      <x:c r="N7" s="108" t="n">
        <x:v>0.046418084817418354</x:v>
      </x:c>
      <x:c r="O7" s="108" t="n">
        <x:v>0.031203874410530866</x:v>
      </x:c>
      <x:c r="P7" s="9" t="str">
        <x:v>Actual</x:v>
      </x:c>
      <x:c r="Q7" s="9" t="str">
        <x:v>Actual</x:v>
      </x:c>
      <x:c r="R7" s="9" t="str">
        <x:v>2023-02</x:v>
      </x:c>
      <x:c r="S7" s="9" t="str">
        <x:v>Feb 2023</x:v>
      </x:c>
      <x:c r="T7" s="9" t="n">
        <x:v>2023</x:v>
      </x:c>
      <x:c r="U7" s="9" t="str">
        <x:v>Q1</x:v>
      </x:c>
      <x:c r="V7" s="108"/>
      <x:c r="W7" s="108"/>
    </x:row>
    <x:row r="8" ht="17" customHeight="1">
      <x:c r="A8" s="9" t="str">
        <x:v>2023-03-01</x:v>
      </x:c>
      <x:c r="B8" s="107" t="n">
        <x:v>47.80295815</x:v>
      </x:c>
      <x:c r="C8" s="107" t="n">
        <x:v>0</x:v>
      </x:c>
      <x:c r="D8" s="107" t="n">
        <x:v>0.42</x:v>
      </x:c>
      <x:c r="E8" s="107" t="n">
        <x:v>40.18754957</x:v>
      </x:c>
      <x:c r="F8" s="107" t="n">
        <x:v>95.53213251999999</x:v>
      </x:c>
      <x:c r="G8" s="107" t="n">
        <x:v>1.7804062</x:v>
      </x:c>
      <x:c r="H8" s="107" t="n">
        <x:v>47.729174369999996</x:v>
      </x:c>
      <x:c r="I8" s="107" t="n">
        <x:v>7.5416247999999975</x:v>
      </x:c>
      <x:c r="J8" s="107" t="n">
        <x:v>7.5416247999999975</x:v>
      </x:c>
      <x:c r="K8" s="107" t="n">
        <x:v>7.121624799999997</x:v>
      </x:c>
      <x:c r="L8" s="107" t="n">
        <x:v>5.341218599999997</x:v>
      </x:c>
      <x:c r="M8" s="108" t="n">
        <x:v>0.4996138274209227</x:v>
      </x:c>
      <x:c r="N8" s="108" t="n">
        <x:v>0.07894333143271068</x:v>
      </x:c>
      <x:c r="O8" s="108" t="n">
        <x:v>0.055910178691779895</x:v>
      </x:c>
      <x:c r="P8" s="9" t="str">
        <x:v>Actual</x:v>
      </x:c>
      <x:c r="Q8" s="9" t="str">
        <x:v>Actual</x:v>
      </x:c>
      <x:c r="R8" s="9" t="str">
        <x:v>2023-03</x:v>
      </x:c>
      <x:c r="S8" s="9" t="str">
        <x:v>Mar 2023</x:v>
      </x:c>
      <x:c r="T8" s="9" t="n">
        <x:v>2023</x:v>
      </x:c>
      <x:c r="U8" s="9" t="str">
        <x:v>Q1</x:v>
      </x:c>
      <x:c r="V8" s="108"/>
      <x:c r="W8" s="108"/>
    </x:row>
    <x:row r="9" ht="17" customHeight="1">
      <x:c r="A9" s="9" t="str">
        <x:v>2023-04-01</x:v>
      </x:c>
      <x:c r="B9" s="107" t="n">
        <x:v>50.484725299999994</x:v>
      </x:c>
      <x:c r="C9" s="107" t="n">
        <x:v>0</x:v>
      </x:c>
      <x:c r="D9" s="107" t="n">
        <x:v>0.42</x:v>
      </x:c>
      <x:c r="E9" s="107" t="n">
        <x:v>41.87862296</x:v>
      </x:c>
      <x:c r="F9" s="107" t="n">
        <x:v>99.99650353</x:v>
      </x:c>
      <x:c r="G9" s="107" t="n">
        <x:v>1.8032888200000001</x:v>
      </x:c>
      <x:c r="H9" s="107" t="n">
        <x:v>49.511778230000004</x:v>
      </x:c>
      <x:c r="I9" s="107" t="n">
        <x:v>7.633155270000003</x:v>
      </x:c>
      <x:c r="J9" s="107" t="n">
        <x:v>7.633155270000003</x:v>
      </x:c>
      <x:c r="K9" s="107" t="n">
        <x:v>7.213155270000003</x:v>
      </x:c>
      <x:c r="L9" s="107" t="n">
        <x:v>5.409866450000003</x:v>
      </x:c>
      <x:c r="M9" s="108" t="n">
        <x:v>0.49513509455004046</x:v>
      </x:c>
      <x:c r="N9" s="108" t="n">
        <x:v>0.07633422170316162</x:v>
      </x:c>
      <x:c r="O9" s="108" t="n">
        <x:v>0.05410055610971424</x:v>
      </x:c>
      <x:c r="P9" s="9" t="str">
        <x:v>Actual</x:v>
      </x:c>
      <x:c r="Q9" s="9" t="str">
        <x:v>Actual</x:v>
      </x:c>
      <x:c r="R9" s="9" t="str">
        <x:v>2023-04</x:v>
      </x:c>
      <x:c r="S9" s="9" t="str">
        <x:v>Apr 2023</x:v>
      </x:c>
      <x:c r="T9" s="9" t="n">
        <x:v>2023</x:v>
      </x:c>
      <x:c r="U9" s="9" t="str">
        <x:v>Q2</x:v>
      </x:c>
      <x:c r="V9" s="108"/>
      <x:c r="W9" s="108"/>
    </x:row>
    <x:row r="10" ht="17" customHeight="1">
      <x:c r="A10" s="9" t="str">
        <x:v>2023-05-01</x:v>
      </x:c>
      <x:c r="B10" s="107" t="n">
        <x:v>51.46161651999999</x:v>
      </x:c>
      <x:c r="C10" s="107" t="n">
        <x:v>0</x:v>
      </x:c>
      <x:c r="D10" s="107" t="n">
        <x:v>0.42</x:v>
      </x:c>
      <x:c r="E10" s="107" t="n">
        <x:v>42.254326299999995</x:v>
      </x:c>
      <x:c r="F10" s="107" t="n">
        <x:v>102.89103734</x:v>
      </x:c>
      <x:c r="G10" s="107" t="n">
        <x:v>2.18877363</x:v>
      </x:c>
      <x:c r="H10" s="107" t="n">
        <x:v>51.429420820000004</x:v>
      </x:c>
      <x:c r="I10" s="107" t="n">
        <x:v>9.17509452000001</x:v>
      </x:c>
      <x:c r="J10" s="107" t="n">
        <x:v>9.17509452000001</x:v>
      </x:c>
      <x:c r="K10" s="107" t="n">
        <x:v>8.75509452000001</x:v>
      </x:c>
      <x:c r="L10" s="107" t="n">
        <x:v>6.566320890000011</x:v>
      </x:c>
      <x:c r="M10" s="108" t="n">
        <x:v>0.4998435446816733</x:v>
      </x:c>
      <x:c r="N10" s="108" t="n">
        <x:v>0.08917292270736096</x:v>
      </x:c>
      <x:c r="O10" s="108" t="n">
        <x:v>0.06381820088276322</x:v>
      </x:c>
      <x:c r="P10" s="9" t="str">
        <x:v>Actual</x:v>
      </x:c>
      <x:c r="Q10" s="9" t="str">
        <x:v>Actual</x:v>
      </x:c>
      <x:c r="R10" s="9" t="str">
        <x:v>2023-05</x:v>
      </x:c>
      <x:c r="S10" s="9" t="str">
        <x:v>May 2023</x:v>
      </x:c>
      <x:c r="T10" s="9" t="n">
        <x:v>2023</x:v>
      </x:c>
      <x:c r="U10" s="9" t="str">
        <x:v>Q2</x:v>
      </x:c>
      <x:c r="V10" s="108"/>
      <x:c r="W10" s="108"/>
    </x:row>
    <x:row r="11" ht="17" customHeight="1">
      <x:c r="A11" s="9" t="str">
        <x:v>2023-06-01</x:v>
      </x:c>
      <x:c r="B11" s="107" t="n">
        <x:v>52.38032722</x:v>
      </x:c>
      <x:c r="C11" s="107" t="n">
        <x:v>0.16979167</x:v>
      </x:c>
      <x:c r="D11" s="107" t="n">
        <x:v>0.42</x:v>
      </x:c>
      <x:c r="E11" s="107" t="n">
        <x:v>42.23834203</x:v>
      </x:c>
      <x:c r="F11" s="107" t="n">
        <x:v>104.98914327</x:v>
      </x:c>
      <x:c r="G11" s="107" t="n">
        <x:v>2.44517059</x:v>
      </x:c>
      <x:c r="H11" s="107" t="n">
        <x:v>52.608816049999994</x:v>
      </x:c>
      <x:c r="I11" s="107" t="n">
        <x:v>10.370474019999996</x:v>
      </x:c>
      <x:c r="J11" s="107" t="n">
        <x:v>10.200682349999996</x:v>
      </x:c>
      <x:c r="K11" s="107" t="n">
        <x:v>9.780682349999996</x:v>
      </x:c>
      <x:c r="L11" s="107" t="n">
        <x:v>7.335511759999996</x:v>
      </x:c>
      <x:c r="M11" s="108" t="n">
        <x:v>0.5010881545600024</x:v>
      </x:c>
      <x:c r="N11" s="108" t="n">
        <x:v>0.09877663248789739</x:v>
      </x:c>
      <x:c r="O11" s="108" t="n">
        <x:v>0.06986924106176676</x:v>
      </x:c>
      <x:c r="P11" s="9" t="str">
        <x:v>Actual</x:v>
      </x:c>
      <x:c r="Q11" s="9" t="str">
        <x:v>Actual</x:v>
      </x:c>
      <x:c r="R11" s="9" t="str">
        <x:v>2023-06</x:v>
      </x:c>
      <x:c r="S11" s="9" t="str">
        <x:v>Jun 2023</x:v>
      </x:c>
      <x:c r="T11" s="9" t="n">
        <x:v>2023</x:v>
      </x:c>
      <x:c r="U11" s="9" t="str">
        <x:v>Q2</x:v>
      </x:c>
      <x:c r="V11" s="108"/>
      <x:c r="W11" s="108"/>
    </x:row>
    <x:row r="12" ht="17" customHeight="1">
      <x:c r="A12" s="9" t="str">
        <x:v>2023-07-01</x:v>
      </x:c>
      <x:c r="B12" s="107" t="n">
        <x:v>51.27789222</x:v>
      </x:c>
      <x:c r="C12" s="107" t="n">
        <x:v>0.16979167</x:v>
      </x:c>
      <x:c r="D12" s="107" t="n">
        <x:v>0.42</x:v>
      </x:c>
      <x:c r="E12" s="107" t="n">
        <x:v>42.83329027</x:v>
      </x:c>
      <x:c r="F12" s="107" t="n">
        <x:v>103.59463214</x:v>
      </x:c>
      <x:c r="G12" s="107" t="n">
        <x:v>2.2234145</x:v>
      </x:c>
      <x:c r="H12" s="107" t="n">
        <x:v>52.31673992</x:v>
      </x:c>
      <x:c r="I12" s="107" t="n">
        <x:v>9.483449650000006</x:v>
      </x:c>
      <x:c r="J12" s="107" t="n">
        <x:v>9.313657980000006</x:v>
      </x:c>
      <x:c r="K12" s="107" t="n">
        <x:v>8.893657980000006</x:v>
      </x:c>
      <x:c r="L12" s="107" t="n">
        <x:v>6.670243480000006</x:v>
      </x:c>
      <x:c r="M12" s="108" t="n">
        <x:v>0.5050140035180398</x:v>
      </x:c>
      <x:c r="N12" s="108" t="n">
        <x:v>0.09154383247564285</x:v>
      </x:c>
      <x:c r="O12" s="108" t="n">
        <x:v>0.06438792572751932</x:v>
      </x:c>
      <x:c r="P12" s="9" t="str">
        <x:v>Actual</x:v>
      </x:c>
      <x:c r="Q12" s="9" t="str">
        <x:v>Actual</x:v>
      </x:c>
      <x:c r="R12" s="9" t="str">
        <x:v>2023-07</x:v>
      </x:c>
      <x:c r="S12" s="9" t="str">
        <x:v>Jul 2023</x:v>
      </x:c>
      <x:c r="T12" s="9" t="n">
        <x:v>2023</x:v>
      </x:c>
      <x:c r="U12" s="9" t="str">
        <x:v>Q3</x:v>
      </x:c>
      <x:c r="V12" s="108"/>
      <x:c r="W12" s="108"/>
    </x:row>
    <x:row r="13" ht="17" customHeight="1">
      <x:c r="A13" s="9" t="str">
        <x:v>2023-08-01</x:v>
      </x:c>
      <x:c r="B13" s="107" t="n">
        <x:v>49.15460386</x:v>
      </x:c>
      <x:c r="C13" s="107" t="n">
        <x:v>0.16979167</x:v>
      </x:c>
      <x:c r="D13" s="107" t="n">
        <x:v>0.42</x:v>
      </x:c>
      <x:c r="E13" s="107" t="n">
        <x:v>43.10343003</x:v>
      </x:c>
      <x:c r="F13" s="107" t="n">
        <x:v>98.72551737</x:v>
      </x:c>
      <x:c r="G13" s="107" t="n">
        <x:v>1.46942295</x:v>
      </x:c>
      <x:c r="H13" s="107" t="n">
        <x:v>49.570913510000004</x:v>
      </x:c>
      <x:c r="I13" s="107" t="n">
        <x:v>6.467483480000004</x:v>
      </x:c>
      <x:c r="J13" s="107" t="n">
        <x:v>6.297691810000004</x:v>
      </x:c>
      <x:c r="K13" s="107" t="n">
        <x:v>5.877691810000004</x:v>
      </x:c>
      <x:c r="L13" s="107" t="n">
        <x:v>4.408268860000004</x:v>
      </x:c>
      <x:c r="M13" s="108" t="n">
        <x:v>0.5021084196927517</x:v>
      </x:c>
      <x:c r="N13" s="108" t="n">
        <x:v>0.06550974512254414</x:v>
      </x:c>
      <x:c r="O13" s="108" t="n">
        <x:v>0.04465176762233466</x:v>
      </x:c>
      <x:c r="P13" s="9" t="str">
        <x:v>Actual</x:v>
      </x:c>
      <x:c r="Q13" s="9" t="str">
        <x:v>Actual</x:v>
      </x:c>
      <x:c r="R13" s="9" t="str">
        <x:v>2023-08</x:v>
      </x:c>
      <x:c r="S13" s="9" t="str">
        <x:v>Aug 2023</x:v>
      </x:c>
      <x:c r="T13" s="9" t="n">
        <x:v>2023</x:v>
      </x:c>
      <x:c r="U13" s="9" t="str">
        <x:v>Q3</x:v>
      </x:c>
      <x:c r="V13" s="108"/>
      <x:c r="W13" s="108"/>
    </x:row>
    <x:row r="14" ht="17" customHeight="1">
      <x:c r="A14" s="9" t="str">
        <x:v>2023-09-01</x:v>
      </x:c>
      <x:c r="B14" s="107" t="n">
        <x:v>56.010843210000004</x:v>
      </x:c>
      <x:c r="C14" s="107" t="n">
        <x:v>0.16979167</x:v>
      </x:c>
      <x:c r="D14" s="107" t="n">
        <x:v>0.42</x:v>
      </x:c>
      <x:c r="E14" s="107" t="n">
        <x:v>43.486200880000005</x:v>
      </x:c>
      <x:c r="F14" s="107" t="n">
        <x:v>111.23976513</x:v>
      </x:c>
      <x:c r="G14" s="107" t="n">
        <x:v>2.78823234</x:v>
      </x:c>
      <x:c r="H14" s="107" t="n">
        <x:v>55.22892192</x:v>
      </x:c>
      <x:c r="I14" s="107" t="n">
        <x:v>11.742721039999992</x:v>
      </x:c>
      <x:c r="J14" s="107" t="n">
        <x:v>11.572929369999992</x:v>
      </x:c>
      <x:c r="K14" s="107" t="n">
        <x:v>11.152929369999992</x:v>
      </x:c>
      <x:c r="L14" s="107" t="n">
        <x:v>8.364697029999991</x:v>
      </x:c>
      <x:c r="M14" s="108" t="n">
        <x:v>0.49648542367432086</x:v>
      </x:c>
      <x:c r="N14" s="108" t="n">
        <x:v>0.10556226027874922</x:v>
      </x:c>
      <x:c r="O14" s="108" t="n">
        <x:v>0.0751952057811756</x:v>
      </x:c>
      <x:c r="P14" s="9" t="str">
        <x:v>Actual</x:v>
      </x:c>
      <x:c r="Q14" s="9" t="str">
        <x:v>Actual</x:v>
      </x:c>
      <x:c r="R14" s="9" t="str">
        <x:v>2023-09</x:v>
      </x:c>
      <x:c r="S14" s="9" t="str">
        <x:v>Sep 2023</x:v>
      </x:c>
      <x:c r="T14" s="9" t="n">
        <x:v>2023</x:v>
      </x:c>
      <x:c r="U14" s="9" t="str">
        <x:v>Q3</x:v>
      </x:c>
      <x:c r="V14" s="108"/>
      <x:c r="W14" s="108"/>
    </x:row>
    <x:row r="15" ht="17" customHeight="1">
      <x:c r="A15" s="9" t="str">
        <x:v>2023-10-01</x:v>
      </x:c>
      <x:c r="B15" s="107" t="n">
        <x:v>57.703989299999996</x:v>
      </x:c>
      <x:c r="C15" s="107" t="n">
        <x:v>0.27729167000000005</x:v>
      </x:c>
      <x:c r="D15" s="107" t="n">
        <x:v>0.42</x:v>
      </x:c>
      <x:c r="E15" s="107" t="n">
        <x:v>44.04311753</x:v>
      </x:c>
      <x:c r="F15" s="107" t="n">
        <x:v>115.22443543000001</x:v>
      </x:c>
      <x:c r="G15" s="107" t="n">
        <x:v>3.19500923</x:v>
      </x:c>
      <x:c r="H15" s="107" t="n">
        <x:v>57.52044613000001</x:v>
      </x:c>
      <x:c r="I15" s="107" t="n">
        <x:v>13.477328600000009</x:v>
      </x:c>
      <x:c r="J15" s="107" t="n">
        <x:v>13.200036930000008</x:v>
      </x:c>
      <x:c r="K15" s="107" t="n">
        <x:v>12.780036930000009</x:v>
      </x:c>
      <x:c r="L15" s="107" t="n">
        <x:v>9.585027700000008</x:v>
      </x:c>
      <x:c r="M15" s="108" t="n">
        <x:v>0.49920354059746513</x:v>
      </x:c>
      <x:c r="N15" s="108" t="n">
        <x:v>0.1169658896544355</x:v>
      </x:c>
      <x:c r="O15" s="108" t="n">
        <x:v>0.08318572066966654</x:v>
      </x:c>
      <x:c r="P15" s="9" t="str">
        <x:v>Actual</x:v>
      </x:c>
      <x:c r="Q15" s="9" t="str">
        <x:v>Actual</x:v>
      </x:c>
      <x:c r="R15" s="9" t="str">
        <x:v>2023-10</x:v>
      </x:c>
      <x:c r="S15" s="9" t="str">
        <x:v>Oct 2023</x:v>
      </x:c>
      <x:c r="T15" s="9" t="n">
        <x:v>2023</x:v>
      </x:c>
      <x:c r="U15" s="9" t="str">
        <x:v>Q4</x:v>
      </x:c>
      <x:c r="V15" s="108"/>
      <x:c r="W15" s="108"/>
    </x:row>
    <x:row r="16" ht="17" customHeight="1">
      <x:c r="A16" s="9" t="str">
        <x:v>2023-11-01</x:v>
      </x:c>
      <x:c r="B16" s="107" t="n">
        <x:v>60.58290488</x:v>
      </x:c>
      <x:c r="C16" s="107" t="n">
        <x:v>0.27729167000000005</x:v>
      </x:c>
      <x:c r="D16" s="107" t="n">
        <x:v>0.42</x:v>
      </x:c>
      <x:c r="E16" s="107" t="n">
        <x:v>44.797861659999995</x:v>
      </x:c>
      <x:c r="F16" s="107" t="n">
        <x:v>122.03586786</x:v>
      </x:c>
      <x:c r="G16" s="107" t="n">
        <x:v>3.98945241</x:v>
      </x:c>
      <x:c r="H16" s="107" t="n">
        <x:v>61.452962979999995</x:v>
      </x:c>
      <x:c r="I16" s="107" t="n">
        <x:v>16.65510132</x:v>
      </x:c>
      <x:c r="J16" s="107" t="n">
        <x:v>16.37780965</x:v>
      </x:c>
      <x:c r="K16" s="107" t="n">
        <x:v>15.95780965</x:v>
      </x:c>
      <x:c r="L16" s="107" t="n">
        <x:v>11.96835724</x:v>
      </x:c>
      <x:c r="M16" s="108" t="n">
        <x:v>0.503564763848765</x:v>
      </x:c>
      <x:c r="N16" s="108" t="n">
        <x:v>0.13647709982369113</x:v>
      </x:c>
      <x:c r="O16" s="108" t="n">
        <x:v>0.09807245566303625</x:v>
      </x:c>
      <x:c r="P16" s="9" t="str">
        <x:v>Actual</x:v>
      </x:c>
      <x:c r="Q16" s="9" t="str">
        <x:v>Actual</x:v>
      </x:c>
      <x:c r="R16" s="9" t="str">
        <x:v>2023-11</x:v>
      </x:c>
      <x:c r="S16" s="9" t="str">
        <x:v>Nov 2023</x:v>
      </x:c>
      <x:c r="T16" s="9" t="n">
        <x:v>2023</x:v>
      </x:c>
      <x:c r="U16" s="9" t="str">
        <x:v>Q4</x:v>
      </x:c>
      <x:c r="V16" s="108"/>
      <x:c r="W16" s="108"/>
    </x:row>
    <x:row r="17" ht="17" customHeight="1">
      <x:c r="A17" s="9" t="str">
        <x:v>2023-12-01</x:v>
      </x:c>
      <x:c r="B17" s="107" t="n">
        <x:v>64.41795389</x:v>
      </x:c>
      <x:c r="C17" s="107" t="n">
        <x:v>0.27729167000000005</x:v>
      </x:c>
      <x:c r="D17" s="107" t="n">
        <x:v>0.42</x:v>
      </x:c>
      <x:c r="E17" s="107" t="n">
        <x:v>45.76296112</x:v>
      </x:c>
      <x:c r="F17" s="107" t="n">
        <x:v>130.81080063</x:v>
      </x:c>
      <x:c r="G17" s="107" t="n">
        <x:v>4.9831484900000005</x:v>
      </x:c>
      <x:c r="H17" s="107" t="n">
        <x:v>66.39284674</x:v>
      </x:c>
      <x:c r="I17" s="107" t="n">
        <x:v>20.629885619999996</x:v>
      </x:c>
      <x:c r="J17" s="107" t="n">
        <x:v>20.352593949999996</x:v>
      </x:c>
      <x:c r="K17" s="107" t="n">
        <x:v>19.932593949999994</x:v>
      </x:c>
      <x:c r="L17" s="107" t="n">
        <x:v>14.949445459999996</x:v>
      </x:c>
      <x:c r="M17" s="108" t="n">
        <x:v>0.5075486612744845</x:v>
      </x:c>
      <x:c r="N17" s="108" t="n">
        <x:v>0.1577078155675531</x:v>
      </x:c>
      <x:c r="O17" s="108" t="n">
        <x:v>0.11428295972505123</x:v>
      </x:c>
      <x:c r="P17" s="9" t="str">
        <x:v>Actual</x:v>
      </x:c>
      <x:c r="Q17" s="9" t="str">
        <x:v>Actual</x:v>
      </x:c>
      <x:c r="R17" s="9" t="str">
        <x:v>2023-12</x:v>
      </x:c>
      <x:c r="S17" s="9" t="str">
        <x:v>Dec 2023</x:v>
      </x:c>
      <x:c r="T17" s="9" t="n">
        <x:v>2023</x:v>
      </x:c>
      <x:c r="U17" s="9" t="str">
        <x:v>Q4</x:v>
      </x:c>
      <x:c r="V17" s="108"/>
      <x:c r="W17" s="108"/>
    </x:row>
    <x:row r="18" ht="17" customHeight="1">
      <x:c r="A18" s="9" t="str">
        <x:v>2024-01-01</x:v>
      </x:c>
      <x:c r="B18" s="107" t="n">
        <x:v>47.55001407</x:v>
      </x:c>
      <x:c r="C18" s="107" t="n">
        <x:v>0.27729167000000005</x:v>
      </x:c>
      <x:c r="D18" s="107" t="n">
        <x:v>0.4452</x:v>
      </x:c>
      <x:c r="E18" s="107" t="n">
        <x:v>44.88028662</x:v>
      </x:c>
      <x:c r="F18" s="107" t="n">
        <x:v>95.02004729000001</x:v>
      </x:c>
      <x:c r="G18" s="107" t="n">
        <x:v>0.46681373</x:v>
      </x:c>
      <x:c r="H18" s="107" t="n">
        <x:v>47.470033220000005</x:v>
      </x:c>
      <x:c r="I18" s="107" t="n">
        <x:v>2.589746600000009</x:v>
      </x:c>
      <x:c r="J18" s="107" t="n">
        <x:v>2.3124549300000092</x:v>
      </x:c>
      <x:c r="K18" s="107" t="n">
        <x:v>1.867254930000009</x:v>
      </x:c>
      <x:c r="L18" s="107" t="n">
        <x:v>1.400441200000009</x:v>
      </x:c>
      <x:c r="M18" s="108" t="n">
        <x:v>0.49957913697013906</x:v>
      </x:c>
      <x:c r="N18" s="108" t="n">
        <x:v>0.027254739119379034</x:v>
      </x:c>
      <x:c r="O18" s="108" t="n">
        <x:v>0.014738376163146707</x:v>
      </x:c>
      <x:c r="P18" s="9" t="str">
        <x:v>Actual</x:v>
      </x:c>
      <x:c r="Q18" s="9" t="str">
        <x:v>Actual</x:v>
      </x:c>
      <x:c r="R18" s="9" t="str">
        <x:v>2024-01</x:v>
      </x:c>
      <x:c r="S18" s="9" t="str">
        <x:v>Jan 2024</x:v>
      </x:c>
      <x:c r="T18" s="9" t="n">
        <x:v>2024</x:v>
      </x:c>
      <x:c r="U18" s="9" t="str">
        <x:v>Q1</x:v>
      </x:c>
      <x:c r="V18" s="108" t="n">
        <x:v>0.14529935928534887</x:v>
      </x:c>
      <x:c r="W18" s="108"/>
    </x:row>
    <x:row r="19" ht="17" customHeight="1">
      <x:c r="A19" s="9" t="str">
        <x:v>2024-02-01</x:v>
      </x:c>
      <x:c r="B19" s="107" t="n">
        <x:v>49.73001601</x:v>
      </x:c>
      <x:c r="C19" s="107" t="n">
        <x:v>0.27729167000000005</x:v>
      </x:c>
      <x:c r="D19" s="107" t="n">
        <x:v>0.4452</x:v>
      </x:c>
      <x:c r="E19" s="107" t="n">
        <x:v>45.37913804</x:v>
      </x:c>
      <x:c r="F19" s="107" t="n">
        <x:v>99.20457384999999</x:v>
      </x:c>
      <x:c r="G19" s="107" t="n">
        <x:v>0.84323203</x:v>
      </x:c>
      <x:c r="H19" s="107" t="n">
        <x:v>49.474557839999996</x:v>
      </x:c>
      <x:c r="I19" s="107" t="n">
        <x:v>4.095419799999997</x:v>
      </x:c>
      <x:c r="J19" s="107" t="n">
        <x:v>3.818128129999997</x:v>
      </x:c>
      <x:c r="K19" s="107" t="n">
        <x:v>3.372928129999997</x:v>
      </x:c>
      <x:c r="L19" s="107" t="n">
        <x:v>2.5296960999999967</x:v>
      </x:c>
      <x:c r="M19" s="108" t="n">
        <x:v>0.49871246778204875</x:v>
      </x:c>
      <x:c r="N19" s="108" t="n">
        <x:v>0.041282570360035846</x:v>
      </x:c>
      <x:c r="O19" s="108" t="n">
        <x:v>0.025499793021891974</x:v>
      </x:c>
      <x:c r="P19" s="9" t="str">
        <x:v>Actual</x:v>
      </x:c>
      <x:c r="Q19" s="9" t="str">
        <x:v>Actual</x:v>
      </x:c>
      <x:c r="R19" s="9" t="str">
        <x:v>2024-02</x:v>
      </x:c>
      <x:c r="S19" s="9" t="str">
        <x:v>Feb 2024</x:v>
      </x:c>
      <x:c r="T19" s="9" t="n">
        <x:v>2024</x:v>
      </x:c>
      <x:c r="U19" s="9" t="str">
        <x:v>Q1</x:v>
      </x:c>
      <x:c r="V19" s="108" t="n">
        <x:v>0.1368180197656399</x:v>
      </x:c>
      <x:c r="W19" s="108"/>
    </x:row>
    <x:row r="20" ht="17" customHeight="1">
      <x:c r="A20" s="9" t="str">
        <x:v>2024-03-01</x:v>
      </x:c>
      <x:c r="B20" s="107" t="n">
        <x:v>55.128782269999995</x:v>
      </x:c>
      <x:c r="C20" s="107" t="n">
        <x:v>0.27729167000000005</x:v>
      </x:c>
      <x:c r="D20" s="107" t="n">
        <x:v>0.4452</x:v>
      </x:c>
      <x:c r="E20" s="107" t="n">
        <x:v>45.94993751</x:v>
      </x:c>
      <x:c r="F20" s="107" t="n">
        <x:v>109.55250136</x:v>
      </x:c>
      <x:c r="G20" s="107" t="n">
        <x:v>1.93782248</x:v>
      </x:c>
      <x:c r="H20" s="107" t="n">
        <x:v>54.423719090000006</x:v>
      </x:c>
      <x:c r="I20" s="107" t="n">
        <x:v>8.473781580000006</x:v>
      </x:c>
      <x:c r="J20" s="107" t="n">
        <x:v>8.196489910000006</x:v>
      </x:c>
      <x:c r="K20" s="107" t="n">
        <x:v>7.751289910000006</x:v>
      </x:c>
      <x:c r="L20" s="107" t="n">
        <x:v>5.8134674300000055</x:v>
      </x:c>
      <x:c r="M20" s="108" t="n">
        <x:v>0.49678207630475235</x:v>
      </x:c>
      <x:c r="N20" s="108" t="n">
        <x:v>0.0773490470304676</x:v>
      </x:c>
      <x:c r="O20" s="108" t="n">
        <x:v>0.05306558369576971</x:v>
      </x:c>
      <x:c r="P20" s="9" t="str">
        <x:v>Actual</x:v>
      </x:c>
      <x:c r="Q20" s="9" t="str">
        <x:v>Actual</x:v>
      </x:c>
      <x:c r="R20" s="9" t="str">
        <x:v>2024-03</x:v>
      </x:c>
      <x:c r="S20" s="9" t="str">
        <x:v>Mar 2024</x:v>
      </x:c>
      <x:c r="T20" s="9" t="n">
        <x:v>2024</x:v>
      </x:c>
      <x:c r="U20" s="9" t="str">
        <x:v>Q1</x:v>
      </x:c>
      <x:c r="V20" s="108" t="n">
        <x:v>0.14676076488782241</x:v>
      </x:c>
      <x:c r="W20" s="108"/>
    </x:row>
    <x:row r="21" ht="17" customHeight="1">
      <x:c r="A21" s="9" t="str">
        <x:v>2024-04-01</x:v>
      </x:c>
      <x:c r="B21" s="107" t="n">
        <x:v>57.79283801</x:v>
      </x:c>
      <x:c r="C21" s="107" t="n">
        <x:v>0.27729167000000005</x:v>
      </x:c>
      <x:c r="D21" s="107" t="n">
        <x:v>0.4452</x:v>
      </x:c>
      <x:c r="E21" s="107" t="n">
        <x:v>48.054224979999994</x:v>
      </x:c>
      <x:c r="F21" s="107" t="n">
        <x:v>114.9426335</x:v>
      </x:c>
      <x:c r="G21" s="107" t="n">
        <x:v>2.09326971</x:v>
      </x:c>
      <x:c r="H21" s="107" t="n">
        <x:v>57.14979549</x:v>
      </x:c>
      <x:c r="I21" s="107" t="n">
        <x:v>9.095570510000005</x:v>
      </x:c>
      <x:c r="J21" s="107" t="n">
        <x:v>8.818278840000005</x:v>
      </x:c>
      <x:c r="K21" s="107" t="n">
        <x:v>8.373078840000005</x:v>
      </x:c>
      <x:c r="L21" s="107" t="n">
        <x:v>6.279809130000006</x:v>
      </x:c>
      <x:c r="M21" s="108" t="n">
        <x:v>0.4972027675875375</x:v>
      </x:c>
      <x:c r="N21" s="108" t="n">
        <x:v>0.07913139131269344</x:v>
      </x:c>
      <x:c r="O21" s="108" t="n">
        <x:v>0.05463428963457676</x:v>
      </x:c>
      <x:c r="P21" s="9" t="str">
        <x:v>Actual</x:v>
      </x:c>
      <x:c r="Q21" s="9" t="str">
        <x:v>Actual</x:v>
      </x:c>
      <x:c r="R21" s="9" t="str">
        <x:v>2024-04</x:v>
      </x:c>
      <x:c r="S21" s="9" t="str">
        <x:v>Apr 2024</x:v>
      </x:c>
      <x:c r="T21" s="9" t="n">
        <x:v>2024</x:v>
      </x:c>
      <x:c r="U21" s="9" t="str">
        <x:v>Q2</x:v>
      </x:c>
      <x:c r="V21" s="108" t="n">
        <x:v>0.14946652575223296</x:v>
      </x:c>
      <x:c r="W21" s="108"/>
    </x:row>
    <x:row r="22" ht="17" customHeight="1">
      <x:c r="A22" s="9" t="str">
        <x:v>2024-05-01</x:v>
      </x:c>
      <x:c r="B22" s="107" t="n">
        <x:v>57.80675392</x:v>
      </x:c>
      <x:c r="C22" s="107" t="n">
        <x:v>0.27729167000000005</x:v>
      </x:c>
      <x:c r="D22" s="107" t="n">
        <x:v>0.4452</x:v>
      </x:c>
      <x:c r="E22" s="107" t="n">
        <x:v>48.339248659999996</x:v>
      </x:c>
      <x:c r="F22" s="107" t="n">
        <x:v>115.82280596000001</x:v>
      </x:c>
      <x:c r="G22" s="107" t="n">
        <x:v>2.2385779300000004</x:v>
      </x:c>
      <x:c r="H22" s="107" t="n">
        <x:v>58.016052040000005</x:v>
      </x:c>
      <x:c r="I22" s="107" t="n">
        <x:v>9.67680338000001</x:v>
      </x:c>
      <x:c r="J22" s="107" t="n">
        <x:v>9.39951171000001</x:v>
      </x:c>
      <x:c r="K22" s="107" t="n">
        <x:v>8.95431171000001</x:v>
      </x:c>
      <x:c r="L22" s="107" t="n">
        <x:v>6.7157337800000105</x:v>
      </x:c>
      <x:c r="M22" s="108" t="n">
        <x:v>0.5009035272382897</x:v>
      </x:c>
      <x:c r="N22" s="108" t="n">
        <x:v>0.08354834179498244</x:v>
      </x:c>
      <x:c r="O22" s="108" t="n">
        <x:v>0.05798282751256539</x:v>
      </x:c>
      <x:c r="P22" s="9" t="str">
        <x:v>Actual</x:v>
      </x:c>
      <x:c r="Q22" s="9" t="str">
        <x:v>Actual</x:v>
      </x:c>
      <x:c r="R22" s="9" t="str">
        <x:v>2024-05</x:v>
      </x:c>
      <x:c r="S22" s="9" t="str">
        <x:v>May 2024</x:v>
      </x:c>
      <x:c r="T22" s="9" t="n">
        <x:v>2024</x:v>
      </x:c>
      <x:c r="U22" s="9" t="str">
        <x:v>Q2</x:v>
      </x:c>
      <x:c r="V22" s="108" t="n">
        <x:v>0.12568411160310689</x:v>
      </x:c>
      <x:c r="W22" s="108"/>
    </x:row>
    <x:row r="23" ht="17" customHeight="1">
      <x:c r="A23" s="9" t="str">
        <x:v>2024-06-01</x:v>
      </x:c>
      <x:c r="B23" s="107" t="n">
        <x:v>59.863011920000005</x:v>
      </x:c>
      <x:c r="C23" s="107" t="n">
        <x:v>0.27729167000000005</x:v>
      </x:c>
      <x:c r="D23" s="107" t="n">
        <x:v>0.4452</x:v>
      </x:c>
      <x:c r="E23" s="107" t="n">
        <x:v>49.080337869999994</x:v>
      </x:c>
      <x:c r="F23" s="107" t="n">
        <x:v>120.32198972999998</x:v>
      </x:c>
      <x:c r="G23" s="107" t="n">
        <x:v>2.66403707</x:v>
      </x:c>
      <x:c r="H23" s="107" t="n">
        <x:v>60.458977809999986</x:v>
      </x:c>
      <x:c r="I23" s="107" t="n">
        <x:v>11.37863993999999</x:v>
      </x:c>
      <x:c r="J23" s="107" t="n">
        <x:v>11.10134826999999</x:v>
      </x:c>
      <x:c r="K23" s="107" t="n">
        <x:v>10.65614826999999</x:v>
      </x:c>
      <x:c r="L23" s="107" t="n">
        <x:v>7.99211119999999</x:v>
      </x:c>
      <x:c r="M23" s="108" t="n">
        <x:v>0.5024765460217925</x:v>
      </x:c>
      <x:c r="N23" s="108" t="n">
        <x:v>0.09456824945742186</x:v>
      </x:c>
      <x:c r="O23" s="108" t="n">
        <x:v>0.06642269811141022</x:v>
      </x:c>
      <x:c r="P23" s="9" t="str">
        <x:v>Actual</x:v>
      </x:c>
      <x:c r="Q23" s="9" t="str">
        <x:v>Actual</x:v>
      </x:c>
      <x:c r="R23" s="9" t="str">
        <x:v>2024-06</x:v>
      </x:c>
      <x:c r="S23" s="9" t="str">
        <x:v>Jun 2024</x:v>
      </x:c>
      <x:c r="T23" s="9" t="n">
        <x:v>2024</x:v>
      </x:c>
      <x:c r="U23" s="9" t="str">
        <x:v>Q2</x:v>
      </x:c>
      <x:c r="V23" s="108" t="n">
        <x:v>0.14604220953178548</x:v>
      </x:c>
      <x:c r="W23" s="108"/>
    </x:row>
    <x:row r="24" ht="17" customHeight="1">
      <x:c r="A24" s="9" t="str">
        <x:v>2024-07-01</x:v>
      </x:c>
      <x:c r="B24" s="107" t="n">
        <x:v>56.12513953</x:v>
      </x:c>
      <x:c r="C24" s="107" t="n">
        <x:v>0.53354167</x:v>
      </x:c>
      <x:c r="D24" s="107" t="n">
        <x:v>0.4452</x:v>
      </x:c>
      <x:c r="E24" s="107" t="n">
        <x:v>48.94862603</x:v>
      </x:c>
      <x:c r="F24" s="107" t="n">
        <x:v>113.09318436</x:v>
      </x:c>
      <x:c r="G24" s="107" t="n">
        <x:v>1.76016928</x:v>
      </x:c>
      <x:c r="H24" s="107" t="n">
        <x:v>56.96804483</x:v>
      </x:c>
      <x:c r="I24" s="107" t="n">
        <x:v>8.019418799999997</x:v>
      </x:c>
      <x:c r="J24" s="107" t="n">
        <x:v>7.485877129999997</x:v>
      </x:c>
      <x:c r="K24" s="107" t="n">
        <x:v>7.040677129999997</x:v>
      </x:c>
      <x:c r="L24" s="107" t="n">
        <x:v>5.280507849999997</x:v>
      </x:c>
      <x:c r="M24" s="108" t="n">
        <x:v>0.5037265963672791</x:v>
      </x:c>
      <x:c r="N24" s="108" t="n">
        <x:v>0.07090983285493542</x:v>
      </x:c>
      <x:c r="O24" s="108" t="n">
        <x:v>0.046691654142401735</x:v>
      </x:c>
      <x:c r="P24" s="9" t="str">
        <x:v>Actual</x:v>
      </x:c>
      <x:c r="Q24" s="9" t="str">
        <x:v>Actual</x:v>
      </x:c>
      <x:c r="R24" s="9" t="str">
        <x:v>2024-07</x:v>
      </x:c>
      <x:c r="S24" s="9" t="str">
        <x:v>Jul 2024</x:v>
      </x:c>
      <x:c r="T24" s="9" t="n">
        <x:v>2024</x:v>
      </x:c>
      <x:c r="U24" s="9" t="str">
        <x:v>Q3</x:v>
      </x:c>
      <x:c r="V24" s="108" t="n">
        <x:v>0.09168961773196371</x:v>
      </x:c>
      <x:c r="W24" s="108"/>
    </x:row>
    <x:row r="25" ht="17" customHeight="1">
      <x:c r="A25" s="9" t="str">
        <x:v>2024-08-01</x:v>
      </x:c>
      <x:c r="B25" s="107" t="n">
        <x:v>53.70098766</x:v>
      </x:c>
      <x:c r="C25" s="107" t="n">
        <x:v>0.53354167</x:v>
      </x:c>
      <x:c r="D25" s="107" t="n">
        <x:v>0.4452</x:v>
      </x:c>
      <x:c r="E25" s="107" t="n">
        <x:v>49.52370597</x:v>
      </x:c>
      <x:c r="F25" s="107" t="n">
        <x:v>108.28393295999999</x:v>
      </x:c>
      <x:c r="G25" s="107" t="n">
        <x:v>1.0201244200000001</x:v>
      </x:c>
      <x:c r="H25" s="107" t="n">
        <x:v>54.58294529999999</x:v>
      </x:c>
      <x:c r="I25" s="107" t="n">
        <x:v>5.059239329999991</x:v>
      </x:c>
      <x:c r="J25" s="107" t="n">
        <x:v>4.525697659999991</x:v>
      </x:c>
      <x:c r="K25" s="107" t="n">
        <x:v>4.080497659999991</x:v>
      </x:c>
      <x:c r="L25" s="107" t="n">
        <x:v>3.060373239999991</x:v>
      </x:c>
      <x:c r="M25" s="108" t="n">
        <x:v>0.5040724307655402</x:v>
      </x:c>
      <x:c r="N25" s="108" t="n">
        <x:v>0.04672197612058356</x:v>
      </x:c>
      <x:c r="O25" s="108" t="n">
        <x:v>0.028262486929898367</x:v>
      </x:c>
      <x:c r="P25" s="9" t="str">
        <x:v>Actual</x:v>
      </x:c>
      <x:c r="Q25" s="9" t="str">
        <x:v>Actual</x:v>
      </x:c>
      <x:c r="R25" s="9" t="str">
        <x:v>2024-08</x:v>
      </x:c>
      <x:c r="S25" s="9" t="str">
        <x:v>Aug 2024</x:v>
      </x:c>
      <x:c r="T25" s="9" t="n">
        <x:v>2024</x:v>
      </x:c>
      <x:c r="U25" s="9" t="str">
        <x:v>Q3</x:v>
      </x:c>
      <x:c r="V25" s="108" t="n">
        <x:v>0.0968180855834595</x:v>
      </x:c>
      <x:c r="W25" s="108"/>
    </x:row>
    <x:row r="26" ht="17" customHeight="1">
      <x:c r="A26" s="9" t="str">
        <x:v>2024-09-01</x:v>
      </x:c>
      <x:c r="B26" s="107" t="n">
        <x:v>63.17205482</x:v>
      </x:c>
      <x:c r="C26" s="107" t="n">
        <x:v>0.53354167</x:v>
      </x:c>
      <x:c r="D26" s="107" t="n">
        <x:v>0.4452</x:v>
      </x:c>
      <x:c r="E26" s="107" t="n">
        <x:v>50.05721124</x:v>
      </x:c>
      <x:c r="F26" s="107" t="n">
        <x:v>125.66645373</x:v>
      </x:c>
      <x:c r="G26" s="107" t="n">
        <x:v>2.8646115</x:v>
      </x:c>
      <x:c r="H26" s="107" t="n">
        <x:v>62.49439891</x:v>
      </x:c>
      <x:c r="I26" s="107" t="n">
        <x:v>12.437187670000002</x:v>
      </x:c>
      <x:c r="J26" s="107" t="n">
        <x:v>11.903646000000002</x:v>
      </x:c>
      <x:c r="K26" s="107" t="n">
        <x:v>11.458446000000002</x:v>
      </x:c>
      <x:c r="L26" s="107" t="n">
        <x:v>8.593834500000002</x:v>
      </x:c>
      <x:c r="M26" s="108" t="n">
        <x:v>0.49730375175758534</x:v>
      </x:c>
      <x:c r="N26" s="108" t="n">
        <x:v>0.0989698308565455</x:v>
      </x:c>
      <x:c r="O26" s="108" t="n">
        <x:v>0.06838606680557915</x:v>
      </x:c>
      <x:c r="P26" s="9" t="str">
        <x:v>Actual</x:v>
      </x:c>
      <x:c r="Q26" s="9" t="str">
        <x:v>Actual</x:v>
      </x:c>
      <x:c r="R26" s="9" t="str">
        <x:v>2024-09</x:v>
      </x:c>
      <x:c r="S26" s="9" t="str">
        <x:v>Sep 2024</x:v>
      </x:c>
      <x:c r="T26" s="9" t="n">
        <x:v>2024</x:v>
      </x:c>
      <x:c r="U26" s="9" t="str">
        <x:v>Q3</x:v>
      </x:c>
      <x:c r="V26" s="108" t="n">
        <x:v>0.12969003110659494</x:v>
      </x:c>
      <x:c r="W26" s="108"/>
    </x:row>
    <x:row r="27" ht="17" customHeight="1">
      <x:c r="A27" s="9" t="str">
        <x:v>2024-10-01</x:v>
      </x:c>
      <x:c r="B27" s="107" t="n">
        <x:v>64.7656495</x:v>
      </x:c>
      <x:c r="C27" s="107" t="n">
        <x:v>0.53354167</x:v>
      </x:c>
      <x:c r="D27" s="107" t="n">
        <x:v>0.4452</x:v>
      </x:c>
      <x:c r="E27" s="107" t="n">
        <x:v>50.88268424</x:v>
      </x:c>
      <x:c r="F27" s="107" t="n">
        <x:v>129.44928061</x:v>
      </x:c>
      <x:c r="G27" s="107" t="n">
        <x:v>3.2055512999999998</x:v>
      </x:c>
      <x:c r="H27" s="107" t="n">
        <x:v>64.68363111</x:v>
      </x:c>
      <x:c r="I27" s="107" t="n">
        <x:v>13.800946869999997</x:v>
      </x:c>
      <x:c r="J27" s="107" t="n">
        <x:v>13.267405199999997</x:v>
      </x:c>
      <x:c r="K27" s="107" t="n">
        <x:v>12.822205199999997</x:v>
      </x:c>
      <x:c r="L27" s="107" t="n">
        <x:v>9.6166539</x:v>
      </x:c>
      <x:c r="M27" s="108" t="n">
        <x:v>0.49968320260408744</x:v>
      </x:c>
      <x:c r="N27" s="108" t="n">
        <x:v>0.10661277378264448</x:v>
      </x:c>
      <x:c r="O27" s="108" t="n">
        <x:v>0.07428897136147629</x:v>
      </x:c>
      <x:c r="P27" s="9" t="str">
        <x:v>Actual</x:v>
      </x:c>
      <x:c r="Q27" s="9" t="str">
        <x:v>Actual</x:v>
      </x:c>
      <x:c r="R27" s="9" t="str">
        <x:v>2024-10</x:v>
      </x:c>
      <x:c r="S27" s="9" t="str">
        <x:v>Oct 2024</x:v>
      </x:c>
      <x:c r="T27" s="9" t="n">
        <x:v>2024</x:v>
      </x:c>
      <x:c r="U27" s="9" t="str">
        <x:v>Q4</x:v>
      </x:c>
      <x:c r="V27" s="108" t="n">
        <x:v>0.12345337277561863</x:v>
      </x:c>
      <x:c r="W27" s="108"/>
    </x:row>
    <x:row r="28" ht="17" customHeight="1">
      <x:c r="A28" s="9" t="str">
        <x:v>2024-11-01</x:v>
      </x:c>
      <x:c r="B28" s="107" t="n">
        <x:v>67.33307936</x:v>
      </x:c>
      <x:c r="C28" s="107" t="n">
        <x:v>0.754375</x:v>
      </x:c>
      <x:c r="D28" s="107" t="n">
        <x:v>0.4452</x:v>
      </x:c>
      <x:c r="E28" s="107" t="n">
        <x:v>51.65191058</x:v>
      </x:c>
      <x:c r="F28" s="107" t="n">
        <x:v>135.24958059</x:v>
      </x:c>
      <x:c r="G28" s="107" t="n">
        <x:v>3.76625391</x:v>
      </x:c>
      <x:c r="H28" s="107" t="n">
        <x:v>67.91650123000001</x:v>
      </x:c>
      <x:c r="I28" s="107" t="n">
        <x:v>16.264590650000006</x:v>
      </x:c>
      <x:c r="J28" s="107" t="n">
        <x:v>15.510215650000006</x:v>
      </x:c>
      <x:c r="K28" s="107" t="n">
        <x:v>15.065015650000007</x:v>
      </x:c>
      <x:c r="L28" s="107" t="n">
        <x:v>11.298761740000005</x:v>
      </x:c>
      <x:c r="M28" s="108" t="n">
        <x:v>0.502156834303866</x:v>
      </x:c>
      <x:c r="N28" s="108" t="n">
        <x:v>0.12025612633361886</x:v>
      </x:c>
      <x:c r="O28" s="108" t="n">
        <x:v>0.0835400870798368</x:v>
      </x:c>
      <x:c r="P28" s="9" t="str">
        <x:v>Actual</x:v>
      </x:c>
      <x:c r="Q28" s="9" t="str">
        <x:v>Actual</x:v>
      </x:c>
      <x:c r="R28" s="9" t="str">
        <x:v>2024-11</x:v>
      </x:c>
      <x:c r="S28" s="9" t="str">
        <x:v>Nov 2024</x:v>
      </x:c>
      <x:c r="T28" s="9" t="n">
        <x:v>2024</x:v>
      </x:c>
      <x:c r="U28" s="9" t="str">
        <x:v>Q4</x:v>
      </x:c>
      <x:c r="V28" s="108" t="n">
        <x:v>0.10827728733947972</x:v>
      </x:c>
      <x:c r="W28" s="108"/>
    </x:row>
    <x:row r="29" ht="17" customHeight="1">
      <x:c r="A29" s="9" t="str">
        <x:v>2024-12-01</x:v>
      </x:c>
      <x:c r="B29" s="107" t="n">
        <x:v>72.69806477</x:v>
      </x:c>
      <x:c r="C29" s="107" t="n">
        <x:v>0.754375</x:v>
      </x:c>
      <x:c r="D29" s="107" t="n">
        <x:v>0.4452</x:v>
      </x:c>
      <x:c r="E29" s="107" t="n">
        <x:v>53.31086241</x:v>
      </x:c>
      <x:c r="F29" s="107" t="n">
        <x:v>148.00431190999998</x:v>
      </x:c>
      <x:c r="G29" s="107" t="n">
        <x:v>5.198952429999999</x:v>
      </x:c>
      <x:c r="H29" s="107" t="n">
        <x:v>75.30624714</x:v>
      </x:c>
      <x:c r="I29" s="107" t="n">
        <x:v>21.995384730000005</x:v>
      </x:c>
      <x:c r="J29" s="107" t="n">
        <x:v>21.241009730000005</x:v>
      </x:c>
      <x:c r="K29" s="107" t="n">
        <x:v>20.795809730000006</x:v>
      </x:c>
      <x:c r="L29" s="107" t="n">
        <x:v>15.596857300000005</x:v>
      </x:c>
      <x:c r="M29" s="108" t="n">
        <x:v>0.5088111702163989</x:v>
      </x:c>
      <x:c r="N29" s="108" t="n">
        <x:v>0.1486131346185048</x:v>
      </x:c>
      <x:c r="O29" s="108" t="n">
        <x:v>0.10538110071741899</x:v>
      </x:c>
      <x:c r="P29" s="9" t="str">
        <x:v>Actual</x:v>
      </x:c>
      <x:c r="Q29" s="9" t="str">
        <x:v>Actual</x:v>
      </x:c>
      <x:c r="R29" s="9" t="str">
        <x:v>2024-12</x:v>
      </x:c>
      <x:c r="S29" s="9" t="str">
        <x:v>Dec 2024</x:v>
      </x:c>
      <x:c r="T29" s="9" t="n">
        <x:v>2024</x:v>
      </x:c>
      <x:c r="U29" s="9" t="str">
        <x:v>Q4</x:v>
      </x:c>
      <x:c r="V29" s="108" t="n">
        <x:v>0.1314380096841703</x:v>
      </x:c>
      <x:c r="W29" s="108"/>
    </x:row>
    <x:row r="30" ht="17" customHeight="1">
      <x:c r="A30" s="9" t="str">
        <x:v>2025-01-01</x:v>
      </x:c>
      <x:c r="B30" s="107" t="n">
        <x:v>53.56514326999999</x:v>
      </x:c>
      <x:c r="C30" s="107" t="n">
        <x:v>0.754375</x:v>
      </x:c>
      <x:c r="D30" s="107" t="n">
        <x:v>0.471912</x:v>
      </x:c>
      <x:c r="E30" s="107" t="n">
        <x:v>51.59893494</x:v>
      </x:c>
      <x:c r="F30" s="107" t="n">
        <x:v>108.07004223</x:v>
      </x:c>
      <x:c r="G30" s="107" t="n">
        <x:v>0.41991926</x:v>
      </x:c>
      <x:c r="H30" s="107" t="n">
        <x:v>54.504898960000006</x:v>
      </x:c>
      <x:c r="I30" s="107" t="n">
        <x:v>2.9059640200000105</x:v>
      </x:c>
      <x:c r="J30" s="107" t="n">
        <x:v>2.1515890200000105</x:v>
      </x:c>
      <x:c r="K30" s="107" t="n">
        <x:v>1.6796770200000106</x:v>
      </x:c>
      <x:c r="L30" s="107" t="n">
        <x:v>1.2597577600000107</x:v>
      </x:c>
      <x:c r="M30" s="108" t="n">
        <x:v>0.5043479010029439</x:v>
      </x:c>
      <x:c r="N30" s="108" t="n">
        <x:v>0.02688963527760445</x:v>
      </x:c>
      <x:c r="O30" s="108" t="n">
        <x:v>0.011656863770987819</x:v>
      </x:c>
      <x:c r="P30" s="9" t="str">
        <x:v>Actual</x:v>
      </x:c>
      <x:c r="Q30" s="9" t="str">
        <x:v>Actual</x:v>
      </x:c>
      <x:c r="R30" s="9" t="str">
        <x:v>2025-01</x:v>
      </x:c>
      <x:c r="S30" s="9" t="str">
        <x:v>Jan 2025</x:v>
      </x:c>
      <x:c r="T30" s="9" t="n">
        <x:v>2025</x:v>
      </x:c>
      <x:c r="U30" s="9" t="str">
        <x:v>Q1</x:v>
      </x:c>
      <x:c r="V30" s="108" t="n">
        <x:v>0.1373393858684533</x:v>
      </x:c>
      <x:c r="W30" s="108"/>
    </x:row>
    <x:row r="31" ht="17" customHeight="1">
      <x:c r="A31" s="9" t="str">
        <x:v>2025-02-01</x:v>
      </x:c>
      <x:c r="B31" s="107" t="n">
        <x:v>56.145534870000006</x:v>
      </x:c>
      <x:c r="C31" s="107" t="n">
        <x:v>0.754375</x:v>
      </x:c>
      <x:c r="D31" s="107" t="n">
        <x:v>0.471912</x:v>
      </x:c>
      <x:c r="E31" s="107" t="n">
        <x:v>52.28890882</x:v>
      </x:c>
      <x:c r="F31" s="107" t="n">
        <x:v>112.18320034</x:v>
      </x:c>
      <x:c r="G31" s="107" t="n">
        <x:v>0.63061741</x:v>
      </x:c>
      <x:c r="H31" s="107" t="n">
        <x:v>56.03766547</x:v>
      </x:c>
      <x:c r="I31" s="107" t="n">
        <x:v>3.7487566499999985</x:v>
      </x:c>
      <x:c r="J31" s="107" t="n">
        <x:v>2.9943816499999985</x:v>
      </x:c>
      <x:c r="K31" s="107" t="n">
        <x:v>2.5224696499999983</x:v>
      </x:c>
      <x:c r="L31" s="107" t="n">
        <x:v>1.8918522399999984</x:v>
      </x:c>
      <x:c r="M31" s="108" t="n">
        <x:v>0.49951922658796916</x:v>
      </x:c>
      <x:c r="N31" s="108" t="n">
        <x:v>0.033416381763387286</x:v>
      </x:c>
      <x:c r="O31" s="108" t="n">
        <x:v>0.01686395319679109</x:v>
      </x:c>
      <x:c r="P31" s="9" t="str">
        <x:v>Actual</x:v>
      </x:c>
      <x:c r="Q31" s="9" t="str">
        <x:v>Actual</x:v>
      </x:c>
      <x:c r="R31" s="9" t="str">
        <x:v>2025-02</x:v>
      </x:c>
      <x:c r="S31" s="9" t="str">
        <x:v>Feb 2025</x:v>
      </x:c>
      <x:c r="T31" s="9" t="n">
        <x:v>2025</x:v>
      </x:c>
      <x:c r="U31" s="9" t="str">
        <x:v>Q1</x:v>
      </x:c>
      <x:c r="V31" s="108" t="n">
        <x:v>0.13082689624395782</x:v>
      </x:c>
      <x:c r="W31" s="108"/>
    </x:row>
    <x:row r="32" ht="17" customHeight="1">
      <x:c r="A32" s="9" t="str">
        <x:v>2025-03-01</x:v>
      </x:c>
      <x:c r="B32" s="107" t="n">
        <x:v>64.24099425</x:v>
      </x:c>
      <x:c r="C32" s="107" t="n">
        <x:v>0.754375</x:v>
      </x:c>
      <x:c r="D32" s="107" t="n">
        <x:v>0.471912</x:v>
      </x:c>
      <x:c r="E32" s="107" t="n">
        <x:v>52.66806578</x:v>
      </x:c>
      <x:c r="F32" s="107" t="n">
        <x:v>127.55369997</x:v>
      </x:c>
      <x:c r="G32" s="107" t="n">
        <x:v>2.3545882400000004</x:v>
      </x:c>
      <x:c r="H32" s="107" t="n">
        <x:v>63.31270572</x:v>
      </x:c>
      <x:c r="I32" s="107" t="n">
        <x:v>10.644639939999998</x:v>
      </x:c>
      <x:c r="J32" s="107" t="n">
        <x:v>9.890264939999998</x:v>
      </x:c>
      <x:c r="K32" s="107" t="n">
        <x:v>9.418352939999998</x:v>
      </x:c>
      <x:c r="L32" s="107" t="n">
        <x:v>7.0637646999999975</x:v>
      </x:c>
      <x:c r="M32" s="108" t="n">
        <x:v>0.49636118540576113</x:v>
      </x:c>
      <x:c r="N32" s="108" t="n">
        <x:v>0.08345222398490647</x:v>
      </x:c>
      <x:c r="O32" s="108" t="n">
        <x:v>0.0553787518642059</x:v>
      </x:c>
      <x:c r="P32" s="9" t="str">
        <x:v>Actual</x:v>
      </x:c>
      <x:c r="Q32" s="9" t="str">
        <x:v>Actual</x:v>
      </x:c>
      <x:c r="R32" s="9" t="str">
        <x:v>2025-03</x:v>
      </x:c>
      <x:c r="S32" s="9" t="str">
        <x:v>Mar 2025</x:v>
      </x:c>
      <x:c r="T32" s="9" t="n">
        <x:v>2025</x:v>
      </x:c>
      <x:c r="U32" s="9" t="str">
        <x:v>Q1</x:v>
      </x:c>
      <x:c r="V32" s="108" t="n">
        <x:v>0.1643157243014135</x:v>
      </x:c>
      <x:c r="W32" s="108"/>
    </x:row>
    <x:row r="33" ht="17" customHeight="1">
      <x:c r="A33" s="9" t="str">
        <x:v>2025-04-01</x:v>
      </x:c>
      <x:c r="B33" s="107" t="n">
        <x:v>64.70943381000001</x:v>
      </x:c>
      <x:c r="C33" s="107" t="n">
        <x:v>0.754375</x:v>
      </x:c>
      <x:c r="D33" s="107" t="n">
        <x:v>0.471912</x:v>
      </x:c>
      <x:c r="E33" s="107" t="n">
        <x:v>54.64928507</x:v>
      </x:c>
      <x:c r="F33" s="107" t="n">
        <x:v>129.76971918</x:v>
      </x:c>
      <x:c r="G33" s="107" t="n">
        <x:v>2.2961783199999997</x:v>
      </x:c>
      <x:c r="H33" s="107" t="n">
        <x:v>65.06028537</x:v>
      </x:c>
      <x:c r="I33" s="107" t="n">
        <x:v>10.411000300000005</x:v>
      </x:c>
      <x:c r="J33" s="107" t="n">
        <x:v>9.656625300000005</x:v>
      </x:c>
      <x:c r="K33" s="107" t="n">
        <x:v>9.184713300000004</x:v>
      </x:c>
      <x:c r="L33" s="107" t="n">
        <x:v>6.888534980000004</x:v>
      </x:c>
      <x:c r="M33" s="108" t="n">
        <x:v>0.5013518236851285</x:v>
      </x:c>
      <x:c r="N33" s="108" t="n">
        <x:v>0.08022673059467127</x:v>
      </x:c>
      <x:c r="O33" s="108" t="n">
        <x:v>0.05308276093627903</x:v>
      </x:c>
      <x:c r="P33" s="9" t="str">
        <x:v>Actual</x:v>
      </x:c>
      <x:c r="Q33" s="9" t="str">
        <x:v>Actual</x:v>
      </x:c>
      <x:c r="R33" s="9" t="str">
        <x:v>2025-04</x:v>
      </x:c>
      <x:c r="S33" s="9" t="str">
        <x:v>Apr 2025</x:v>
      </x:c>
      <x:c r="T33" s="9" t="n">
        <x:v>2025</x:v>
      </x:c>
      <x:c r="U33" s="9" t="str">
        <x:v>Q2</x:v>
      </x:c>
      <x:c r="V33" s="108" t="n">
        <x:v>0.12899552784302615</x:v>
      </x:c>
      <x:c r="W33" s="108"/>
    </x:row>
    <x:row r="34" ht="17" customHeight="1">
      <x:c r="A34" s="9" t="str">
        <x:v>2025-05-01</x:v>
      </x:c>
      <x:c r="B34" s="107" t="n">
        <x:v>65.4390324</x:v>
      </x:c>
      <x:c r="C34" s="107" t="n">
        <x:v>0.754375</x:v>
      </x:c>
      <x:c r="D34" s="107" t="n">
        <x:v>0.471912</x:v>
      </x:c>
      <x:c r="E34" s="107" t="n">
        <x:v>55.22182489</x:v>
      </x:c>
      <x:c r="F34" s="107" t="n">
        <x:v>131.59287475</x:v>
      </x:c>
      <x:c r="G34" s="107" t="n">
        <x:v>2.42643261</x:v>
      </x:c>
      <x:c r="H34" s="107" t="n">
        <x:v>66.15384235</x:v>
      </x:c>
      <x:c r="I34" s="107" t="n">
        <x:v>10.93201746</x:v>
      </x:c>
      <x:c r="J34" s="107" t="n">
        <x:v>10.177642460000001</x:v>
      </x:c>
      <x:c r="K34" s="107" t="n">
        <x:v>9.705730460000002</x:v>
      </x:c>
      <x:c r="L34" s="107" t="n">
        <x:v>7.279297850000002</x:v>
      </x:c>
      <x:c r="M34" s="108" t="n">
        <x:v>0.5027159903275842</x:v>
      </x:c>
      <x:c r="N34" s="108" t="n">
        <x:v>0.08307453941384467</x:v>
      </x:c>
      <x:c r="O34" s="108" t="n">
        <x:v>0.05531680848092424</x:v>
      </x:c>
      <x:c r="P34" s="9" t="str">
        <x:v>Actual</x:v>
      </x:c>
      <x:c r="Q34" s="9" t="str">
        <x:v>Actual</x:v>
      </x:c>
      <x:c r="R34" s="9" t="str">
        <x:v>2025-05</x:v>
      </x:c>
      <x:c r="S34" s="9" t="str">
        <x:v>May 2025</x:v>
      </x:c>
      <x:c r="T34" s="9" t="n">
        <x:v>2025</x:v>
      </x:c>
      <x:c r="U34" s="9" t="str">
        <x:v>Q2</x:v>
      </x:c>
      <x:c r="V34" s="108" t="n">
        <x:v>0.13615685321461002</x:v>
      </x:c>
      <x:c r="W34" s="108"/>
    </x:row>
    <x:row r="35" ht="17" customHeight="1">
      <x:c r="A35" s="9" t="str">
        <x:v>2025-06-01</x:v>
      </x:c>
      <x:c r="B35" s="107" t="n">
        <x:v>67.22671039</x:v>
      </x:c>
      <x:c r="C35" s="107" t="n">
        <x:v>0.9491666699999999</x:v>
      </x:c>
      <x:c r="D35" s="107" t="n">
        <x:v>0.471912</x:v>
      </x:c>
      <x:c r="E35" s="107" t="n">
        <x:v>55.912973310000005</x:v>
      </x:c>
      <x:c r="F35" s="107" t="n">
        <x:v>135.18984342</x:v>
      </x:c>
      <x:c r="G35" s="107" t="n">
        <x:v>2.6572702599999998</x:v>
      </x:c>
      <x:c r="H35" s="107" t="n">
        <x:v>67.96313302999998</x:v>
      </x:c>
      <x:c r="I35" s="107" t="n">
        <x:v>12.050159719999984</x:v>
      </x:c>
      <x:c r="J35" s="107" t="n">
        <x:v>11.100993049999984</x:v>
      </x:c>
      <x:c r="K35" s="107" t="n">
        <x:v>10.629081049999984</x:v>
      </x:c>
      <x:c r="L35" s="107" t="n">
        <x:v>7.971810789999984</x:v>
      </x:c>
      <x:c r="M35" s="108" t="n">
        <x:v>0.5027236611174706</x:v>
      </x:c>
      <x:c r="N35" s="108" t="n">
        <x:v>0.0891350963590012</x:v>
      </x:c>
      <x:c r="O35" s="108" t="n">
        <x:v>0.058967527355095924</x:v>
      </x:c>
      <x:c r="P35" s="9" t="str">
        <x:v>Actual</x:v>
      </x:c>
      <x:c r="Q35" s="9" t="str">
        <x:v>Actual</x:v>
      </x:c>
      <x:c r="R35" s="9" t="str">
        <x:v>2025-06</x:v>
      </x:c>
      <x:c r="S35" s="9" t="str">
        <x:v>Jun 2025</x:v>
      </x:c>
      <x:c r="T35" s="9" t="n">
        <x:v>2025</x:v>
      </x:c>
      <x:c r="U35" s="9" t="str">
        <x:v>Q2</x:v>
      </x:c>
      <x:c r="V35" s="108" t="n">
        <x:v>0.12356721928687464</x:v>
      </x:c>
      <x:c r="W35" s="108"/>
    </x:row>
    <x:row r="36" ht="17" customHeight="1">
      <x:c r="A36" s="9" t="str">
        <x:v>2025-07-01</x:v>
      </x:c>
      <x:c r="B36" s="107" t="n">
        <x:v>63.57444665</x:v>
      </x:c>
      <x:c r="C36" s="107" t="n">
        <x:v>0.9491666699999999</x:v>
      </x:c>
      <x:c r="D36" s="107" t="n">
        <x:v>0.471912</x:v>
      </x:c>
      <x:c r="E36" s="107" t="n">
        <x:v>55.49114084000001</x:v>
      </x:c>
      <x:c r="F36" s="107" t="n">
        <x:v>127.95531583</x:v>
      </x:c>
      <x:c r="G36" s="107" t="n">
        <x:v>1.8671624199999999</x:v>
      </x:c>
      <x:c r="H36" s="107" t="n">
        <x:v>64.38086918</x:v>
      </x:c>
      <x:c r="I36" s="107" t="n">
        <x:v>8.889728339999996</x:v>
      </x:c>
      <x:c r="J36" s="107" t="n">
        <x:v>7.940561669999997</x:v>
      </x:c>
      <x:c r="K36" s="107" t="n">
        <x:v>7.468649669999996</x:v>
      </x:c>
      <x:c r="L36" s="107" t="n">
        <x:v>5.601487249999996</x:v>
      </x:c>
      <x:c r="M36" s="108" t="n">
        <x:v>0.5031511880720587</x:v>
      </x:c>
      <x:c r="N36" s="108" t="n">
        <x:v>0.0694752561262151</x:v>
      </x:c>
      <x:c r="O36" s="108" t="n">
        <x:v>0.04377690144145375</x:v>
      </x:c>
      <x:c r="P36" s="9" t="str">
        <x:v>Actual</x:v>
      </x:c>
      <x:c r="Q36" s="9" t="str">
        <x:v>Actual</x:v>
      </x:c>
      <x:c r="R36" s="9" t="str">
        <x:v>2025-07</x:v>
      </x:c>
      <x:c r="S36" s="9" t="str">
        <x:v>Jul 2025</x:v>
      </x:c>
      <x:c r="T36" s="9" t="n">
        <x:v>2025</x:v>
      </x:c>
      <x:c r="U36" s="9" t="str">
        <x:v>Q3</x:v>
      </x:c>
      <x:c r="V36" s="108" t="n">
        <x:v>0.1314149173012109</x:v>
      </x:c>
      <x:c r="W36" s="108"/>
    </x:row>
    <x:row r="37" ht="17" customHeight="1">
      <x:c r="A37" s="9" t="str">
        <x:v>2025-08-01</x:v>
      </x:c>
      <x:c r="B37" s="107" t="n">
        <x:v>60.87161546</x:v>
      </x:c>
      <x:c r="C37" s="107" t="n">
        <x:v>0.9491666699999999</x:v>
      </x:c>
      <x:c r="D37" s="107" t="n">
        <x:v>0.471912</x:v>
      </x:c>
      <x:c r="E37" s="107" t="n">
        <x:v>56.33689881</x:v>
      </x:c>
      <x:c r="F37" s="107" t="n">
        <x:v>123.51307021000001</x:v>
      </x:c>
      <x:c r="G37" s="107" t="n">
        <x:v>1.22086932</x:v>
      </x:c>
      <x:c r="H37" s="107" t="n">
        <x:v>62.64145475000001</x:v>
      </x:c>
      <x:c r="I37" s="107" t="n">
        <x:v>6.304555940000005</x:v>
      </x:c>
      <x:c r="J37" s="107" t="n">
        <x:v>5.355389270000005</x:v>
      </x:c>
      <x:c r="K37" s="107" t="n">
        <x:v>4.8834772700000055</x:v>
      </x:c>
      <x:c r="L37" s="107" t="n">
        <x:v>3.662607950000005</x:v>
      </x:c>
      <x:c r="M37" s="108" t="n">
        <x:v>0.5071645830153476</x:v>
      </x:c>
      <x:c r="N37" s="108" t="n">
        <x:v>0.051043633918911105</x:v>
      </x:c>
      <x:c r="O37" s="108" t="n">
        <x:v>0.029653606244041602</x:v>
      </x:c>
      <x:c r="P37" s="9" t="str">
        <x:v>Actual</x:v>
      </x:c>
      <x:c r="Q37" s="9" t="str">
        <x:v>Actual</x:v>
      </x:c>
      <x:c r="R37" s="9" t="str">
        <x:v>2025-08</x:v>
      </x:c>
      <x:c r="S37" s="9" t="str">
        <x:v>Aug 2025</x:v>
      </x:c>
      <x:c r="T37" s="9" t="n">
        <x:v>2025</x:v>
      </x:c>
      <x:c r="U37" s="9" t="str">
        <x:v>Q3</x:v>
      </x:c>
      <x:c r="V37" s="108" t="n">
        <x:v>0.14064078422073623</x:v>
      </x:c>
      <x:c r="W37" s="108"/>
    </x:row>
    <x:row r="38" ht="17" customHeight="1">
      <x:c r="A38" s="9" t="str">
        <x:v>2025-09-01</x:v>
      </x:c>
      <x:c r="B38" s="107" t="n">
        <x:v>71.02281658</x:v>
      </x:c>
      <x:c r="C38" s="107" t="n">
        <x:v>1.0833333399999998</x:v>
      </x:c>
      <x:c r="D38" s="107" t="n">
        <x:v>0.471912</x:v>
      </x:c>
      <x:c r="E38" s="107" t="n">
        <x:v>56.380986160000006</x:v>
      </x:c>
      <x:c r="F38" s="107" t="n">
        <x:v>140.9600432</x:v>
      </x:c>
      <x:c r="G38" s="107" t="n">
        <x:v>3.0002487799999997</x:v>
      </x:c>
      <x:c r="H38" s="107" t="n">
        <x:v>69.93722661999999</x:v>
      </x:c>
      <x:c r="I38" s="107" t="n">
        <x:v>13.556240459999986</x:v>
      </x:c>
      <x:c r="J38" s="107" t="n">
        <x:v>12.472907119999986</x:v>
      </x:c>
      <x:c r="K38" s="107" t="n">
        <x:v>12.000995119999986</x:v>
      </x:c>
      <x:c r="L38" s="107" t="n">
        <x:v>9.000746339999987</x:v>
      </x:c>
      <x:c r="M38" s="108" t="n">
        <x:v>0.49614929899510696</x:v>
      </x:c>
      <x:c r="N38" s="108" t="n">
        <x:v>0.09617080239373811</x:v>
      </x:c>
      <x:c r="O38" s="108" t="n">
        <x:v>0.06385317523795983</x:v>
      </x:c>
      <x:c r="P38" s="9" t="str">
        <x:v>Actual</x:v>
      </x:c>
      <x:c r="Q38" s="9" t="str">
        <x:v>Actual</x:v>
      </x:c>
      <x:c r="R38" s="9" t="str">
        <x:v>2025-09</x:v>
      </x:c>
      <x:c r="S38" s="9" t="str">
        <x:v>Sep 2025</x:v>
      </x:c>
      <x:c r="T38" s="9" t="n">
        <x:v>2025</x:v>
      </x:c>
      <x:c r="U38" s="9" t="str">
        <x:v>Q3</x:v>
      </x:c>
      <x:c r="V38" s="108" t="n">
        <x:v>0.12169985716998855</x:v>
      </x:c>
      <x:c r="W38" s="108"/>
    </x:row>
    <x:row r="39" ht="17" customHeight="1">
      <x:c r="A39" s="9" t="str">
        <x:v>2025-10-01</x:v>
      </x:c>
      <x:c r="B39" s="107" t="n">
        <x:v>73.90314051</x:v>
      </x:c>
      <x:c r="C39" s="107" t="n">
        <x:v>1.0833333399999998</x:v>
      </x:c>
      <x:c r="D39" s="107" t="n">
        <x:v>0.471912</x:v>
      </x:c>
      <x:c r="E39" s="107" t="n">
        <x:v>57.77480292</x:v>
      </x:c>
      <x:c r="F39" s="107" t="n">
        <x:v>148.30871799000002</x:v>
      </x:c>
      <x:c r="G39" s="107" t="n">
        <x:v>3.76888231</x:v>
      </x:c>
      <x:c r="H39" s="107" t="n">
        <x:v>74.40557748</x:v>
      </x:c>
      <x:c r="I39" s="107" t="n">
        <x:v>16.630774560000003</x:v>
      </x:c>
      <x:c r="J39" s="107" t="n">
        <x:v>15.547441220000003</x:v>
      </x:c>
      <x:c r="K39" s="107" t="n">
        <x:v>15.075529220000002</x:v>
      </x:c>
      <x:c r="L39" s="107" t="n">
        <x:v>11.306646910000001</x:v>
      </x:c>
      <x:c r="M39" s="108" t="n">
        <x:v>0.5016938888583539</x:v>
      </x:c>
      <x:c r="N39" s="108" t="n">
        <x:v>0.11213618987065456</x:v>
      </x:c>
      <x:c r="O39" s="108" t="n">
        <x:v>0.07623723718495344</x:v>
      </x:c>
      <x:c r="P39" s="9" t="str">
        <x:v>Actual</x:v>
      </x:c>
      <x:c r="Q39" s="9" t="str">
        <x:v>Actual</x:v>
      </x:c>
      <x:c r="R39" s="9" t="str">
        <x:v>2025-10</x:v>
      </x:c>
      <x:c r="S39" s="9" t="str">
        <x:v>Oct 2025</x:v>
      </x:c>
      <x:c r="T39" s="9" t="n">
        <x:v>2025</x:v>
      </x:c>
      <x:c r="U39" s="9" t="str">
        <x:v>Q4</x:v>
      </x:c>
      <x:c r="V39" s="108" t="n">
        <x:v>0.14568978128831023</x:v>
      </x:c>
      <x:c r="W39" s="108"/>
    </x:row>
    <x:row r="40" ht="17" customHeight="1">
      <x:c r="A40" s="9" t="str">
        <x:v>2025-11-01</x:v>
      </x:c>
      <x:c r="B40" s="107" t="n">
        <x:v>77.50044606</x:v>
      </x:c>
      <x:c r="C40" s="107" t="n">
        <x:v>1.0833333399999998</x:v>
      </x:c>
      <x:c r="D40" s="107" t="n">
        <x:v>0.471912</x:v>
      </x:c>
      <x:c r="E40" s="107" t="n">
        <x:v>59.33943471</x:v>
      </x:c>
      <x:c r="F40" s="107" t="n">
        <x:v>156.92079624000002</x:v>
      </x:c>
      <x:c r="G40" s="107" t="n">
        <x:v>4.63141753</x:v>
      </x:c>
      <x:c r="H40" s="107" t="n">
        <x:v>79.42035018000001</x:v>
      </x:c>
      <x:c r="I40" s="107" t="n">
        <x:v>20.080915470000008</x:v>
      </x:c>
      <x:c r="J40" s="107" t="n">
        <x:v>18.997582130000005</x:v>
      </x:c>
      <x:c r="K40" s="107" t="n">
        <x:v>18.525670130000005</x:v>
      </x:c>
      <x:c r="L40" s="107" t="n">
        <x:v>13.894252600000005</x:v>
      </x:c>
      <x:c r="M40" s="108" t="n">
        <x:v>0.5061174304681185</x:v>
      </x:c>
      <x:c r="N40" s="108" t="n">
        <x:v>0.1279684780549263</x:v>
      </x:c>
      <x:c r="O40" s="108" t="n">
        <x:v>0.08854309264878864</x:v>
      </x:c>
      <x:c r="P40" s="9" t="str">
        <x:v>Actual</x:v>
      </x:c>
      <x:c r="Q40" s="9" t="str">
        <x:v>Actual</x:v>
      </x:c>
      <x:c r="R40" s="9" t="str">
        <x:v>2025-11</x:v>
      </x:c>
      <x:c r="S40" s="9" t="str">
        <x:v>Nov 2025</x:v>
      </x:c>
      <x:c r="T40" s="9" t="n">
        <x:v>2025</x:v>
      </x:c>
      <x:c r="U40" s="9" t="str">
        <x:v>Q4</x:v>
      </x:c>
      <x:c r="V40" s="108" t="n">
        <x:v>0.16023129650726853</x:v>
      </x:c>
      <x:c r="W40" s="108"/>
    </x:row>
    <x:row r="41" ht="17" customHeight="1">
      <x:c r="A41" s="9" t="str">
        <x:v>2025-12-01</x:v>
      </x:c>
      <x:c r="B41" s="107" t="n">
        <x:v>83.20885781</x:v>
      </x:c>
      <x:c r="C41" s="107" t="n">
        <x:v>1.0833333399999998</x:v>
      </x:c>
      <x:c r="D41" s="107" t="n">
        <x:v>0.471912</x:v>
      </x:c>
      <x:c r="E41" s="107" t="n">
        <x:v>59.60884549</x:v>
      </x:c>
      <x:c r="F41" s="107" t="n">
        <x:v>169.00590547</x:v>
      </x:c>
      <x:c r="G41" s="107" t="n">
        <x:v>6.15823921</x:v>
      </x:c>
      <x:c r="H41" s="107" t="n">
        <x:v>85.79704765999999</x:v>
      </x:c>
      <x:c r="I41" s="107" t="n">
        <x:v>26.188202169999993</x:v>
      </x:c>
      <x:c r="J41" s="107" t="n">
        <x:v>25.104868829999994</x:v>
      </x:c>
      <x:c r="K41" s="107" t="n">
        <x:v>24.632956829999994</x:v>
      </x:c>
      <x:c r="L41" s="107" t="n">
        <x:v>18.474717619999993</x:v>
      </x:c>
      <x:c r="M41" s="108" t="n">
        <x:v>0.5076570988534463</x:v>
      </x:c>
      <x:c r="N41" s="108" t="n">
        <x:v>0.15495436148915295</x:v>
      </x:c>
      <x:c r="O41" s="108" t="n">
        <x:v>0.10931403591266468</x:v>
      </x:c>
      <x:c r="P41" s="9" t="str">
        <x:v>Actual</x:v>
      </x:c>
      <x:c r="Q41" s="9" t="str">
        <x:v>Actual</x:v>
      </x:c>
      <x:c r="R41" s="9" t="str">
        <x:v>2025-12</x:v>
      </x:c>
      <x:c r="S41" s="9" t="str">
        <x:v>Dec 2025</x:v>
      </x:c>
      <x:c r="T41" s="9" t="n">
        <x:v>2025</x:v>
      </x:c>
      <x:c r="U41" s="9" t="str">
        <x:v>Q4</x:v>
      </x:c>
      <x:c r="V41" s="108" t="n">
        <x:v>0.14189852504277622</x:v>
      </x:c>
      <x:c r="W41" s="108"/>
    </x:row>
    <x:row r="42" ht="17" customHeight="1">
      <x:c r="A42" s="9" t="str">
        <x:v>2026-01-01</x:v>
      </x:c>
      <x:c r="B42" s="107" t="n">
        <x:v>61.38625082</x:v>
      </x:c>
      <x:c r="C42" s="107" t="n">
        <x:v>1.0833333399999998</x:v>
      </x:c>
      <x:c r="D42" s="107" t="n">
        <x:v>0.50022672</x:v>
      </x:c>
      <x:c r="E42" s="107" t="n">
        <x:v>58.3695819</x:v>
      </x:c>
      <x:c r="F42" s="107" t="n">
        <x:v>124.15170402</x:v>
      </x:c>
      <x:c r="G42" s="107" t="n">
        <x:v>0.70307781</x:v>
      </x:c>
      <x:c r="H42" s="107" t="n">
        <x:v>62.765453199999996</x:v>
      </x:c>
      <x:c r="I42" s="107" t="n">
        <x:v>4.395871299999997</x:v>
      </x:c>
      <x:c r="J42" s="107" t="n">
        <x:v>3.312537959999997</x:v>
      </x:c>
      <x:c r="K42" s="107" t="n">
        <x:v>2.8123112399999974</x:v>
      </x:c>
      <x:c r="L42" s="107" t="n">
        <x:v>2.1092334299999975</x:v>
      </x:c>
      <x:c r="M42" s="108" t="n">
        <x:v>0.5055545044302324</x:v>
      </x:c>
      <x:c r="N42" s="108" t="n">
        <x:v>0.0354072570706871</x:v>
      </x:c>
      <x:c r="O42" s="108" t="n">
        <x:v>0.01698916214359985</x:v>
      </x:c>
      <x:c r="P42" s="9" t="str">
        <x:v>Actual</x:v>
      </x:c>
      <x:c r="Q42" s="9" t="str">
        <x:v>Actual</x:v>
      </x:c>
      <x:c r="R42" s="9" t="str">
        <x:v>2026-01</x:v>
      </x:c>
      <x:c r="S42" s="9" t="str">
        <x:v>Jan 2026</x:v>
      </x:c>
      <x:c r="T42" s="9" t="n">
        <x:v>2026</x:v>
      </x:c>
      <x:c r="U42" s="9" t="str">
        <x:v>Q1</x:v>
      </x:c>
      <x:c r="V42" s="108" t="n">
        <x:v>0.1488077681673725</x:v>
      </x:c>
      <x:c r="W42" s="108"/>
    </x:row>
    <x:row r="43" ht="17" customHeight="1">
      <x:c r="A43" s="9" t="str">
        <x:v>2026-02-01</x:v>
      </x:c>
      <x:c r="B43" s="107" t="n">
        <x:v>63.1439689</x:v>
      </x:c>
      <x:c r="C43" s="107" t="n">
        <x:v>1.0833333399999998</x:v>
      </x:c>
      <x:c r="D43" s="107" t="n">
        <x:v>0.50022672</x:v>
      </x:c>
      <x:c r="E43" s="107" t="n">
        <x:v>59.20782783</x:v>
      </x:c>
      <x:c r="F43" s="107" t="n">
        <x:v>127.34601756</x:v>
      </x:c>
      <x:c r="G43" s="107" t="n">
        <x:v>0.85266519</x:v>
      </x:c>
      <x:c r="H43" s="107" t="n">
        <x:v>64.20204866</x:v>
      </x:c>
      <x:c r="I43" s="107" t="n">
        <x:v>4.994220830000006</x:v>
      </x:c>
      <x:c r="J43" s="107" t="n">
        <x:v>3.9108874900000057</x:v>
      </x:c>
      <x:c r="K43" s="107" t="n">
        <x:v>3.410660770000006</x:v>
      </x:c>
      <x:c r="L43" s="107" t="n">
        <x:v>2.5579955800000063</x:v>
      </x:c>
      <x:c r="M43" s="108" t="n">
        <x:v>0.5041543496226786</x:v>
      </x:c>
      <x:c r="N43" s="108" t="n">
        <x:v>0.039217722907172514</x:v>
      </x:c>
      <x:c r="O43" s="108" t="n">
        <x:v>0.020086969573232142</x:v>
      </x:c>
      <x:c r="P43" s="9" t="str">
        <x:v>Actual</x:v>
      </x:c>
      <x:c r="Q43" s="9" t="str">
        <x:v>Actual</x:v>
      </x:c>
      <x:c r="R43" s="9" t="str">
        <x:v>2026-02</x:v>
      </x:c>
      <x:c r="S43" s="9" t="str">
        <x:v>Feb 2026</x:v>
      </x:c>
      <x:c r="T43" s="9" t="n">
        <x:v>2026</x:v>
      </x:c>
      <x:c r="U43" s="9" t="str">
        <x:v>Q1</x:v>
      </x:c>
      <x:c r="V43" s="108" t="n">
        <x:v>0.13516121107300538</x:v>
      </x:c>
      <x:c r="W43" s="108"/>
    </x:row>
    <x:row r="44" ht="17" customHeight="1">
      <x:c r="A44" s="9" t="str">
        <x:v>2026-03-01</x:v>
      </x:c>
      <x:c r="B44" s="107" t="n">
        <x:v>70.38953595999999</x:v>
      </x:c>
      <x:c r="C44" s="107" t="n">
        <x:v>1.2533333399999997</x:v>
      </x:c>
      <x:c r="D44" s="107" t="n">
        <x:v>0.50022672</x:v>
      </x:c>
      <x:c r="E44" s="107" t="n">
        <x:v>59.40138009</x:v>
      </x:c>
      <x:c r="F44" s="107" t="n">
        <x:v>140.67192072999998</x:v>
      </x:c>
      <x:c r="G44" s="107" t="n">
        <x:v>2.28186116</x:v>
      </x:c>
      <x:c r="H44" s="107" t="n">
        <x:v>70.28238477</x:v>
      </x:c>
      <x:c r="I44" s="107" t="n">
        <x:v>10.881004679999993</x:v>
      </x:c>
      <x:c r="J44" s="107" t="n">
        <x:v>9.627671339999992</x:v>
      </x:c>
      <x:c r="K44" s="107" t="n">
        <x:v>9.127444619999991</x:v>
      </x:c>
      <x:c r="L44" s="107" t="n">
        <x:v>6.845583459999991</x:v>
      </x:c>
      <x:c r="M44" s="108" t="n">
        <x:v>0.4996191450666062</x:v>
      </x:c>
      <x:c r="N44" s="108" t="n">
        <x:v>0.07735022471815504</x:v>
      </x:c>
      <x:c r="O44" s="108" t="n">
        <x:v>0.04866346762364274</x:v>
      </x:c>
      <x:c r="P44" s="9" t="str">
        <x:v>Actual</x:v>
      </x:c>
      <x:c r="Q44" s="9" t="str">
        <x:v>Actual</x:v>
      </x:c>
      <x:c r="R44" s="9" t="str">
        <x:v>2026-03</x:v>
      </x:c>
      <x:c r="S44" s="9" t="str">
        <x:v>Mar 2026</x:v>
      </x:c>
      <x:c r="T44" s="9" t="n">
        <x:v>2026</x:v>
      </x:c>
      <x:c r="U44" s="9" t="str">
        <x:v>Q1</x:v>
      </x:c>
      <x:c r="V44" s="108" t="n">
        <x:v>0.10284469022133691</x:v>
      </x:c>
      <x:c r="W44" s="108"/>
    </x:row>
    <x:row r="45" ht="17" customHeight="1">
      <x:c r="A45" s="9" t="str">
        <x:v>2026-04-01</x:v>
      </x:c>
      <x:c r="B45" s="107" t="n">
        <x:v>73.35911942999999</x:v>
      </x:c>
      <x:c r="C45" s="107" t="n">
        <x:v>1.2533333399999997</x:v>
      </x:c>
      <x:c r="D45" s="107" t="n">
        <x:v>0.50022672</x:v>
      </x:c>
      <x:c r="E45" s="107" t="n">
        <x:v>61.76156683</x:v>
      </x:c>
      <x:c r="F45" s="107" t="n">
        <x:v>146.83694599</x:v>
      </x:c>
      <x:c r="G45" s="107" t="n">
        <x:v>2.49067492</x:v>
      </x:c>
      <x:c r="H45" s="107" t="n">
        <x:v>73.47782656000001</x:v>
      </x:c>
      <x:c r="I45" s="107" t="n">
        <x:v>11.716259730000019</x:v>
      </x:c>
      <x:c r="J45" s="107" t="n">
        <x:v>10.46292639000002</x:v>
      </x:c>
      <x:c r="K45" s="107" t="n">
        <x:v>9.962699670000019</x:v>
      </x:c>
      <x:c r="L45" s="107" t="n">
        <x:v>7.472024750000019</x:v>
      </x:c>
      <x:c r="M45" s="108" t="n">
        <x:v>0.500404214107014</x:v>
      </x:c>
      <x:c r="N45" s="108" t="n">
        <x:v>0.07979095214087283</x:v>
      </x:c>
      <x:c r="O45" s="108" t="n">
        <x:v>0.0508865442523497</x:v>
      </x:c>
      <x:c r="P45" s="9" t="str">
        <x:v>Actual</x:v>
      </x:c>
      <x:c r="Q45" s="9" t="str">
        <x:v>Actual</x:v>
      </x:c>
      <x:c r="R45" s="9" t="str">
        <x:v>2026-04</x:v>
      </x:c>
      <x:c r="S45" s="9" t="str">
        <x:v>Apr 2026</x:v>
      </x:c>
      <x:c r="T45" s="9" t="n">
        <x:v>2026</x:v>
      </x:c>
      <x:c r="U45" s="9" t="str">
        <x:v>Q2</x:v>
      </x:c>
      <x:c r="V45" s="108" t="n">
        <x:v>0.1315193322282413</x:v>
      </x:c>
      <x:c r="W45" s="108"/>
    </x:row>
    <x:row r="46" ht="17" customHeight="1">
      <x:c r="A46" s="9" t="str">
        <x:v>2026-05-01</x:v>
      </x:c>
      <x:c r="B46" s="107" t="n">
        <x:v>73.56539196</x:v>
      </x:c>
      <x:c r="C46" s="107" t="n">
        <x:v>1.2533333399999997</x:v>
      </x:c>
      <x:c r="D46" s="107" t="n">
        <x:v>0.50022672</x:v>
      </x:c>
      <x:c r="E46" s="107" t="n">
        <x:v>61.7762837</x:v>
      </x:c>
      <x:c r="F46" s="107" t="n">
        <x:v>147.50381466</x:v>
      </x:c>
      <x:c r="G46" s="107" t="n">
        <x:v>2.6021447400000004</x:v>
      </x:c>
      <x:c r="H46" s="107" t="n">
        <x:v>73.9384227</x:v>
      </x:c>
      <x:c r="I46" s="107" t="n">
        <x:v>12.162139</x:v>
      </x:c>
      <x:c r="J46" s="107" t="n">
        <x:v>10.90880566</x:v>
      </x:c>
      <x:c r="K46" s="107" t="n">
        <x:v>10.40857894</x:v>
      </x:c>
      <x:c r="L46" s="107" t="n">
        <x:v>7.806434199999999</x:v>
      </x:c>
      <x:c r="M46" s="108" t="n">
        <x:v>0.501264478280985</x:v>
      </x:c>
      <x:c r="N46" s="108" t="n">
        <x:v>0.08245304725192387</x:v>
      </x:c>
      <x:c r="O46" s="108" t="n">
        <x:v>0.05292360891136291</x:v>
      </x:c>
      <x:c r="P46" s="9" t="str">
        <x:v>Actual</x:v>
      </x:c>
      <x:c r="Q46" s="9" t="str">
        <x:v>Actual</x:v>
      </x:c>
      <x:c r="R46" s="9" t="str">
        <x:v>2026-05</x:v>
      </x:c>
      <x:c r="S46" s="9" t="str">
        <x:v>May 2026</x:v>
      </x:c>
      <x:c r="T46" s="9" t="n">
        <x:v>2026</x:v>
      </x:c>
      <x:c r="U46" s="9" t="str">
        <x:v>Q2</x:v>
      </x:c>
      <x:c r="V46" s="108" t="n">
        <x:v>0.12091034518569166</x:v>
      </x:c>
      <x:c r="W46" s="108"/>
    </x:row>
    <x:row r="47" ht="17" customHeight="1">
      <x:c r="A47" s="9" t="str">
        <x:v>2026-06-01</x:v>
      </x:c>
      <x:c r="B47" s="107" t="n">
        <x:v>73.87165618</x:v>
      </x:c>
      <x:c r="C47" s="107" t="n">
        <x:v>1.2533333399999997</x:v>
      </x:c>
      <x:c r="D47" s="107" t="n">
        <x:v>0.50022672</x:v>
      </x:c>
      <x:c r="E47" s="107" t="n">
        <x:v>62.6870355</x:v>
      </x:c>
      <x:c r="F47" s="107" t="n">
        <x:v>149.44764777</x:v>
      </x:c>
      <x:c r="G47" s="107" t="n">
        <x:v>2.78384901</x:v>
      </x:c>
      <x:c r="H47" s="107" t="n">
        <x:v>75.57599159</x:v>
      </x:c>
      <x:c r="I47" s="107" t="n">
        <x:v>12.888956090000004</x:v>
      </x:c>
      <x:c r="J47" s="107" t="n">
        <x:v>11.635622750000003</x:v>
      </x:c>
      <x:c r="K47" s="107" t="n">
        <x:v>11.135396030000003</x:v>
      </x:c>
      <x:c r="L47" s="107" t="n">
        <x:v>8.351547020000003</x:v>
      </x:c>
      <x:c r="M47" s="108" t="n">
        <x:v>0.505702115207002</x:v>
      </x:c>
      <x:c r="N47" s="108" t="n">
        <x:v>0.08624395420285311</x:v>
      </x:c>
      <x:c r="O47" s="108" t="n">
        <x:v>0.055882759913712644</x:v>
      </x:c>
      <x:c r="P47" s="9" t="str">
        <x:v>Actual</x:v>
      </x:c>
      <x:c r="Q47" s="9" t="str">
        <x:v>Actual</x:v>
      </x:c>
      <x:c r="R47" s="9" t="str">
        <x:v>2026-06</x:v>
      </x:c>
      <x:c r="S47" s="9" t="str">
        <x:v>Jun 2026</x:v>
      </x:c>
      <x:c r="T47" s="9" t="n">
        <x:v>2026</x:v>
      </x:c>
      <x:c r="U47" s="9" t="str">
        <x:v>Q2</x:v>
      </x:c>
      <x:c r="V47" s="108" t="n">
        <x:v>0.10546505557895136</x:v>
      </x:c>
      <x:c r="W47" s="108"/>
    </x:row>
    <x:row r="48" ht="17" customHeight="1">
      <x:c r="A48" s="9" t="str">
        <x:v>2026-01-01</x:v>
      </x:c>
      <x:c r="B48" s="107" t="n">
        <x:v>60.28621986</x:v>
      </x:c>
      <x:c r="C48" s="107" t="n">
        <x:v>1.09027778</x:v>
      </x:c>
      <x:c r="D48" s="107" t="n">
        <x:v>0.45303552</x:v>
      </x:c>
      <x:c r="E48" s="107" t="n">
        <x:v>60.713923120000004</x:v>
      </x:c>
      <x:c r="F48" s="107" t="n">
        <x:v>123.35455284999999</x:v>
      </x:c>
      <x:c r="G48" s="107" t="n">
        <x:v>0.20277414000000002</x:v>
      </x:c>
      <x:c r="H48" s="107" t="n">
        <x:v>63.068332989999995</x:v>
      </x:c>
      <x:c r="I48" s="107" t="n">
        <x:v>2.35440986999999</x:v>
      </x:c>
      <x:c r="J48" s="107" t="n">
        <x:v>1.26413208999999</x:v>
      </x:c>
      <x:c r="K48" s="107" t="n">
        <x:v>0.8110965699999898</x:v>
      </x:c>
      <x:c r="L48" s="107" t="n">
        <x:v>0.6083224299999898</x:v>
      </x:c>
      <x:c r="M48" s="108" t="n">
        <x:v>0.5112768968218914</x:v>
      </x:c>
      <x:c r="N48" s="108" t="n">
        <x:v>0.019086525917393328</x:v>
      </x:c>
      <x:c r="O48" s="108" t="n">
        <x:v>0.004931495562548989</x:v>
      </x:c>
      <x:c r="P48" s="9" t="str">
        <x:v>Budget</x:v>
      </x:c>
      <x:c r="Q48" s="9" t="str">
        <x:v>Budget</x:v>
      </x:c>
      <x:c r="R48" s="9" t="str">
        <x:v>2026-01</x:v>
      </x:c>
      <x:c r="S48" s="9" t="str">
        <x:v>Jan 2026</x:v>
      </x:c>
      <x:c r="T48" s="9" t="n">
        <x:v>2026</x:v>
      </x:c>
      <x:c r="U48" s="9" t="str">
        <x:v>Q1</x:v>
      </x:c>
      <x:c r="V48" s="108"/>
      <x:c r="W48" s="108"/>
    </x:row>
    <x:row r="49" ht="17" customHeight="1">
      <x:c r="A49" s="9" t="str">
        <x:v>2026-02-01</x:v>
      </x:c>
      <x:c r="B49" s="107" t="n">
        <x:v>62.73624871</x:v>
      </x:c>
      <x:c r="C49" s="107" t="n">
        <x:v>1.09027778</x:v>
      </x:c>
      <x:c r="D49" s="107" t="n">
        <x:v>0.45303552</x:v>
      </x:c>
      <x:c r="E49" s="107" t="n">
        <x:v>63.01860843</x:v>
      </x:c>
      <x:c r="F49" s="107" t="n">
        <x:v>128.01089502</x:v>
      </x:c>
      <x:c r="G49" s="107" t="n">
        <x:v>0.17818114000000002</x:v>
      </x:c>
      <x:c r="H49" s="107" t="n">
        <x:v>65.27464631</x:v>
      </x:c>
      <x:c r="I49" s="107" t="n">
        <x:v>2.256037879999995</x:v>
      </x:c>
      <x:c r="J49" s="107" t="n">
        <x:v>1.1657600999999953</x:v>
      </x:c>
      <x:c r="K49" s="107" t="n">
        <x:v>0.7127245799999952</x:v>
      </x:c>
      <x:c r="L49" s="107" t="n">
        <x:v>0.5345434399999952</x:v>
      </x:c>
      <x:c r="M49" s="108" t="n">
        <x:v>0.5099147717059684</x:v>
      </x:c>
      <x:c r="N49" s="108" t="n">
        <x:v>0.017623795846810692</x:v>
      </x:c>
      <x:c r="O49" s="108" t="n">
        <x:v>0.004175765194958444</x:v>
      </x:c>
      <x:c r="P49" s="9" t="str">
        <x:v>Budget</x:v>
      </x:c>
      <x:c r="Q49" s="9" t="str">
        <x:v>Budget</x:v>
      </x:c>
      <x:c r="R49" s="9" t="str">
        <x:v>2026-02</x:v>
      </x:c>
      <x:c r="S49" s="9" t="str">
        <x:v>Feb 2026</x:v>
      </x:c>
      <x:c r="T49" s="9" t="n">
        <x:v>2026</x:v>
      </x:c>
      <x:c r="U49" s="9" t="str">
        <x:v>Q1</x:v>
      </x:c>
      <x:c r="V49" s="108"/>
      <x:c r="W49" s="108"/>
    </x:row>
    <x:row r="50" ht="17" customHeight="1">
      <x:c r="A50" s="9" t="str">
        <x:v>2026-03-01</x:v>
      </x:c>
      <x:c r="B50" s="107" t="n">
        <x:v>71.49033228</x:v>
      </x:c>
      <x:c r="C50" s="107" t="n">
        <x:v>1.2652777800000001</x:v>
      </x:c>
      <x:c r="D50" s="107" t="n">
        <x:v>0.45303552</x:v>
      </x:c>
      <x:c r="E50" s="107" t="n">
        <x:v>63.682086229999996</x:v>
      </x:c>
      <x:c r="F50" s="107" t="n">
        <x:v>145.50506318</x:v>
      </x:c>
      <x:c r="G50" s="107" t="n">
        <x:v>2.15358284</x:v>
      </x:c>
      <x:c r="H50" s="107" t="n">
        <x:v>74.0147309</x:v>
      </x:c>
      <x:c r="I50" s="107" t="n">
        <x:v>10.33264467000001</x:v>
      </x:c>
      <x:c r="J50" s="107" t="n">
        <x:v>9.06736689000001</x:v>
      </x:c>
      <x:c r="K50" s="107" t="n">
        <x:v>8.614331370000011</x:v>
      </x:c>
      <x:c r="L50" s="107" t="n">
        <x:v>6.460748530000011</x:v>
      </x:c>
      <x:c r="M50" s="108" t="n">
        <x:v>0.5086746074838548</x:v>
      </x:c>
      <x:c r="N50" s="108" t="n">
        <x:v>0.07101226888041552</x:v>
      </x:c>
      <x:c r="O50" s="108" t="n">
        <x:v>0.044402224835348926</x:v>
      </x:c>
      <x:c r="P50" s="9" t="str">
        <x:v>Budget</x:v>
      </x:c>
      <x:c r="Q50" s="9" t="str">
        <x:v>Budget</x:v>
      </x:c>
      <x:c r="R50" s="9" t="str">
        <x:v>2026-03</x:v>
      </x:c>
      <x:c r="S50" s="9" t="str">
        <x:v>Mar 2026</x:v>
      </x:c>
      <x:c r="T50" s="9" t="n">
        <x:v>2026</x:v>
      </x:c>
      <x:c r="U50" s="9" t="str">
        <x:v>Q1</x:v>
      </x:c>
      <x:c r="V50" s="108"/>
      <x:c r="W50" s="108"/>
    </x:row>
    <x:row r="51" ht="17" customHeight="1">
      <x:c r="A51" s="9" t="str">
        <x:v>2026-04-01</x:v>
      </x:c>
      <x:c r="B51" s="107" t="n">
        <x:v>72.62955116</x:v>
      </x:c>
      <x:c r="C51" s="107" t="n">
        <x:v>1.2652777800000001</x:v>
      </x:c>
      <x:c r="D51" s="107" t="n">
        <x:v>0.45303552</x:v>
      </x:c>
      <x:c r="E51" s="107" t="n">
        <x:v>64.03241655</x:v>
      </x:c>
      <x:c r="F51" s="107" t="n">
        <x:v>147.99680145</x:v>
      </x:c>
      <x:c r="G51" s="107" t="n">
        <x:v>2.4041301099999997</x:v>
      </x:c>
      <x:c r="H51" s="107" t="n">
        <x:v>75.36725028999997</x:v>
      </x:c>
      <x:c r="I51" s="107" t="n">
        <x:v>11.33483373999998</x:v>
      </x:c>
      <x:c r="J51" s="107" t="n">
        <x:v>10.069555959999981</x:v>
      </x:c>
      <x:c r="K51" s="107" t="n">
        <x:v>9.61652043999998</x:v>
      </x:c>
      <x:c r="L51" s="107" t="n">
        <x:v>7.212390329999981</x:v>
      </x:c>
      <x:c r="M51" s="108" t="n">
        <x:v>0.5092491834390248</x:v>
      </x:c>
      <x:c r="N51" s="108" t="n">
        <x:v>0.07658836967385</x:v>
      </x:c>
      <x:c r="O51" s="108" t="n">
        <x:v>0.048733420312712994</x:v>
      </x:c>
      <x:c r="P51" s="9" t="str">
        <x:v>Budget</x:v>
      </x:c>
      <x:c r="Q51" s="9" t="str">
        <x:v>Budget</x:v>
      </x:c>
      <x:c r="R51" s="9" t="str">
        <x:v>2026-04</x:v>
      </x:c>
      <x:c r="S51" s="9" t="str">
        <x:v>Apr 2026</x:v>
      </x:c>
      <x:c r="T51" s="9" t="n">
        <x:v>2026</x:v>
      </x:c>
      <x:c r="U51" s="9" t="str">
        <x:v>Q2</x:v>
      </x:c>
      <x:c r="V51" s="108"/>
      <x:c r="W51" s="108"/>
    </x:row>
    <x:row r="52" ht="17" customHeight="1">
      <x:c r="A52" s="9" t="str">
        <x:v>2026-05-01</x:v>
      </x:c>
      <x:c r="B52" s="107" t="n">
        <x:v>73.32234128</x:v>
      </x:c>
      <x:c r="C52" s="107" t="n">
        <x:v>1.2652777800000001</x:v>
      </x:c>
      <x:c r="D52" s="107" t="n">
        <x:v>0.45303552</x:v>
      </x:c>
      <x:c r="E52" s="107" t="n">
        <x:v>64.74956037</x:v>
      </x:c>
      <x:c r="F52" s="107" t="n">
        <x:v>150.11665496</x:v>
      </x:c>
      <x:c r="G52" s="107" t="n">
        <x:v>2.58161</x:v>
      </x:c>
      <x:c r="H52" s="107" t="n">
        <x:v>76.79431368</x:v>
      </x:c>
      <x:c r="I52" s="107" t="n">
        <x:v>12.04475331000001</x:v>
      </x:c>
      <x:c r="J52" s="107" t="n">
        <x:v>10.77947553000001</x:v>
      </x:c>
      <x:c r="K52" s="107" t="n">
        <x:v>10.326440010000011</x:v>
      </x:c>
      <x:c r="L52" s="107" t="n">
        <x:v>7.744830010000011</x:v>
      </x:c>
      <x:c r="M52" s="108" t="n">
        <x:v>0.5115642478208868</x:v>
      </x:c>
      <x:c r="N52" s="108" t="n">
        <x:v>0.08023595591847851</x:v>
      </x:c>
      <x:c r="O52" s="108" t="n">
        <x:v>0.051592076922202225</x:v>
      </x:c>
      <x:c r="P52" s="9" t="str">
        <x:v>Budget</x:v>
      </x:c>
      <x:c r="Q52" s="9" t="str">
        <x:v>Budget</x:v>
      </x:c>
      <x:c r="R52" s="9" t="str">
        <x:v>2026-05</x:v>
      </x:c>
      <x:c r="S52" s="9" t="str">
        <x:v>May 2026</x:v>
      </x:c>
      <x:c r="T52" s="9" t="n">
        <x:v>2026</x:v>
      </x:c>
      <x:c r="U52" s="9" t="str">
        <x:v>Q2</x:v>
      </x:c>
      <x:c r="V52" s="108"/>
      <x:c r="W52" s="108"/>
    </x:row>
    <x:row r="53" ht="17" customHeight="1">
      <x:c r="A53" s="9" t="str">
        <x:v>2026-06-01</x:v>
      </x:c>
      <x:c r="B53" s="107" t="n">
        <x:v>75.13407762</x:v>
      </x:c>
      <x:c r="C53" s="107" t="n">
        <x:v>1.2652777800000001</x:v>
      </x:c>
      <x:c r="D53" s="107" t="n">
        <x:v>0.45303552</x:v>
      </x:c>
      <x:c r="E53" s="107" t="n">
        <x:v>65.50883779</x:v>
      </x:c>
      <x:c r="F53" s="107" t="n">
        <x:v>154.21713512</x:v>
      </x:c>
      <x:c r="G53" s="107" t="n">
        <x:v>2.9639766</x:v>
      </x:c>
      <x:c r="H53" s="107" t="n">
        <x:v>79.0830575</x:v>
      </x:c>
      <x:c r="I53" s="107" t="n">
        <x:v>13.574219710000001</x:v>
      </x:c>
      <x:c r="J53" s="107" t="n">
        <x:v>12.308941930000001</x:v>
      </x:c>
      <x:c r="K53" s="107" t="n">
        <x:v>11.855906410000003</x:v>
      </x:c>
      <x:c r="L53" s="107" t="n">
        <x:v>8.891929810000002</x:v>
      </x:c>
      <x:c r="M53" s="108" t="n">
        <x:v>0.5128033109839811</x:v>
      </x:c>
      <x:c r="N53" s="108" t="n">
        <x:v>0.08802017816916116</x:v>
      </x:c>
      <x:c r="O53" s="108" t="n">
        <x:v>0.0576585072928568</x:v>
      </x:c>
      <x:c r="P53" s="9" t="str">
        <x:v>Budget</x:v>
      </x:c>
      <x:c r="Q53" s="9" t="str">
        <x:v>Budget</x:v>
      </x:c>
      <x:c r="R53" s="9" t="str">
        <x:v>2026-06</x:v>
      </x:c>
      <x:c r="S53" s="9" t="str">
        <x:v>Jun 2026</x:v>
      </x:c>
      <x:c r="T53" s="9" t="n">
        <x:v>2026</x:v>
      </x:c>
      <x:c r="U53" s="9" t="str">
        <x:v>Q2</x:v>
      </x:c>
      <x:c r="V53" s="108"/>
      <x:c r="W53" s="108"/>
    </x:row>
    <x:row r="54" ht="17" customHeight="1">
      <x:c r="A54" s="9" t="str">
        <x:v>2026-07-01</x:v>
      </x:c>
      <x:c r="B54" s="107" t="n">
        <x:v>70.83624528</x:v>
      </x:c>
      <x:c r="C54" s="107" t="n">
        <x:v>1.2652777800000001</x:v>
      </x:c>
      <x:c r="D54" s="107" t="n">
        <x:v>0.45303552</x:v>
      </x:c>
      <x:c r="E54" s="107" t="n">
        <x:v>64.92657931000001</x:v>
      </x:c>
      <x:c r="F54" s="107" t="n">
        <x:v>145.97480799000002</x:v>
      </x:c>
      <x:c r="G54" s="107" t="n">
        <x:v>2.1234175299999998</x:v>
      </x:c>
      <x:c r="H54" s="107" t="n">
        <x:v>75.13856271</x:v>
      </x:c>
      <x:c r="I54" s="107" t="n">
        <x:v>10.211983400000006</x:v>
      </x:c>
      <x:c r="J54" s="107" t="n">
        <x:v>8.946705620000007</x:v>
      </x:c>
      <x:c r="K54" s="107" t="n">
        <x:v>8.493670100000006</x:v>
      </x:c>
      <x:c r="L54" s="107" t="n">
        <x:v>6.370252570000008</x:v>
      </x:c>
      <x:c r="M54" s="108" t="n">
        <x:v>0.514736506556305</x:v>
      </x:c>
      <x:c r="N54" s="108" t="n">
        <x:v>0.06995716275029851</x:v>
      </x:c>
      <x:c r="O54" s="108" t="n">
        <x:v>0.043639396809046674</x:v>
      </x:c>
      <x:c r="P54" s="9" t="str">
        <x:v>Budget</x:v>
      </x:c>
      <x:c r="Q54" s="9" t="str">
        <x:v>Budget</x:v>
      </x:c>
      <x:c r="R54" s="9" t="str">
        <x:v>2026-07</x:v>
      </x:c>
      <x:c r="S54" s="9" t="str">
        <x:v>Jul 2026</x:v>
      </x:c>
      <x:c r="T54" s="9" t="n">
        <x:v>2026</x:v>
      </x:c>
      <x:c r="U54" s="9" t="str">
        <x:v>Q3</x:v>
      </x:c>
      <x:c r="V54" s="108"/>
      <x:c r="W54" s="108"/>
    </x:row>
    <x:row r="55" ht="17" customHeight="1">
      <x:c r="A55" s="9" t="str">
        <x:v>2026-08-01</x:v>
      </x:c>
      <x:c r="B55" s="107" t="n">
        <x:v>68.42363737999999</x:v>
      </x:c>
      <x:c r="C55" s="107" t="n">
        <x:v>1.2652777800000001</x:v>
      </x:c>
      <x:c r="D55" s="107" t="n">
        <x:v>0.45303552</x:v>
      </x:c>
      <x:c r="E55" s="107" t="n">
        <x:v>65.71863747</x:v>
      </x:c>
      <x:c r="F55" s="107" t="n">
        <x:v>141.03261813999998</x:v>
      </x:c>
      <x:c r="G55" s="107" t="n">
        <x:v>1.2930075</x:v>
      </x:c>
      <x:c r="H55" s="107" t="n">
        <x:v>72.60898076</x:v>
      </x:c>
      <x:c r="I55" s="107" t="n">
        <x:v>6.890343289999992</x:v>
      </x:c>
      <x:c r="J55" s="107" t="n">
        <x:v>5.625065509999992</x:v>
      </x:c>
      <x:c r="K55" s="107" t="n">
        <x:v>5.172029989999991</x:v>
      </x:c>
      <x:c r="L55" s="107" t="n">
        <x:v>3.8790224899999908</x:v>
      </x:c>
      <x:c r="M55" s="108" t="n">
        <x:v>0.5148382106040367</x:v>
      </x:c>
      <x:c r="N55" s="108" t="n">
        <x:v>0.04885638074987801</x:v>
      </x:c>
      <x:c r="O55" s="108" t="n">
        <x:v>0.027504435081460166</x:v>
      </x:c>
      <x:c r="P55" s="9" t="str">
        <x:v>Budget</x:v>
      </x:c>
      <x:c r="Q55" s="9" t="str">
        <x:v>Budget</x:v>
      </x:c>
      <x:c r="R55" s="9" t="str">
        <x:v>2026-08</x:v>
      </x:c>
      <x:c r="S55" s="9" t="str">
        <x:v>Aug 2026</x:v>
      </x:c>
      <x:c r="T55" s="9" t="n">
        <x:v>2026</x:v>
      </x:c>
      <x:c r="U55" s="9" t="str">
        <x:v>Q3</x:v>
      </x:c>
      <x:c r="V55" s="108"/>
      <x:c r="W55" s="108"/>
    </x:row>
    <x:row r="56" ht="17" customHeight="1">
      <x:c r="A56" s="9" t="str">
        <x:v>2026-09-01</x:v>
      </x:c>
      <x:c r="B56" s="107" t="n">
        <x:v>79.1190274</x:v>
      </x:c>
      <x:c r="C56" s="107" t="n">
        <x:v>1.2652777800000001</x:v>
      </x:c>
      <x:c r="D56" s="107" t="n">
        <x:v>0.45303552</x:v>
      </x:c>
      <x:c r="E56" s="107" t="n">
        <x:v>64.98828345</x:v>
      </x:c>
      <x:c r="F56" s="107" t="n">
        <x:v>160.77074397</x:v>
      </x:c>
      <x:c r="G56" s="107" t="n">
        <x:v>3.73627996</x:v>
      </x:c>
      <x:c r="H56" s="107" t="n">
        <x:v>81.65171657</x:v>
      </x:c>
      <x:c r="I56" s="107" t="n">
        <x:v>16.663433120000004</x:v>
      </x:c>
      <x:c r="J56" s="107" t="n">
        <x:v>15.398155340000006</x:v>
      </x:c>
      <x:c r="K56" s="107" t="n">
        <x:v>14.945119820000006</x:v>
      </x:c>
      <x:c r="L56" s="107" t="n">
        <x:v>11.208839860000007</x:v>
      </x:c>
      <x:c r="M56" s="108" t="n">
        <x:v>0.5078767103624047</x:v>
      </x:c>
      <x:c r="N56" s="108" t="n">
        <x:v>0.10364717303982508</x:v>
      </x:c>
      <x:c r="O56" s="108" t="n">
        <x:v>0.06971940032877866</x:v>
      </x:c>
      <x:c r="P56" s="9" t="str">
        <x:v>Budget</x:v>
      </x:c>
      <x:c r="Q56" s="9" t="str">
        <x:v>Budget</x:v>
      </x:c>
      <x:c r="R56" s="9" t="str">
        <x:v>2026-09</x:v>
      </x:c>
      <x:c r="S56" s="9" t="str">
        <x:v>Sep 2026</x:v>
      </x:c>
      <x:c r="T56" s="9" t="n">
        <x:v>2026</x:v>
      </x:c>
      <x:c r="U56" s="9" t="str">
        <x:v>Q3</x:v>
      </x:c>
      <x:c r="V56" s="108"/>
      <x:c r="W56" s="108"/>
    </x:row>
    <x:row r="57" ht="17" customHeight="1">
      <x:c r="A57" s="9" t="str">
        <x:v>2026-10-01</x:v>
      </x:c>
      <x:c r="B57" s="107" t="n">
        <x:v>82.74216476</x:v>
      </x:c>
      <x:c r="C57" s="107" t="n">
        <x:v>1.5465277800000001</x:v>
      </x:c>
      <x:c r="D57" s="107" t="n">
        <x:v>0.45303552</x:v>
      </x:c>
      <x:c r="E57" s="107" t="n">
        <x:v>67.53173356999999</x:v>
      </x:c>
      <x:c r="F57" s="107" t="n">
        <x:v>169.32750542</x:v>
      </x:c>
      <x:c r="G57" s="107" t="n">
        <x:v>4.263510950000001</x:v>
      </x:c>
      <x:c r="H57" s="107" t="n">
        <x:v>86.58534066</x:v>
      </x:c>
      <x:c r="I57" s="107" t="n">
        <x:v>19.053607090000003</x:v>
      </x:c>
      <x:c r="J57" s="107" t="n">
        <x:v>17.50707931</x:v>
      </x:c>
      <x:c r="K57" s="107" t="n">
        <x:v>17.05404379</x:v>
      </x:c>
      <x:c r="L57" s="107" t="n">
        <x:v>12.790532840000004</x:v>
      </x:c>
      <x:c r="M57" s="108" t="n">
        <x:v>0.5113483509086943</x:v>
      </x:c>
      <x:c r="N57" s="108" t="n">
        <x:v>0.1125251744702636</x:v>
      </x:c>
      <x:c r="O57" s="108" t="n">
        <x:v>0.07553724250690615</x:v>
      </x:c>
      <x:c r="P57" s="9" t="str">
        <x:v>Budget</x:v>
      </x:c>
      <x:c r="Q57" s="9" t="str">
        <x:v>Budget</x:v>
      </x:c>
      <x:c r="R57" s="9" t="str">
        <x:v>2026-10</x:v>
      </x:c>
      <x:c r="S57" s="9" t="str">
        <x:v>Oct 2026</x:v>
      </x:c>
      <x:c r="T57" s="9" t="n">
        <x:v>2026</x:v>
      </x:c>
      <x:c r="U57" s="9" t="str">
        <x:v>Q4</x:v>
      </x:c>
      <x:c r="V57" s="108"/>
      <x:c r="W57" s="108"/>
    </x:row>
    <x:row r="58" ht="17" customHeight="1">
      <x:c r="A58" s="9" t="str">
        <x:v>2026-11-01</x:v>
      </x:c>
      <x:c r="B58" s="107" t="n">
        <x:v>86.92364482</x:v>
      </x:c>
      <x:c r="C58" s="107" t="n">
        <x:v>1.5465277800000001</x:v>
      </x:c>
      <x:c r="D58" s="107" t="n">
        <x:v>0.45303552</x:v>
      </x:c>
      <x:c r="E58" s="107" t="n">
        <x:v>69.09298937</x:v>
      </x:c>
      <x:c r="F58" s="107" t="n">
        <x:v>179.39495583000001</x:v>
      </x:c>
      <x:c r="G58" s="107" t="n">
        <x:v>5.34468958</x:v>
      </x:c>
      <x:c r="H58" s="107" t="n">
        <x:v>92.47131101000001</x:v>
      </x:c>
      <x:c r="I58" s="107" t="n">
        <x:v>23.37832164</x:v>
      </x:c>
      <x:c r="J58" s="107" t="n">
        <x:v>21.831793859999998</x:v>
      </x:c>
      <x:c r="K58" s="107" t="n">
        <x:v>21.37875834</x:v>
      </x:c>
      <x:c r="L58" s="107" t="n">
        <x:v>16.03406876</x:v>
      </x:c>
      <x:c r="M58" s="108" t="n">
        <x:v>0.5154621576853508</x:v>
      </x:c>
      <x:c r="N58" s="108" t="n">
        <x:v>0.13031760860742367</x:v>
      </x:c>
      <x:c r="O58" s="108" t="n">
        <x:v>0.08937859309263053</x:v>
      </x:c>
      <x:c r="P58" s="9" t="str">
        <x:v>Budget</x:v>
      </x:c>
      <x:c r="Q58" s="9" t="str">
        <x:v>Budget</x:v>
      </x:c>
      <x:c r="R58" s="9" t="str">
        <x:v>2026-11</x:v>
      </x:c>
      <x:c r="S58" s="9" t="str">
        <x:v>Nov 2026</x:v>
      </x:c>
      <x:c r="T58" s="9" t="n">
        <x:v>2026</x:v>
      </x:c>
      <x:c r="U58" s="9" t="str">
        <x:v>Q4</x:v>
      </x:c>
      <x:c r="V58" s="108"/>
      <x:c r="W58" s="108"/>
    </x:row>
    <x:row r="59" ht="17" customHeight="1">
      <x:c r="A59" s="9" t="str">
        <x:v>2026-12-01</x:v>
      </x:c>
      <x:c r="B59" s="107" t="n">
        <x:v>93.02792342000001</x:v>
      </x:c>
      <x:c r="C59" s="107" t="n">
        <x:v>1.5465277800000001</x:v>
      </x:c>
      <x:c r="D59" s="107" t="n">
        <x:v>0.45303552</x:v>
      </x:c>
      <x:c r="E59" s="107" t="n">
        <x:v>69.44006773000001</x:v>
      </x:c>
      <x:c r="F59" s="107" t="n">
        <x:v>193.14499124</x:v>
      </x:c>
      <x:c r="G59" s="107" t="n">
        <x:v>7.169359200000001</x:v>
      </x:c>
      <x:c r="H59" s="107" t="n">
        <x:v>100.11706782</x:v>
      </x:c>
      <x:c r="I59" s="107" t="n">
        <x:v>30.677000090000003</x:v>
      </x:c>
      <x:c r="J59" s="107" t="n">
        <x:v>29.130472310000002</x:v>
      </x:c>
      <x:c r="K59" s="107" t="n">
        <x:v>28.67743679</x:v>
      </x:c>
      <x:c r="L59" s="107" t="n">
        <x:v>21.508077590000003</x:v>
      </x:c>
      <x:c r="M59" s="108" t="n">
        <x:v>0.5183518722242999</x:v>
      </x:c>
      <x:c r="N59" s="108" t="n">
        <x:v>0.158828866816852</x:v>
      </x:c>
      <x:c r="O59" s="108" t="n">
        <x:v>0.11135715946821673</x:v>
      </x:c>
      <x:c r="P59" s="9" t="str">
        <x:v>Budget</x:v>
      </x:c>
      <x:c r="Q59" s="9" t="str">
        <x:v>Budget</x:v>
      </x:c>
      <x:c r="R59" s="9" t="str">
        <x:v>2026-12</x:v>
      </x:c>
      <x:c r="S59" s="9" t="str">
        <x:v>Dec 2026</x:v>
      </x:c>
      <x:c r="T59" s="9" t="n">
        <x:v>2026</x:v>
      </x:c>
      <x:c r="U59" s="9" t="str">
        <x:v>Q4</x:v>
      </x:c>
      <x:c r="V59" s="108"/>
      <x:c r="W59" s="108"/>
    </x:row>
    <x:row r="60" ht="17" customHeight="1">
      <x:c r="A60" s="9" t="str">
        <x:v>2026-01-01</x:v>
      </x:c>
      <x:c r="B60" s="107" t="n">
        <x:v>61.38625082</x:v>
      </x:c>
      <x:c r="C60" s="107" t="n">
        <x:v>1.0833333399999998</x:v>
      </x:c>
      <x:c r="D60" s="107" t="n">
        <x:v>0.50022672</x:v>
      </x:c>
      <x:c r="E60" s="107" t="n">
        <x:v>58.3695819</x:v>
      </x:c>
      <x:c r="F60" s="107" t="n">
        <x:v>124.15170402</x:v>
      </x:c>
      <x:c r="G60" s="107" t="n">
        <x:v>0.70307781</x:v>
      </x:c>
      <x:c r="H60" s="107" t="n">
        <x:v>62.765453199999996</x:v>
      </x:c>
      <x:c r="I60" s="107" t="n">
        <x:v>4.395871299999997</x:v>
      </x:c>
      <x:c r="J60" s="107" t="n">
        <x:v>3.312537959999997</x:v>
      </x:c>
      <x:c r="K60" s="107" t="n">
        <x:v>2.8123112399999974</x:v>
      </x:c>
      <x:c r="L60" s="107" t="n">
        <x:v>2.1092334299999975</x:v>
      </x:c>
      <x:c r="M60" s="108" t="n">
        <x:v>0.5055545044302324</x:v>
      </x:c>
      <x:c r="N60" s="108" t="n">
        <x:v>0.0354072570706871</x:v>
      </x:c>
      <x:c r="O60" s="108" t="n">
        <x:v>0.01698916214359985</x:v>
      </x:c>
      <x:c r="P60" s="9" t="str">
        <x:v>Forecast</x:v>
      </x:c>
      <x:c r="Q60" s="9" t="str">
        <x:v>Actual</x:v>
      </x:c>
      <x:c r="R60" s="9" t="str">
        <x:v>2026-01</x:v>
      </x:c>
      <x:c r="S60" s="9" t="str">
        <x:v>Jan 2026</x:v>
      </x:c>
      <x:c r="T60" s="9" t="n">
        <x:v>2026</x:v>
      </x:c>
      <x:c r="U60" s="9" t="str">
        <x:v>Q1</x:v>
      </x:c>
      <x:c r="V60" s="108"/>
      <x:c r="W60" s="108" t="n">
        <x:v>1</x:v>
      </x:c>
    </x:row>
    <x:row r="61" ht="17" customHeight="1">
      <x:c r="A61" s="9" t="str">
        <x:v>2026-02-01</x:v>
      </x:c>
      <x:c r="B61" s="107" t="n">
        <x:v>63.1439689</x:v>
      </x:c>
      <x:c r="C61" s="107" t="n">
        <x:v>1.0833333399999998</x:v>
      </x:c>
      <x:c r="D61" s="107" t="n">
        <x:v>0.50022672</x:v>
      </x:c>
      <x:c r="E61" s="107" t="n">
        <x:v>59.20782783</x:v>
      </x:c>
      <x:c r="F61" s="107" t="n">
        <x:v>127.34601756</x:v>
      </x:c>
      <x:c r="G61" s="107" t="n">
        <x:v>0.85266519</x:v>
      </x:c>
      <x:c r="H61" s="107" t="n">
        <x:v>64.20204866</x:v>
      </x:c>
      <x:c r="I61" s="107" t="n">
        <x:v>4.994220830000006</x:v>
      </x:c>
      <x:c r="J61" s="107" t="n">
        <x:v>3.9108874900000057</x:v>
      </x:c>
      <x:c r="K61" s="107" t="n">
        <x:v>3.410660770000006</x:v>
      </x:c>
      <x:c r="L61" s="107" t="n">
        <x:v>2.5579955800000063</x:v>
      </x:c>
      <x:c r="M61" s="108" t="n">
        <x:v>0.5041543496226786</x:v>
      </x:c>
      <x:c r="N61" s="108" t="n">
        <x:v>0.039217722907172514</x:v>
      </x:c>
      <x:c r="O61" s="108" t="n">
        <x:v>0.020086969573232142</x:v>
      </x:c>
      <x:c r="P61" s="9" t="str">
        <x:v>Forecast</x:v>
      </x:c>
      <x:c r="Q61" s="9" t="str">
        <x:v>Actual</x:v>
      </x:c>
      <x:c r="R61" s="9" t="str">
        <x:v>2026-02</x:v>
      </x:c>
      <x:c r="S61" s="9" t="str">
        <x:v>Feb 2026</x:v>
      </x:c>
      <x:c r="T61" s="9" t="n">
        <x:v>2026</x:v>
      </x:c>
      <x:c r="U61" s="9" t="str">
        <x:v>Q1</x:v>
      </x:c>
      <x:c r="V61" s="108"/>
      <x:c r="W61" s="108" t="n">
        <x:v>1</x:v>
      </x:c>
    </x:row>
    <x:row r="62" ht="17" customHeight="1">
      <x:c r="A62" s="9" t="str">
        <x:v>2026-03-01</x:v>
      </x:c>
      <x:c r="B62" s="107" t="n">
        <x:v>70.38953595999999</x:v>
      </x:c>
      <x:c r="C62" s="107" t="n">
        <x:v>1.2533333399999997</x:v>
      </x:c>
      <x:c r="D62" s="107" t="n">
        <x:v>0.50022672</x:v>
      </x:c>
      <x:c r="E62" s="107" t="n">
        <x:v>59.40138009</x:v>
      </x:c>
      <x:c r="F62" s="107" t="n">
        <x:v>140.67192072999998</x:v>
      </x:c>
      <x:c r="G62" s="107" t="n">
        <x:v>2.28186116</x:v>
      </x:c>
      <x:c r="H62" s="107" t="n">
        <x:v>70.28238477</x:v>
      </x:c>
      <x:c r="I62" s="107" t="n">
        <x:v>10.881004679999993</x:v>
      </x:c>
      <x:c r="J62" s="107" t="n">
        <x:v>9.627671339999992</x:v>
      </x:c>
      <x:c r="K62" s="107" t="n">
        <x:v>9.127444619999991</x:v>
      </x:c>
      <x:c r="L62" s="107" t="n">
        <x:v>6.845583459999991</x:v>
      </x:c>
      <x:c r="M62" s="108" t="n">
        <x:v>0.4996191450666062</x:v>
      </x:c>
      <x:c r="N62" s="108" t="n">
        <x:v>0.07735022471815504</x:v>
      </x:c>
      <x:c r="O62" s="108" t="n">
        <x:v>0.04866346762364274</x:v>
      </x:c>
      <x:c r="P62" s="9" t="str">
        <x:v>Forecast</x:v>
      </x:c>
      <x:c r="Q62" s="9" t="str">
        <x:v>Actual</x:v>
      </x:c>
      <x:c r="R62" s="9" t="str">
        <x:v>2026-03</x:v>
      </x:c>
      <x:c r="S62" s="9" t="str">
        <x:v>Mar 2026</x:v>
      </x:c>
      <x:c r="T62" s="9" t="n">
        <x:v>2026</x:v>
      </x:c>
      <x:c r="U62" s="9" t="str">
        <x:v>Q1</x:v>
      </x:c>
      <x:c r="V62" s="108"/>
      <x:c r="W62" s="108" t="n">
        <x:v>1</x:v>
      </x:c>
    </x:row>
    <x:row r="63" ht="17" customHeight="1">
      <x:c r="A63" s="9" t="str">
        <x:v>2026-04-01</x:v>
      </x:c>
      <x:c r="B63" s="107" t="n">
        <x:v>73.35911942999999</x:v>
      </x:c>
      <x:c r="C63" s="107" t="n">
        <x:v>1.2533333399999997</x:v>
      </x:c>
      <x:c r="D63" s="107" t="n">
        <x:v>0.50022672</x:v>
      </x:c>
      <x:c r="E63" s="107" t="n">
        <x:v>61.76156683</x:v>
      </x:c>
      <x:c r="F63" s="107" t="n">
        <x:v>146.83694599</x:v>
      </x:c>
      <x:c r="G63" s="107" t="n">
        <x:v>2.49067492</x:v>
      </x:c>
      <x:c r="H63" s="107" t="n">
        <x:v>73.47782656000001</x:v>
      </x:c>
      <x:c r="I63" s="107" t="n">
        <x:v>11.716259730000019</x:v>
      </x:c>
      <x:c r="J63" s="107" t="n">
        <x:v>10.46292639000002</x:v>
      </x:c>
      <x:c r="K63" s="107" t="n">
        <x:v>9.962699670000019</x:v>
      </x:c>
      <x:c r="L63" s="107" t="n">
        <x:v>7.472024750000019</x:v>
      </x:c>
      <x:c r="M63" s="108" t="n">
        <x:v>0.500404214107014</x:v>
      </x:c>
      <x:c r="N63" s="108" t="n">
        <x:v>0.07979095214087283</x:v>
      </x:c>
      <x:c r="O63" s="108" t="n">
        <x:v>0.0508865442523497</x:v>
      </x:c>
      <x:c r="P63" s="9" t="str">
        <x:v>Forecast</x:v>
      </x:c>
      <x:c r="Q63" s="9" t="str">
        <x:v>Actual</x:v>
      </x:c>
      <x:c r="R63" s="9" t="str">
        <x:v>2026-04</x:v>
      </x:c>
      <x:c r="S63" s="9" t="str">
        <x:v>Apr 2026</x:v>
      </x:c>
      <x:c r="T63" s="9" t="n">
        <x:v>2026</x:v>
      </x:c>
      <x:c r="U63" s="9" t="str">
        <x:v>Q2</x:v>
      </x:c>
      <x:c r="V63" s="108"/>
      <x:c r="W63" s="108" t="n">
        <x:v>1</x:v>
      </x:c>
    </x:row>
    <x:row r="64" ht="17" customHeight="1">
      <x:c r="A64" s="9" t="str">
        <x:v>2026-05-01</x:v>
      </x:c>
      <x:c r="B64" s="107" t="n">
        <x:v>73.56539196</x:v>
      </x:c>
      <x:c r="C64" s="107" t="n">
        <x:v>1.2533333399999997</x:v>
      </x:c>
      <x:c r="D64" s="107" t="n">
        <x:v>0.50022672</x:v>
      </x:c>
      <x:c r="E64" s="107" t="n">
        <x:v>61.7762837</x:v>
      </x:c>
      <x:c r="F64" s="107" t="n">
        <x:v>147.50381466</x:v>
      </x:c>
      <x:c r="G64" s="107" t="n">
        <x:v>2.6021447400000004</x:v>
      </x:c>
      <x:c r="H64" s="107" t="n">
        <x:v>73.9384227</x:v>
      </x:c>
      <x:c r="I64" s="107" t="n">
        <x:v>12.162139</x:v>
      </x:c>
      <x:c r="J64" s="107" t="n">
        <x:v>10.90880566</x:v>
      </x:c>
      <x:c r="K64" s="107" t="n">
        <x:v>10.40857894</x:v>
      </x:c>
      <x:c r="L64" s="107" t="n">
        <x:v>7.806434199999999</x:v>
      </x:c>
      <x:c r="M64" s="108" t="n">
        <x:v>0.501264478280985</x:v>
      </x:c>
      <x:c r="N64" s="108" t="n">
        <x:v>0.08245304725192387</x:v>
      </x:c>
      <x:c r="O64" s="108" t="n">
        <x:v>0.05292360891136291</x:v>
      </x:c>
      <x:c r="P64" s="9" t="str">
        <x:v>Forecast</x:v>
      </x:c>
      <x:c r="Q64" s="9" t="str">
        <x:v>Actual</x:v>
      </x:c>
      <x:c r="R64" s="9" t="str">
        <x:v>2026-05</x:v>
      </x:c>
      <x:c r="S64" s="9" t="str">
        <x:v>May 2026</x:v>
      </x:c>
      <x:c r="T64" s="9" t="n">
        <x:v>2026</x:v>
      </x:c>
      <x:c r="U64" s="9" t="str">
        <x:v>Q2</x:v>
      </x:c>
      <x:c r="V64" s="108"/>
      <x:c r="W64" s="108" t="n">
        <x:v>1</x:v>
      </x:c>
    </x:row>
    <x:row r="65" ht="17" customHeight="1">
      <x:c r="A65" s="9" t="str">
        <x:v>2026-06-01</x:v>
      </x:c>
      <x:c r="B65" s="107" t="n">
        <x:v>73.87165618</x:v>
      </x:c>
      <x:c r="C65" s="107" t="n">
        <x:v>1.2533333399999997</x:v>
      </x:c>
      <x:c r="D65" s="107" t="n">
        <x:v>0.50022672</x:v>
      </x:c>
      <x:c r="E65" s="107" t="n">
        <x:v>62.6870355</x:v>
      </x:c>
      <x:c r="F65" s="107" t="n">
        <x:v>149.44764777</x:v>
      </x:c>
      <x:c r="G65" s="107" t="n">
        <x:v>2.78384901</x:v>
      </x:c>
      <x:c r="H65" s="107" t="n">
        <x:v>75.57599159</x:v>
      </x:c>
      <x:c r="I65" s="107" t="n">
        <x:v>12.888956090000004</x:v>
      </x:c>
      <x:c r="J65" s="107" t="n">
        <x:v>11.635622750000003</x:v>
      </x:c>
      <x:c r="K65" s="107" t="n">
        <x:v>11.135396030000003</x:v>
      </x:c>
      <x:c r="L65" s="107" t="n">
        <x:v>8.351547020000003</x:v>
      </x:c>
      <x:c r="M65" s="108" t="n">
        <x:v>0.505702115207002</x:v>
      </x:c>
      <x:c r="N65" s="108" t="n">
        <x:v>0.08624395420285311</x:v>
      </x:c>
      <x:c r="O65" s="108" t="n">
        <x:v>0.055882759913712644</x:v>
      </x:c>
      <x:c r="P65" s="9" t="str">
        <x:v>Forecast</x:v>
      </x:c>
      <x:c r="Q65" s="9" t="str">
        <x:v>Actual</x:v>
      </x:c>
      <x:c r="R65" s="9" t="str">
        <x:v>2026-06</x:v>
      </x:c>
      <x:c r="S65" s="9" t="str">
        <x:v>Jun 2026</x:v>
      </x:c>
      <x:c r="T65" s="9" t="n">
        <x:v>2026</x:v>
      </x:c>
      <x:c r="U65" s="9" t="str">
        <x:v>Q2</x:v>
      </x:c>
      <x:c r="V65" s="108"/>
      <x:c r="W65" s="108" t="n">
        <x:v>1</x:v>
      </x:c>
    </x:row>
    <x:row r="66" ht="17" customHeight="1">
      <x:c r="A66" s="9" t="str">
        <x:v>2026-07-01</x:v>
      </x:c>
      <x:c r="B66" s="107" t="n">
        <x:v>71.32168906</x:v>
      </x:c>
      <x:c r="C66" s="107" t="n">
        <x:v>1.2533333399999997</x:v>
      </x:c>
      <x:c r="D66" s="107" t="n">
        <x:v>0.45303552</x:v>
      </x:c>
      <x:c r="E66" s="107" t="n">
        <x:v>60.91534187</x:v>
      </x:c>
      <x:c r="F66" s="107" t="n">
        <x:v>145.25930169999998</x:v>
      </x:c>
      <x:c r="G66" s="107" t="n">
        <x:v>2.82897548</x:v>
      </x:c>
      <x:c r="H66" s="107" t="n">
        <x:v>73.93761263999998</x:v>
      </x:c>
      <x:c r="I66" s="107" t="n">
        <x:v>13.022270769999988</x:v>
      </x:c>
      <x:c r="J66" s="107" t="n">
        <x:v>11.768937429999989</x:v>
      </x:c>
      <x:c r="K66" s="107" t="n">
        <x:v>11.315901909999988</x:v>
      </x:c>
      <x:c r="L66" s="107" t="n">
        <x:v>8.486926429999988</x:v>
      </x:c>
      <x:c r="M66" s="108" t="n">
        <x:v>0.5090043238174261</x:v>
      </x:c>
      <x:c r="N66" s="108" t="n">
        <x:v>0.08964844672663044</x:v>
      </x:c>
      <x:c r="O66" s="108" t="n">
        <x:v>0.05842604453329813</x:v>
      </x:c>
      <x:c r="P66" s="9" t="str">
        <x:v>Forecast</x:v>
      </x:c>
      <x:c r="Q66" s="9" t="str">
        <x:v>Forecast</x:v>
      </x:c>
      <x:c r="R66" s="9" t="str">
        <x:v>2026-07</x:v>
      </x:c>
      <x:c r="S66" s="9" t="str">
        <x:v>Jul 2026</x:v>
      </x:c>
      <x:c r="T66" s="9" t="n">
        <x:v>2026</x:v>
      </x:c>
      <x:c r="U66" s="9" t="str">
        <x:v>Q3</x:v>
      </x:c>
      <x:c r="V66" s="108"/>
      <x:c r="W66" s="108"/>
    </x:row>
    <x:row r="67" ht="17" customHeight="1">
      <x:c r="A67" s="9" t="str">
        <x:v>2026-08-01</x:v>
      </x:c>
      <x:c r="B67" s="107" t="n">
        <x:v>69.59036300999999</x:v>
      </x:c>
      <x:c r="C67" s="107" t="n">
        <x:v>1.2533333399999997</x:v>
      </x:c>
      <x:c r="D67" s="107" t="n">
        <x:v>0.45303552</x:v>
      </x:c>
      <x:c r="E67" s="107" t="n">
        <x:v>62.00165594</x:v>
      </x:c>
      <x:c r="F67" s="107" t="n">
        <x:v>141.41465324</x:v>
      </x:c>
      <x:c r="G67" s="107" t="n">
        <x:v>2.0290663600000003</x:v>
      </x:c>
      <x:c r="H67" s="107" t="n">
        <x:v>71.82429023000002</x:v>
      </x:c>
      <x:c r="I67" s="107" t="n">
        <x:v>9.822634290000021</x:v>
      </x:c>
      <x:c r="J67" s="107" t="n">
        <x:v>8.569300950000022</x:v>
      </x:c>
      <x:c r="K67" s="107" t="n">
        <x:v>8.116265430000022</x:v>
      </x:c>
      <x:c r="L67" s="107" t="n">
        <x:v>6.087199070000022</x:v>
      </x:c>
      <x:c r="M67" s="108" t="n">
        <x:v>0.5078984997976438</x:v>
      </x:c>
      <x:c r="N67" s="108" t="n">
        <x:v>0.06945980536634819</x:v>
      </x:c>
      <x:c r="O67" s="108" t="n">
        <x:v>0.043045037628945085</x:v>
      </x:c>
      <x:c r="P67" s="9" t="str">
        <x:v>Forecast</x:v>
      </x:c>
      <x:c r="Q67" s="9" t="str">
        <x:v>Forecast</x:v>
      </x:c>
      <x:c r="R67" s="9" t="str">
        <x:v>2026-08</x:v>
      </x:c>
      <x:c r="S67" s="9" t="str">
        <x:v>Aug 2026</x:v>
      </x:c>
      <x:c r="T67" s="9" t="n">
        <x:v>2026</x:v>
      </x:c>
      <x:c r="U67" s="9" t="str">
        <x:v>Q3</x:v>
      </x:c>
      <x:c r="V67" s="108"/>
      <x:c r="W67" s="108"/>
    </x:row>
    <x:row r="68" ht="17" customHeight="1">
      <x:c r="A68" s="9" t="str">
        <x:v>2026-09-01</x:v>
      </x:c>
      <x:c r="B68" s="107" t="n">
        <x:v>77.52699885</x:v>
      </x:c>
      <x:c r="C68" s="107" t="n">
        <x:v>1.2533333399999997</x:v>
      </x:c>
      <x:c r="D68" s="107" t="n">
        <x:v>0.45303552</x:v>
      </x:c>
      <x:c r="E68" s="107" t="n">
        <x:v>62.82737172</x:v>
      </x:c>
      <x:c r="F68" s="107" t="n">
        <x:v>156.14103014</x:v>
      </x:c>
      <x:c r="G68" s="107" t="n">
        <x:v>3.52007268</x:v>
      </x:c>
      <x:c r="H68" s="107" t="n">
        <x:v>78.61403128999999</x:v>
      </x:c>
      <x:c r="I68" s="107" t="n">
        <x:v>15.786659569999992</x:v>
      </x:c>
      <x:c r="J68" s="107" t="n">
        <x:v>14.533326229999993</x:v>
      </x:c>
      <x:c r="K68" s="107" t="n">
        <x:v>14.080290709999993</x:v>
      </x:c>
      <x:c r="L68" s="107" t="n">
        <x:v>10.560218029999994</x:v>
      </x:c>
      <x:c r="M68" s="108" t="n">
        <x:v>0.5034809314343108</x:v>
      </x:c>
      <x:c r="N68" s="108" t="n">
        <x:v>0.10110513268578589</x:v>
      </x:c>
      <x:c r="O68" s="108" t="n">
        <x:v>0.0676325628217736</x:v>
      </x:c>
      <x:c r="P68" s="9" t="str">
        <x:v>Forecast</x:v>
      </x:c>
      <x:c r="Q68" s="9" t="str">
        <x:v>Forecast</x:v>
      </x:c>
      <x:c r="R68" s="9" t="str">
        <x:v>2026-09</x:v>
      </x:c>
      <x:c r="S68" s="9" t="str">
        <x:v>Sep 2026</x:v>
      </x:c>
      <x:c r="T68" s="9" t="n">
        <x:v>2026</x:v>
      </x:c>
      <x:c r="U68" s="9" t="str">
        <x:v>Q3</x:v>
      </x:c>
      <x:c r="V68" s="108"/>
      <x:c r="W68" s="108"/>
    </x:row>
    <x:row r="69" ht="17" customHeight="1">
      <x:c r="A69" s="9" t="str">
        <x:v>2026-10-01</x:v>
      </x:c>
      <x:c r="B69" s="107" t="n">
        <x:v>80.32145761</x:v>
      </x:c>
      <x:c r="C69" s="107" t="n">
        <x:v>1.52208334</x:v>
      </x:c>
      <x:c r="D69" s="107" t="n">
        <x:v>0.45303552</x:v>
      </x:c>
      <x:c r="E69" s="107" t="n">
        <x:v>62.35492161</x:v>
      </x:c>
      <x:c r="F69" s="107" t="n">
        <x:v>162.19569739000002</x:v>
      </x:c>
      <x:c r="G69" s="107" t="n">
        <x:v>4.38604983</x:v>
      </x:c>
      <x:c r="H69" s="107" t="n">
        <x:v>81.87423978000001</x:v>
      </x:c>
      <x:c r="I69" s="107" t="n">
        <x:v>19.519318170000016</x:v>
      </x:c>
      <x:c r="J69" s="107" t="n">
        <x:v>17.997234830000018</x:v>
      </x:c>
      <x:c r="K69" s="107" t="n">
        <x:v>17.544199310000018</x:v>
      </x:c>
      <x:c r="L69" s="107" t="n">
        <x:v>13.158149480000016</x:v>
      </x:c>
      <x:c r="M69" s="108" t="n">
        <x:v>0.5047867551204713</x:v>
      </x:c>
      <x:c r="N69" s="108" t="n">
        <x:v>0.12034424145706998</x:v>
      </x:c>
      <x:c r="O69" s="108" t="n">
        <x:v>0.08112514506695705</x:v>
      </x:c>
      <x:c r="P69" s="9" t="str">
        <x:v>Forecast</x:v>
      </x:c>
      <x:c r="Q69" s="9" t="str">
        <x:v>Forecast</x:v>
      </x:c>
      <x:c r="R69" s="9" t="str">
        <x:v>2026-10</x:v>
      </x:c>
      <x:c r="S69" s="9" t="str">
        <x:v>Oct 2026</x:v>
      </x:c>
      <x:c r="T69" s="9" t="n">
        <x:v>2026</x:v>
      </x:c>
      <x:c r="U69" s="9" t="str">
        <x:v>Q4</x:v>
      </x:c>
      <x:c r="V69" s="108"/>
      <x:c r="W69" s="108"/>
    </x:row>
    <x:row r="70" ht="17" customHeight="1">
      <x:c r="A70" s="9" t="str">
        <x:v>2026-11-01</x:v>
      </x:c>
      <x:c r="B70" s="107" t="n">
        <x:v>83.38463512999999</x:v>
      </x:c>
      <x:c r="C70" s="107" t="n">
        <x:v>1.52208334</x:v>
      </x:c>
      <x:c r="D70" s="107" t="n">
        <x:v>0.45303552</x:v>
      </x:c>
      <x:c r="E70" s="107" t="n">
        <x:v>64.19926142</x:v>
      </x:c>
      <x:c r="F70" s="107" t="n">
        <x:v>169.69751737</x:v>
      </x:c>
      <x:c r="G70" s="107" t="n">
        <x:v>5.03462549</x:v>
      </x:c>
      <x:c r="H70" s="107" t="n">
        <x:v>86.31288224000001</x:v>
      </x:c>
      <x:c r="I70" s="107" t="n">
        <x:v>22.11362082000001</x:v>
      </x:c>
      <x:c r="J70" s="107" t="n">
        <x:v>20.591537480000007</x:v>
      </x:c>
      <x:c r="K70" s="107" t="n">
        <x:v>20.13850196000001</x:v>
      </x:c>
      <x:c r="L70" s="107" t="n">
        <x:v>15.103876470000008</x:v>
      </x:c>
      <x:c r="M70" s="108" t="n">
        <x:v>0.5086278431039607</x:v>
      </x:c>
      <x:c r="N70" s="108" t="n">
        <x:v>0.13031198784001402</x:v>
      </x:c>
      <x:c r="O70" s="108" t="n">
        <x:v>0.08900469909096118</x:v>
      </x:c>
      <x:c r="P70" s="9" t="str">
        <x:v>Forecast</x:v>
      </x:c>
      <x:c r="Q70" s="9" t="str">
        <x:v>Forecast</x:v>
      </x:c>
      <x:c r="R70" s="9" t="str">
        <x:v>2026-11</x:v>
      </x:c>
      <x:c r="S70" s="9" t="str">
        <x:v>Nov 2026</x:v>
      </x:c>
      <x:c r="T70" s="9" t="n">
        <x:v>2026</x:v>
      </x:c>
      <x:c r="U70" s="9" t="str">
        <x:v>Q4</x:v>
      </x:c>
      <x:c r="V70" s="108"/>
      <x:c r="W70" s="108"/>
    </x:row>
    <x:row r="71" ht="17" customHeight="1">
      <x:c r="A71" s="9" t="str">
        <x:v>2026-12-01</x:v>
      </x:c>
      <x:c r="B71" s="107" t="n">
        <x:v>88.03628561</x:v>
      </x:c>
      <x:c r="C71" s="107" t="n">
        <x:v>1.52208334</x:v>
      </x:c>
      <x:c r="D71" s="107" t="n">
        <x:v>0.45303552</x:v>
      </x:c>
      <x:c r="E71" s="107" t="n">
        <x:v>65.03154547</x:v>
      </x:c>
      <x:c r="F71" s="107" t="n">
        <x:v>180.14592722999998</x:v>
      </x:c>
      <x:c r="G71" s="107" t="n">
        <x:v>6.27574432</x:v>
      </x:c>
      <x:c r="H71" s="107" t="n">
        <x:v>92.10964161999999</x:v>
      </x:c>
      <x:c r="I71" s="107" t="n">
        <x:v>27.07809614999999</x:v>
      </x:c>
      <x:c r="J71" s="107" t="n">
        <x:v>25.55601280999999</x:v>
      </x:c>
      <x:c r="K71" s="107" t="n">
        <x:v>25.10297728999999</x:v>
      </x:c>
      <x:c r="L71" s="107" t="n">
        <x:v>18.82723296999999</x:v>
      </x:c>
      <x:c r="M71" s="108" t="n">
        <x:v>0.5113057121874295</x:v>
      </x:c>
      <x:c r="N71" s="108" t="n">
        <x:v>0.1503120085275546</x:v>
      </x:c>
      <x:c r="O71" s="108" t="n">
        <x:v>0.10451101093150143</x:v>
      </x:c>
      <x:c r="P71" s="9" t="str">
        <x:v>Forecast</x:v>
      </x:c>
      <x:c r="Q71" s="9" t="str">
        <x:v>Forecast</x:v>
      </x:c>
      <x:c r="R71" s="9" t="str">
        <x:v>2026-12</x:v>
      </x:c>
      <x:c r="S71" s="9" t="str">
        <x:v>Dec 2026</x:v>
      </x:c>
      <x:c r="T71" s="9" t="n">
        <x:v>2026</x:v>
      </x:c>
      <x:c r="U71" s="9" t="str">
        <x:v>Q4</x:v>
      </x:c>
      <x:c r="V71" s="108"/>
      <x:c r="W71" s="108"/>
    </x:row>
    <x:row r="72" ht="17" customHeight="1">
      <x:c r="A72" s="9" t="str">
        <x:v>2027-01-01</x:v>
      </x:c>
      <x:c r="B72" s="107" t="n">
        <x:v>68.69236733</x:v>
      </x:c>
      <x:c r="C72" s="107" t="n">
        <x:v>1.76652778</x:v>
      </x:c>
      <x:c r="D72" s="107" t="n">
        <x:v>0.45303552</x:v>
      </x:c>
      <x:c r="E72" s="107" t="n">
        <x:v>63.065718509999996</x:v>
      </x:c>
      <x:c r="F72" s="107" t="n">
        <x:v>140.24997832</x:v>
      </x:c>
      <x:c r="G72" s="107" t="n">
        <x:v>1.56808229</x:v>
      </x:c>
      <x:c r="H72" s="107" t="n">
        <x:v>71.55761099</x:v>
      </x:c>
      <x:c r="I72" s="107" t="n">
        <x:v>8.491892479999997</x:v>
      </x:c>
      <x:c r="J72" s="107" t="n">
        <x:v>6.7253646999999965</x:v>
      </x:c>
      <x:c r="K72" s="107" t="n">
        <x:v>6.272329179999996</x:v>
      </x:c>
      <x:c r="L72" s="107" t="n">
        <x:v>4.704246889999996</x:v>
      </x:c>
      <x:c r="M72" s="108" t="n">
        <x:v>0.5102147739854281</x:v>
      </x:c>
      <x:c r="N72" s="108" t="n">
        <x:v>0.060548262336444385</x:v>
      </x:c>
      <x:c r="O72" s="108" t="n">
        <x:v>0.03354187249331759</x:v>
      </x:c>
      <x:c r="P72" s="9" t="str">
        <x:v>Forecast</x:v>
      </x:c>
      <x:c r="Q72" s="9" t="str">
        <x:v>Forecast</x:v>
      </x:c>
      <x:c r="R72" s="9" t="str">
        <x:v>2027-01</x:v>
      </x:c>
      <x:c r="S72" s="9" t="str">
        <x:v>Jan 2027</x:v>
      </x:c>
      <x:c r="T72" s="9" t="n">
        <x:v>2027</x:v>
      </x:c>
      <x:c r="U72" s="9" t="str">
        <x:v>Q1</x:v>
      </x:c>
      <x:c r="V72" s="108" t="n">
        <x:v>0.12966615663532632</x:v>
      </x:c>
      <x:c r="W72" s="108"/>
    </x:row>
    <x:row r="73" ht="17" customHeight="1">
      <x:c r="A73" s="9" t="str">
        <x:v>2027-02-01</x:v>
      </x:c>
      <x:c r="B73" s="107" t="n">
        <x:v>71.05763510999999</x:v>
      </x:c>
      <x:c r="C73" s="107" t="n">
        <x:v>1.76652778</x:v>
      </x:c>
      <x:c r="D73" s="107" t="n">
        <x:v>0.45303552</x:v>
      </x:c>
      <x:c r="E73" s="107" t="n">
        <x:v>64.55395927</x:v>
      </x:c>
      <x:c r="F73" s="107" t="n">
        <x:v>144.72670875</x:v>
      </x:c>
      <x:c r="G73" s="107" t="n">
        <x:v>1.72388777</x:v>
      </x:c>
      <x:c r="H73" s="107" t="n">
        <x:v>73.66907364000001</x:v>
      </x:c>
      <x:c r="I73" s="107" t="n">
        <x:v>9.115114370000004</x:v>
      </x:c>
      <x:c r="J73" s="107" t="n">
        <x:v>7.3485865900000045</x:v>
      </x:c>
      <x:c r="K73" s="107" t="n">
        <x:v>6.895551070000004</x:v>
      </x:c>
      <x:c r="L73" s="107" t="n">
        <x:v>5.171663300000004</x:v>
      </x:c>
      <x:c r="M73" s="108" t="n">
        <x:v>0.5090219647518931</x:v>
      </x:c>
      <x:c r="N73" s="108" t="n">
        <x:v>0.06298156331147829</x:v>
      </x:c>
      <x:c r="O73" s="108" t="n">
        <x:v>0.03573399370902231</x:v>
      </x:c>
      <x:c r="P73" s="9" t="str">
        <x:v>Forecast</x:v>
      </x:c>
      <x:c r="Q73" s="9" t="str">
        <x:v>Forecast</x:v>
      </x:c>
      <x:c r="R73" s="9" t="str">
        <x:v>2027-02</x:v>
      </x:c>
      <x:c r="S73" s="9" t="str">
        <x:v>Feb 2027</x:v>
      </x:c>
      <x:c r="T73" s="9" t="n">
        <x:v>2027</x:v>
      </x:c>
      <x:c r="U73" s="9" t="str">
        <x:v>Q1</x:v>
      </x:c>
      <x:c r="V73" s="108" t="n">
        <x:v>0.13648397902832698</x:v>
      </x:c>
      <x:c r="W73" s="108"/>
    </x:row>
    <x:row r="74" ht="17" customHeight="1">
      <x:c r="A74" s="9" t="str">
        <x:v>2027-03-01</x:v>
      </x:c>
      <x:c r="B74" s="107" t="n">
        <x:v>77.52786085</x:v>
      </x:c>
      <x:c r="C74" s="107" t="n">
        <x:v>1.9925694500000002</x:v>
      </x:c>
      <x:c r="D74" s="107" t="n">
        <x:v>0.45303552</x:v>
      </x:c>
      <x:c r="E74" s="107" t="n">
        <x:v>65.34264619</x:v>
      </x:c>
      <x:c r="F74" s="107" t="n">
        <x:v>157.2698094</x:v>
      </x:c>
      <x:c r="G74" s="107" t="n">
        <x:v>2.9884243500000003</x:v>
      </x:c>
      <x:c r="H74" s="107" t="n">
        <x:v>79.74194855000002</x:v>
      </x:c>
      <x:c r="I74" s="107" t="n">
        <x:v>14.399302360000014</x:v>
      </x:c>
      <x:c r="J74" s="107" t="n">
        <x:v>12.406732910000015</x:v>
      </x:c>
      <x:c r="K74" s="107" t="n">
        <x:v>11.953697390000016</x:v>
      </x:c>
      <x:c r="L74" s="107" t="n">
        <x:v>8.965273040000016</x:v>
      </x:c>
      <x:c r="M74" s="108" t="n">
        <x:v>0.5070391377354846</x:v>
      </x:c>
      <x:c r="N74" s="108" t="n">
        <x:v>0.0915579564503498</x:v>
      </x:c>
      <x:c r="O74" s="108" t="n">
        <x:v>0.05700568388938364</x:v>
      </x:c>
      <x:c r="P74" s="9" t="str">
        <x:v>Forecast</x:v>
      </x:c>
      <x:c r="Q74" s="9" t="str">
        <x:v>Forecast</x:v>
      </x:c>
      <x:c r="R74" s="9" t="str">
        <x:v>2027-03</x:v>
      </x:c>
      <x:c r="S74" s="9" t="str">
        <x:v>Mar 2027</x:v>
      </x:c>
      <x:c r="T74" s="9" t="n">
        <x:v>2027</x:v>
      </x:c>
      <x:c r="U74" s="9" t="str">
        <x:v>Q1</x:v>
      </x:c>
      <x:c r="V74" s="108" t="n">
        <x:v>0.11799006215218544</x:v>
      </x:c>
      <x:c r="W74" s="108"/>
    </x:row>
    <x:row r="75" ht="17" customHeight="1">
      <x:c r="A75" s="9" t="str">
        <x:v>2027-04-01</x:v>
      </x:c>
      <x:c r="B75" s="107" t="n">
        <x:v>80.0181836</x:v>
      </x:c>
      <x:c r="C75" s="107" t="n">
        <x:v>1.9925694500000002</x:v>
      </x:c>
      <x:c r="D75" s="107" t="n">
        <x:v>0.45303552</x:v>
      </x:c>
      <x:c r="E75" s="107" t="n">
        <x:v>70.07121115000001</x:v>
      </x:c>
      <x:c r="F75" s="107" t="n">
        <x:v>162.37923924</x:v>
      </x:c>
      <x:c r="G75" s="107" t="n">
        <x:v>2.46105988</x:v>
      </x:c>
      <x:c r="H75" s="107" t="n">
        <x:v>82.36105564000002</x:v>
      </x:c>
      <x:c r="I75" s="107" t="n">
        <x:v>12.289844490000009</x:v>
      </x:c>
      <x:c r="J75" s="107" t="n">
        <x:v>10.29727504000001</x:v>
      </x:c>
      <x:c r="K75" s="107" t="n">
        <x:v>9.844239520000011</x:v>
      </x:c>
      <x:c r="L75" s="107" t="n">
        <x:v>7.3831796400000105</x:v>
      </x:c>
      <x:c r="M75" s="108" t="n">
        <x:v>0.5072141982280666</x:v>
      </x:c>
      <x:c r="N75" s="108" t="n">
        <x:v>0.07568605782070056</x:v>
      </x:c>
      <x:c r="O75" s="108" t="n">
        <x:v>0.04546874141396556</x:v>
      </x:c>
      <x:c r="P75" s="9" t="str">
        <x:v>Forecast</x:v>
      </x:c>
      <x:c r="Q75" s="9" t="str">
        <x:v>Forecast</x:v>
      </x:c>
      <x:c r="R75" s="9" t="str">
        <x:v>2027-04</x:v>
      </x:c>
      <x:c r="S75" s="9" t="str">
        <x:v>Apr 2027</x:v>
      </x:c>
      <x:c r="T75" s="9" t="n">
        <x:v>2027</x:v>
      </x:c>
      <x:c r="U75" s="9" t="str">
        <x:v>Q2</x:v>
      </x:c>
      <x:c r="V75" s="108" t="n">
        <x:v>0.10584729303113183</x:v>
      </x:c>
      <x:c r="W75" s="108"/>
    </x:row>
    <x:row r="76" ht="17" customHeight="1">
      <x:c r="A76" s="9" t="str">
        <x:v>2027-05-01</x:v>
      </x:c>
      <x:c r="B76" s="107" t="n">
        <x:v>80.23389942</x:v>
      </x:c>
      <x:c r="C76" s="107" t="n">
        <x:v>1.9925694500000002</x:v>
      </x:c>
      <x:c r="D76" s="107" t="n">
        <x:v>0.45303552</x:v>
      </x:c>
      <x:c r="E76" s="107" t="n">
        <x:v>70.4309175</x:v>
      </x:c>
      <x:c r="F76" s="107" t="n">
        <x:v>163.55759287</x:v>
      </x:c>
      <x:c r="G76" s="107" t="n">
        <x:v>2.61179275</x:v>
      </x:c>
      <x:c r="H76" s="107" t="n">
        <x:v>83.32369345000001</x:v>
      </x:c>
      <x:c r="I76" s="107" t="n">
        <x:v>12.892775950000003</x:v>
      </x:c>
      <x:c r="J76" s="107" t="n">
        <x:v>10.900206500000003</x:v>
      </x:c>
      <x:c r="K76" s="107" t="n">
        <x:v>10.447170980000005</x:v>
      </x:c>
      <x:c r="L76" s="107" t="n">
        <x:v>7.835378230000004</x:v>
      </x:c>
      <x:c r="M76" s="108" t="n">
        <x:v>0.5094455841999822</x:v>
      </x:c>
      <x:c r="N76" s="108" t="n">
        <x:v>0.07882713192194954</x:v>
      </x:c>
      <x:c r="O76" s="108" t="n">
        <x:v>0.04790592776837804</x:v>
      </x:c>
      <x:c r="P76" s="9" t="str">
        <x:v>Forecast</x:v>
      </x:c>
      <x:c r="Q76" s="9" t="str">
        <x:v>Forecast</x:v>
      </x:c>
      <x:c r="R76" s="9" t="str">
        <x:v>2027-05</x:v>
      </x:c>
      <x:c r="S76" s="9" t="str">
        <x:v>May 2027</x:v>
      </x:c>
      <x:c r="T76" s="9" t="n">
        <x:v>2027</x:v>
      </x:c>
      <x:c r="U76" s="9" t="str">
        <x:v>Q2</x:v>
      </x:c>
      <x:c r="V76" s="108" t="n">
        <x:v>0.10883635956808546</x:v>
      </x:c>
      <x:c r="W76" s="108"/>
    </x:row>
    <x:row r="77" ht="17" customHeight="1">
      <x:c r="A77" s="9" t="str">
        <x:v>2027-06-01</x:v>
      </x:c>
      <x:c r="B77" s="107" t="n">
        <x:v>81.02160728</x:v>
      </x:c>
      <x:c r="C77" s="107" t="n">
        <x:v>1.82277778</x:v>
      </x:c>
      <x:c r="D77" s="107" t="n">
        <x:v>0.45303552</x:v>
      </x:c>
      <x:c r="E77" s="107" t="n">
        <x:v>70.83848028</x:v>
      </x:c>
      <x:c r="F77" s="107" t="n">
        <x:v>165.88741156999998</x:v>
      </x:c>
      <x:c r="G77" s="107" t="n">
        <x:v>2.93787768</x:v>
      </x:c>
      <x:c r="H77" s="107" t="n">
        <x:v>84.86580428999999</x:v>
      </x:c>
      <x:c r="I77" s="107" t="n">
        <x:v>14.02732400999999</x:v>
      </x:c>
      <x:c r="J77" s="107" t="n">
        <x:v>12.204546229999991</x:v>
      </x:c>
      <x:c r="K77" s="107" t="n">
        <x:v>11.751510709999991</x:v>
      </x:c>
      <x:c r="L77" s="107" t="n">
        <x:v>8.813633029999991</x:v>
      </x:c>
      <x:c r="M77" s="108" t="n">
        <x:v>0.5115867653055092</x:v>
      </x:c>
      <x:c r="N77" s="108" t="n">
        <x:v>0.08455930367013316</x:v>
      </x:c>
      <x:c r="O77" s="108" t="n">
        <x:v>0.05313021010205393</x:v>
      </x:c>
      <x:c r="P77" s="9" t="str">
        <x:v>Forecast</x:v>
      </x:c>
      <x:c r="Q77" s="9" t="str">
        <x:v>Forecast</x:v>
      </x:c>
      <x:c r="R77" s="9" t="str">
        <x:v>2027-06</x:v>
      </x:c>
      <x:c r="S77" s="9" t="str">
        <x:v>Jun 2027</x:v>
      </x:c>
      <x:c r="T77" s="9" t="n">
        <x:v>2027</x:v>
      </x:c>
      <x:c r="U77" s="9" t="str">
        <x:v>Q2</x:v>
      </x:c>
      <x:c r="V77" s="108" t="n">
        <x:v>0.11000349651070307</x:v>
      </x:c>
      <x:c r="W77" s="108"/>
    </x:row>
  </x:sheetData>
  <x:mergeCells>
    <x:mergeCell ref="A1:W2"/>
    <x:mergeCell ref="A3:W3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20" hidden="0" customWidth="1"/>
    <x:col min="11" max="11" width="14" hidden="0" customWidth="1"/>
  </x:cols>
  <x:sheetData>
    <x:row r="1" ht="25" customHeight="1">
      <x:c r="A1" s="3" t="str">
        <x:v>Scenario Data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5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3" ht="25" customHeight="1">
      <x:c r="A3" s="6" t="str">
        <x:v>Base, Upside, Downside and Stress decision outputs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</x:row>
    <x:row r="5" ht="17" customHeight="1">
      <x:c r="A5" s="13" t="str">
        <x:v>Scenario</x:v>
      </x:c>
      <x:c r="B5" s="13" t="str">
        <x:v>RevenueTRY</x:v>
      </x:c>
      <x:c r="C5" s="13" t="str">
        <x:v>GrossProfitTRY</x:v>
      </x:c>
      <x:c r="D5" s="13" t="str">
        <x:v>EBITDATRY</x:v>
      </x:c>
      <x:c r="E5" s="13" t="str">
        <x:v>NetIncomeTRY</x:v>
      </x:c>
      <x:c r="F5" s="13" t="str">
        <x:v>GrossMarginPct</x:v>
      </x:c>
      <x:c r="G5" s="13" t="str">
        <x:v>EBITDAMarginPct</x:v>
      </x:c>
      <x:c r="H5" s="13" t="str">
        <x:v>EndingCashTRY</x:v>
      </x:c>
      <x:c r="I5" s="13" t="str">
        <x:v>MinimumCashTRY</x:v>
      </x:c>
      <x:c r="J5" s="13" t="str">
        <x:v>CashConversionCycleDays</x:v>
      </x:c>
      <x:c r="K5" s="13" t="str">
        <x:v>ScenarioOrder</x:v>
      </x:c>
    </x:row>
    <x:row r="6" ht="17" customHeight="1">
      <x:c r="A6" s="9" t="str">
        <x:v>Upside</x:v>
      </x:c>
      <x:c r="B6" s="107" t="n">
        <x:v>1876.74904924</x:v>
      </x:c>
      <x:c r="C6" s="107" t="n">
        <x:v>956.22283445</x:v>
      </x:c>
      <x:c r="D6" s="107" t="n">
        <x:v>206.25580812</x:v>
      </x:c>
      <x:c r="E6" s="107" t="n">
        <x:v>138.77248843</x:v>
      </x:c>
      <x:c r="F6" s="108" t="n">
        <x:v>0.50951</x:v>
      </x:c>
      <x:c r="G6" s="108" t="n">
        <x:v>0.109901</x:v>
      </x:c>
      <x:c r="H6" s="107" t="n">
        <x:v>293.28697947</x:v>
      </x:c>
      <x:c r="I6" s="107" t="n">
        <x:v>274.20172336</x:v>
      </x:c>
      <x:c r="J6" s="277" t="n">
        <x:v>36.85</x:v>
      </x:c>
      <x:c r="K6" s="9" t="n">
        <x:v>1</x:v>
      </x:c>
    </x:row>
    <x:row r="7" ht="17" customHeight="1">
      <x:c r="A7" s="9" t="str">
        <x:v>Base</x:v>
      </x:c>
      <x:c r="B7" s="107" t="n">
        <x:v>1790.8121778</x:v>
      </x:c>
      <x:c r="C7" s="107" t="n">
        <x:v>904.91482528</x:v>
      </x:c>
      <x:c r="D7" s="107" t="n">
        <x:v>164.38105140000002</x:v>
      </x:c>
      <x:c r="E7" s="107" t="n">
        <x:v>107.36642089</x:v>
      </x:c>
      <x:c r="F7" s="108" t="n">
        <x:v>0.50531</x:v>
      </x:c>
      <x:c r="G7" s="108" t="n">
        <x:v>0.091791</x:v>
      </x:c>
      <x:c r="H7" s="107" t="n">
        <x:v>245.62902581</x:v>
      </x:c>
      <x:c r="I7" s="107" t="n">
        <x:v>236.30381912</x:v>
      </x:c>
      <x:c r="J7" s="277" t="n">
        <x:v>45.85</x:v>
      </x:c>
      <x:c r="K7" s="9" t="n">
        <x:v>2</x:v>
      </x:c>
    </x:row>
    <x:row r="8" ht="17" customHeight="1">
      <x:c r="A8" s="9" t="str">
        <x:v>Downside</x:v>
      </x:c>
      <x:c r="B8" s="107" t="n">
        <x:v>1695.32676509</x:v>
      </x:c>
      <x:c r="C8" s="107" t="n">
        <x:v>845.86847334</x:v>
      </x:c>
      <x:c r="D8" s="107" t="n">
        <x:v>118.54125289</x:v>
      </x:c>
      <x:c r="E8" s="107" t="n">
        <x:v>72.98657201</x:v>
      </x:c>
      <x:c r="F8" s="108" t="n">
        <x:v>0.498941</x:v>
      </x:c>
      <x:c r="G8" s="108" t="n">
        <x:v>0.069922</x:v>
      </x:c>
      <x:c r="H8" s="107" t="n">
        <x:v>185.60080772</x:v>
      </x:c>
      <x:c r="I8" s="107" t="n">
        <x:v>183.39676246000002</x:v>
      </x:c>
      <x:c r="J8" s="277" t="n">
        <x:v>59.85</x:v>
      </x:c>
      <x:c r="K8" s="9" t="n">
        <x:v>3</x:v>
      </x:c>
    </x:row>
    <x:row r="9" ht="17" customHeight="1">
      <x:c r="A9" s="9" t="str">
        <x:v>Stress</x:v>
      </x:c>
      <x:c r="B9" s="107" t="n">
        <x:v>1599.84135239</x:v>
      </x:c>
      <x:c r="C9" s="107" t="n">
        <x:v>783.5308514</x:v>
      </x:c>
      <x:c r="D9" s="107" t="n">
        <x:v>71.29683487</x:v>
      </x:c>
      <x:c r="E9" s="107" t="n">
        <x:v>35.35557557</x:v>
      </x:c>
      <x:c r="F9" s="108" t="n">
        <x:v>0.489755</x:v>
      </x:c>
      <x:c r="G9" s="108" t="n">
        <x:v>0.044565</x:v>
      </x:c>
      <x:c r="H9" s="107" t="n">
        <x:v>115.87768392</x:v>
      </x:c>
      <x:c r="I9" s="107" t="n">
        <x:v>115.87768392</x:v>
      </x:c>
      <x:c r="J9" s="277" t="n">
        <x:v>77.85</x:v>
      </x:c>
      <x:c r="K9" s="9" t="n">
        <x:v>4</x:v>
      </x:c>
    </x:row>
  </x:sheetData>
  <x:mergeCells>
    <x:mergeCell ref="A1:K2"/>
    <x:mergeCell ref="A3:K3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25" customHeight="1">
      <x:c r="A1" s="3" t="str">
        <x:v>Cash Data</x:v>
      </x:c>
      <x:c r="B1" s="3"/>
      <x:c r="C1" s="3"/>
      <x:c r="D1" s="3"/>
      <x:c r="E1" s="3"/>
      <x:c r="F1" s="3"/>
      <x:c r="G1" s="3"/>
      <x:c r="H1" s="3"/>
    </x:row>
    <x:row r="2" ht="25" customHeight="1">
      <x:c r="A2" s="3"/>
      <x:c r="B2" s="3"/>
      <x:c r="C2" s="3"/>
      <x:c r="D2" s="3"/>
      <x:c r="E2" s="3"/>
      <x:c r="F2" s="3"/>
      <x:c r="G2" s="3"/>
      <x:c r="H2" s="3"/>
    </x:row>
    <x:row r="3" ht="25" customHeight="1">
      <x:c r="A3" s="6" t="str">
        <x:v>Cash roll-forward source by planning version</x:v>
      </x:c>
      <x:c r="B3" s="6"/>
      <x:c r="C3" s="6"/>
      <x:c r="D3" s="6"/>
      <x:c r="E3" s="6"/>
      <x:c r="F3" s="6"/>
      <x:c r="G3" s="6"/>
      <x:c r="H3" s="6"/>
    </x:row>
    <x:row r="5" ht="17" customHeight="1">
      <x:c r="A5" s="13" t="str">
        <x:v>Month</x:v>
      </x:c>
      <x:c r="B5" s="13" t="str">
        <x:v>Version</x:v>
      </x:c>
      <x:c r="C5" s="13" t="str">
        <x:v>BeginningCashTRY</x:v>
      </x:c>
      <x:c r="D5" s="13" t="str">
        <x:v>CashFromOperationsTRY</x:v>
      </x:c>
      <x:c r="E5" s="13" t="str">
        <x:v>CapitalExpenditureTRY</x:v>
      </x:c>
      <x:c r="F5" s="13" t="str">
        <x:v>FinancingCashFlowTRY</x:v>
      </x:c>
      <x:c r="G5" s="13" t="str">
        <x:v>NetCashFlowTRY</x:v>
      </x:c>
      <x:c r="H5" s="13" t="str">
        <x:v>EndingCashTRY</x:v>
      </x:c>
    </x:row>
    <x:row r="6" ht="17" customHeight="1">
      <x:c r="A6" s="9" t="str">
        <x:v>2023-01-01</x:v>
      </x:c>
      <x:c r="B6" s="9" t="str">
        <x:v>Actual</x:v>
      </x:c>
      <x:c r="C6" s="107" t="n">
        <x:v>52</x:v>
      </x:c>
      <x:c r="D6" s="107" t="n">
        <x:v>1.13581657</x:v>
      </x:c>
      <x:c r="E6" s="107" t="n">
        <x:v>0</x:v>
      </x:c>
      <x:c r="F6" s="107" t="n">
        <x:v>0</x:v>
      </x:c>
      <x:c r="G6" s="107" t="n">
        <x:v>1.13581657</x:v>
      </x:c>
      <x:c r="H6" s="107" t="n">
        <x:v>53.13581657</x:v>
      </x:c>
    </x:row>
    <x:row r="7" ht="17" customHeight="1">
      <x:c r="A7" s="9" t="str">
        <x:v>2023-02-01</x:v>
      </x:c>
      <x:c r="B7" s="9" t="str">
        <x:v>Actual</x:v>
      </x:c>
      <x:c r="C7" s="107" t="n">
        <x:v>53.13581657</x:v>
      </x:c>
      <x:c r="D7" s="107" t="n">
        <x:v>-16.35988458</x:v>
      </x:c>
      <x:c r="E7" s="107" t="n">
        <x:v>1.63</x:v>
      </x:c>
      <x:c r="F7" s="107" t="n">
        <x:v>0</x:v>
      </x:c>
      <x:c r="G7" s="107" t="n">
        <x:v>-17.98988458</x:v>
      </x:c>
      <x:c r="H7" s="107" t="n">
        <x:v>35.14593199</x:v>
      </x:c>
    </x:row>
    <x:row r="8" ht="17" customHeight="1">
      <x:c r="A8" s="9" t="str">
        <x:v>2023-03-01</x:v>
      </x:c>
      <x:c r="B8" s="9" t="str">
        <x:v>Actual</x:v>
      </x:c>
      <x:c r="C8" s="107" t="n">
        <x:v>35.14593199</x:v>
      </x:c>
      <x:c r="D8" s="107" t="n">
        <x:v>7.43388454</x:v>
      </x:c>
      <x:c r="E8" s="107" t="n">
        <x:v>1.63</x:v>
      </x:c>
      <x:c r="F8" s="107" t="n">
        <x:v>-2</x:v>
      </x:c>
      <x:c r="G8" s="107" t="n">
        <x:v>3.80388454</x:v>
      </x:c>
      <x:c r="H8" s="107" t="n">
        <x:v>38.94981653</x:v>
      </x:c>
    </x:row>
    <x:row r="9" ht="17" customHeight="1">
      <x:c r="A9" s="9" t="str">
        <x:v>2023-04-01</x:v>
      </x:c>
      <x:c r="B9" s="9" t="str">
        <x:v>Actual</x:v>
      </x:c>
      <x:c r="C9" s="107" t="n">
        <x:v>38.94981653</x:v>
      </x:c>
      <x:c r="D9" s="107" t="n">
        <x:v>-5.55963753</x:v>
      </x:c>
      <x:c r="E9" s="107" t="n">
        <x:v>1.63</x:v>
      </x:c>
      <x:c r="F9" s="107" t="n">
        <x:v>0</x:v>
      </x:c>
      <x:c r="G9" s="107" t="n">
        <x:v>-7.189637530000001</x:v>
      </x:c>
      <x:c r="H9" s="107" t="n">
        <x:v>31.760179</x:v>
      </x:c>
    </x:row>
    <x:row r="10" ht="17" customHeight="1">
      <x:c r="A10" s="9" t="str">
        <x:v>2023-05-01</x:v>
      </x:c>
      <x:c r="B10" s="9" t="str">
        <x:v>Actual</x:v>
      </x:c>
      <x:c r="C10" s="107" t="n">
        <x:v>31.760179</x:v>
      </x:c>
      <x:c r="D10" s="107" t="n">
        <x:v>8.11300059</x:v>
      </x:c>
      <x:c r="E10" s="107" t="n">
        <x:v>2.705</x:v>
      </x:c>
      <x:c r="F10" s="107" t="n">
        <x:v>0</x:v>
      </x:c>
      <x:c r="G10" s="107" t="n">
        <x:v>5.408000589999999</x:v>
      </x:c>
      <x:c r="H10" s="107" t="n">
        <x:v>37.16817959</x:v>
      </x:c>
    </x:row>
    <x:row r="11" ht="17" customHeight="1">
      <x:c r="A11" s="9" t="str">
        <x:v>2023-06-01</x:v>
      </x:c>
      <x:c r="B11" s="9" t="str">
        <x:v>Actual</x:v>
      </x:c>
      <x:c r="C11" s="107" t="n">
        <x:v>37.16817959</x:v>
      </x:c>
      <x:c r="D11" s="107" t="n">
        <x:v>0.20957442</x:v>
      </x:c>
      <x:c r="E11" s="107" t="n">
        <x:v>2.705</x:v>
      </x:c>
      <x:c r="F11" s="107" t="n">
        <x:v>-2</x:v>
      </x:c>
      <x:c r="G11" s="107" t="n">
        <x:v>-4.49542558</x:v>
      </x:c>
      <x:c r="H11" s="107" t="n">
        <x:v>32.67275401</x:v>
      </x:c>
    </x:row>
    <x:row r="12" ht="17" customHeight="1">
      <x:c r="A12" s="9" t="str">
        <x:v>2023-07-01</x:v>
      </x:c>
      <x:c r="B12" s="9" t="str">
        <x:v>Actual</x:v>
      </x:c>
      <x:c r="C12" s="107" t="n">
        <x:v>32.67275401</x:v>
      </x:c>
      <x:c r="D12" s="107" t="n">
        <x:v>14.66047292</x:v>
      </x:c>
      <x:c r="E12" s="107" t="n">
        <x:v>1.075</x:v>
      </x:c>
      <x:c r="F12" s="107" t="n">
        <x:v>0</x:v>
      </x:c>
      <x:c r="G12" s="107" t="n">
        <x:v>13.585472919999999</x:v>
      </x:c>
      <x:c r="H12" s="107" t="n">
        <x:v>46.25822693</x:v>
      </x:c>
    </x:row>
    <x:row r="13" ht="17" customHeight="1">
      <x:c r="A13" s="9" t="str">
        <x:v>2023-08-01</x:v>
      </x:c>
      <x:c r="B13" s="9" t="str">
        <x:v>Actual</x:v>
      </x:c>
      <x:c r="C13" s="107" t="n">
        <x:v>46.25822693</x:v>
      </x:c>
      <x:c r="D13" s="107" t="n">
        <x:v>11.82780048</x:v>
      </x:c>
      <x:c r="E13" s="107" t="n">
        <x:v>1.075</x:v>
      </x:c>
      <x:c r="F13" s="107" t="n">
        <x:v>0</x:v>
      </x:c>
      <x:c r="G13" s="107" t="n">
        <x:v>10.752800480000001</x:v>
      </x:c>
      <x:c r="H13" s="107" t="n">
        <x:v>57.01102741</x:v>
      </x:c>
    </x:row>
    <x:row r="14" ht="17" customHeight="1">
      <x:c r="A14" s="9" t="str">
        <x:v>2023-09-01</x:v>
      </x:c>
      <x:c r="B14" s="9" t="str">
        <x:v>Actual</x:v>
      </x:c>
      <x:c r="C14" s="107" t="n">
        <x:v>57.01102741</x:v>
      </x:c>
      <x:c r="D14" s="107" t="n">
        <x:v>-14.12967341</x:v>
      </x:c>
      <x:c r="E14" s="107" t="n">
        <x:v>1.075</x:v>
      </x:c>
      <x:c r="F14" s="107" t="n">
        <x:v>-2</x:v>
      </x:c>
      <x:c r="G14" s="107" t="n">
        <x:v>-17.20467341</x:v>
      </x:c>
      <x:c r="H14" s="107" t="n">
        <x:v>39.806354</x:v>
      </x:c>
    </x:row>
    <x:row r="15" ht="17" customHeight="1">
      <x:c r="A15" s="9" t="str">
        <x:v>2023-10-01</x:v>
      </x:c>
      <x:c r="B15" s="9" t="str">
        <x:v>Actual</x:v>
      </x:c>
      <x:c r="C15" s="107" t="n">
        <x:v>39.806354</x:v>
      </x:c>
      <x:c r="D15" s="107" t="n">
        <x:v>-8.63823635</x:v>
      </x:c>
      <x:c r="E15" s="107" t="n">
        <x:v>1.075</x:v>
      </x:c>
      <x:c r="F15" s="107" t="n">
        <x:v>0</x:v>
      </x:c>
      <x:c r="G15" s="107" t="n">
        <x:v>-9.713236349999999</x:v>
      </x:c>
      <x:c r="H15" s="107" t="n">
        <x:v>30.09311765</x:v>
      </x:c>
    </x:row>
    <x:row r="16" ht="17" customHeight="1">
      <x:c r="A16" s="9" t="str">
        <x:v>2023-11-01</x:v>
      </x:c>
      <x:c r="B16" s="9" t="str">
        <x:v>Actual</x:v>
      </x:c>
      <x:c r="C16" s="107" t="n">
        <x:v>30.09311765</x:v>
      </x:c>
      <x:c r="D16" s="107" t="n">
        <x:v>-3.64720775</x:v>
      </x:c>
      <x:c r="E16" s="107" t="n">
        <x:v>0</x:v>
      </x:c>
      <x:c r="F16" s="107" t="n">
        <x:v>0</x:v>
      </x:c>
      <x:c r="G16" s="107" t="n">
        <x:v>-3.64720775</x:v>
      </x:c>
      <x:c r="H16" s="107" t="n">
        <x:v>26.4459099</x:v>
      </x:c>
    </x:row>
    <x:row r="17" ht="17" customHeight="1">
      <x:c r="A17" s="9" t="str">
        <x:v>2023-12-01</x:v>
      </x:c>
      <x:c r="B17" s="9" t="str">
        <x:v>Actual</x:v>
      </x:c>
      <x:c r="C17" s="107" t="n">
        <x:v>26.4459099</x:v>
      </x:c>
      <x:c r="D17" s="107" t="n">
        <x:v>9.03927858</x:v>
      </x:c>
      <x:c r="E17" s="107" t="n">
        <x:v>0</x:v>
      </x:c>
      <x:c r="F17" s="107" t="n">
        <x:v>-2</x:v>
      </x:c>
      <x:c r="G17" s="107" t="n">
        <x:v>7.03927858</x:v>
      </x:c>
      <x:c r="H17" s="107" t="n">
        <x:v>33.48518848</x:v>
      </x:c>
    </x:row>
    <x:row r="18" ht="17" customHeight="1">
      <x:c r="A18" s="9" t="str">
        <x:v>2024-01-01</x:v>
      </x:c>
      <x:c r="B18" s="9" t="str">
        <x:v>Actual</x:v>
      </x:c>
      <x:c r="C18" s="107" t="n">
        <x:v>33.48518848</x:v>
      </x:c>
      <x:c r="D18" s="107" t="n">
        <x:v>72.67303439</x:v>
      </x:c>
      <x:c r="E18" s="107" t="n">
        <x:v>1.75714286</x:v>
      </x:c>
      <x:c r="F18" s="107" t="n">
        <x:v>0</x:v>
      </x:c>
      <x:c r="G18" s="107" t="n">
        <x:v>70.91589153</x:v>
      </x:c>
      <x:c r="H18" s="107" t="n">
        <x:v>104.40108001</x:v>
      </x:c>
    </x:row>
    <x:row r="19" ht="17" customHeight="1">
      <x:c r="A19" s="9" t="str">
        <x:v>2024-02-01</x:v>
      </x:c>
      <x:c r="B19" s="9" t="str">
        <x:v>Actual</x:v>
      </x:c>
      <x:c r="C19" s="107" t="n">
        <x:v>104.40108001</x:v>
      </x:c>
      <x:c r="D19" s="107" t="n">
        <x:v>-11.91381135</x:v>
      </x:c>
      <x:c r="E19" s="107" t="n">
        <x:v>1.75714286</x:v>
      </x:c>
      <x:c r="F19" s="107" t="n">
        <x:v>0</x:v>
      </x:c>
      <x:c r="G19" s="107" t="n">
        <x:v>-13.670954210000001</x:v>
      </x:c>
      <x:c r="H19" s="107" t="n">
        <x:v>90.7301258</x:v>
      </x:c>
    </x:row>
    <x:row r="20" ht="17" customHeight="1">
      <x:c r="A20" s="9" t="str">
        <x:v>2024-03-01</x:v>
      </x:c>
      <x:c r="B20" s="9" t="str">
        <x:v>Actual</x:v>
      </x:c>
      <x:c r="C20" s="107" t="n">
        <x:v>90.7301258</x:v>
      </x:c>
      <x:c r="D20" s="107" t="n">
        <x:v>1.74290487</x:v>
      </x:c>
      <x:c r="E20" s="107" t="n">
        <x:v>1.75714286</x:v>
      </x:c>
      <x:c r="F20" s="107" t="n">
        <x:v>30</x:v>
      </x:c>
      <x:c r="G20" s="107" t="n">
        <x:v>29.985762010000002</x:v>
      </x:c>
      <x:c r="H20" s="107" t="n">
        <x:v>120.71588781</x:v>
      </x:c>
    </x:row>
    <x:row r="21" ht="17" customHeight="1">
      <x:c r="A21" s="9" t="str">
        <x:v>2024-04-01</x:v>
      </x:c>
      <x:c r="B21" s="9" t="str">
        <x:v>Actual</x:v>
      </x:c>
      <x:c r="C21" s="107" t="n">
        <x:v>120.71588781</x:v>
      </x:c>
      <x:c r="D21" s="107" t="n">
        <x:v>-5.41502954</x:v>
      </x:c>
      <x:c r="E21" s="107" t="n">
        <x:v>3.74464286</x:v>
      </x:c>
      <x:c r="F21" s="107" t="n">
        <x:v>0</x:v>
      </x:c>
      <x:c r="G21" s="107" t="n">
        <x:v>-9.1596724</x:v>
      </x:c>
      <x:c r="H21" s="107" t="n">
        <x:v>111.55621541</x:v>
      </x:c>
    </x:row>
    <x:row r="22" ht="17" customHeight="1">
      <x:c r="A22" s="9" t="str">
        <x:v>2024-05-01</x:v>
      </x:c>
      <x:c r="B22" s="9" t="str">
        <x:v>Actual</x:v>
      </x:c>
      <x:c r="C22" s="107" t="n">
        <x:v>111.55621541</x:v>
      </x:c>
      <x:c r="D22" s="107" t="n">
        <x:v>11.95027283</x:v>
      </x:c>
      <x:c r="E22" s="107" t="n">
        <x:v>3.74464286</x:v>
      </x:c>
      <x:c r="F22" s="107" t="n">
        <x:v>0</x:v>
      </x:c>
      <x:c r="G22" s="107" t="n">
        <x:v>8.20562997</x:v>
      </x:c>
      <x:c r="H22" s="107" t="n">
        <x:v>119.76184538</x:v>
      </x:c>
    </x:row>
    <x:row r="23" ht="17" customHeight="1">
      <x:c r="A23" s="9" t="str">
        <x:v>2024-06-01</x:v>
      </x:c>
      <x:c r="B23" s="9" t="str">
        <x:v>Actual</x:v>
      </x:c>
      <x:c r="C23" s="107" t="n">
        <x:v>119.76184538</x:v>
      </x:c>
      <x:c r="D23" s="107" t="n">
        <x:v>-2.4907529100000003</x:v>
      </x:c>
      <x:c r="E23" s="107" t="n">
        <x:v>3.74464286</x:v>
      </x:c>
      <x:c r="F23" s="107" t="n">
        <x:v>-2</x:v>
      </x:c>
      <x:c r="G23" s="107" t="n">
        <x:v>-8.23539577</x:v>
      </x:c>
      <x:c r="H23" s="107" t="n">
        <x:v>111.52644961</x:v>
      </x:c>
    </x:row>
    <x:row r="24" ht="17" customHeight="1">
      <x:c r="A24" s="9" t="str">
        <x:v>2024-07-01</x:v>
      </x:c>
      <x:c r="B24" s="9" t="str">
        <x:v>Actual</x:v>
      </x:c>
      <x:c r="C24" s="107" t="n">
        <x:v>111.52644961</x:v>
      </x:c>
      <x:c r="D24" s="107" t="n">
        <x:v>21.75546627</x:v>
      </x:c>
      <x:c r="E24" s="107" t="n">
        <x:v>3.74464286</x:v>
      </x:c>
      <x:c r="F24" s="107" t="n">
        <x:v>0</x:v>
      </x:c>
      <x:c r="G24" s="107" t="n">
        <x:v>18.01082341</x:v>
      </x:c>
      <x:c r="H24" s="107" t="n">
        <x:v>129.53727302</x:v>
      </x:c>
    </x:row>
    <x:row r="25" ht="17" customHeight="1">
      <x:c r="A25" s="9" t="str">
        <x:v>2024-08-01</x:v>
      </x:c>
      <x:c r="B25" s="9" t="str">
        <x:v>Actual</x:v>
      </x:c>
      <x:c r="C25" s="107" t="n">
        <x:v>129.53727302</x:v>
      </x:c>
      <x:c r="D25" s="107" t="n">
        <x:v>10.7066849</x:v>
      </x:c>
      <x:c r="E25" s="107" t="n">
        <x:v>1.9875</x:v>
      </x:c>
      <x:c r="F25" s="107" t="n">
        <x:v>0</x:v>
      </x:c>
      <x:c r="G25" s="107" t="n">
        <x:v>8.7191849</x:v>
      </x:c>
      <x:c r="H25" s="107" t="n">
        <x:v>138.25645791999997</x:v>
      </x:c>
    </x:row>
    <x:row r="26" ht="17" customHeight="1">
      <x:c r="A26" s="9" t="str">
        <x:v>2024-09-01</x:v>
      </x:c>
      <x:c r="B26" s="9" t="str">
        <x:v>Actual</x:v>
      </x:c>
      <x:c r="C26" s="107" t="n">
        <x:v>138.25645791999997</x:v>
      </x:c>
      <x:c r="D26" s="107" t="n">
        <x:v>-19.60634457</x:v>
      </x:c>
      <x:c r="E26" s="107" t="n">
        <x:v>1.9875</x:v>
      </x:c>
      <x:c r="F26" s="107" t="n">
        <x:v>-2</x:v>
      </x:c>
      <x:c r="G26" s="107" t="n">
        <x:v>-23.59384457</x:v>
      </x:c>
      <x:c r="H26" s="107" t="n">
        <x:v>114.66261335</x:v>
      </x:c>
    </x:row>
    <x:row r="27" ht="17" customHeight="1">
      <x:c r="A27" s="9" t="str">
        <x:v>2024-10-01</x:v>
      </x:c>
      <x:c r="B27" s="9" t="str">
        <x:v>Actual</x:v>
      </x:c>
      <x:c r="C27" s="107" t="n">
        <x:v>114.66261335</x:v>
      </x:c>
      <x:c r="D27" s="107" t="n">
        <x:v>-9.69577275</x:v>
      </x:c>
      <x:c r="E27" s="107" t="n">
        <x:v>1.9875</x:v>
      </x:c>
      <x:c r="F27" s="107" t="n">
        <x:v>0</x:v>
      </x:c>
      <x:c r="G27" s="107" t="n">
        <x:v>-11.68327275</x:v>
      </x:c>
      <x:c r="H27" s="107" t="n">
        <x:v>102.9793406</x:v>
      </x:c>
    </x:row>
    <x:row r="28" ht="17" customHeight="1">
      <x:c r="A28" s="9" t="str">
        <x:v>2024-11-01</x:v>
      </x:c>
      <x:c r="B28" s="9" t="str">
        <x:v>Actual</x:v>
      </x:c>
      <x:c r="C28" s="107" t="n">
        <x:v>102.9793406</x:v>
      </x:c>
      <x:c r="D28" s="107" t="n">
        <x:v>-2.35239923</x:v>
      </x:c>
      <x:c r="E28" s="107" t="n">
        <x:v>1.9875</x:v>
      </x:c>
      <x:c r="F28" s="107" t="n">
        <x:v>0</x:v>
      </x:c>
      <x:c r="G28" s="107" t="n">
        <x:v>-4.33989923</x:v>
      </x:c>
      <x:c r="H28" s="107" t="n">
        <x:v>98.63944137</x:v>
      </x:c>
    </x:row>
    <x:row r="29" ht="17" customHeight="1">
      <x:c r="A29" s="9" t="str">
        <x:v>2024-12-01</x:v>
      </x:c>
      <x:c r="B29" s="9" t="str">
        <x:v>Actual</x:v>
      </x:c>
      <x:c r="C29" s="107" t="n">
        <x:v>98.63944137</x:v>
      </x:c>
      <x:c r="D29" s="107" t="n">
        <x:v>5.58784266</x:v>
      </x:c>
      <x:c r="E29" s="107" t="n">
        <x:v>0</x:v>
      </x:c>
      <x:c r="F29" s="107" t="n">
        <x:v>-2</x:v>
      </x:c>
      <x:c r="G29" s="107" t="n">
        <x:v>3.58784266</x:v>
      </x:c>
      <x:c r="H29" s="107" t="n">
        <x:v>102.22728403</x:v>
      </x:c>
    </x:row>
    <x:row r="30" ht="17" customHeight="1">
      <x:c r="A30" s="9" t="str">
        <x:v>2025-01-01</x:v>
      </x:c>
      <x:c r="B30" s="9" t="str">
        <x:v>Actual</x:v>
      </x:c>
      <x:c r="C30" s="107" t="n">
        <x:v>102.22728403</x:v>
      </x:c>
      <x:c r="D30" s="107" t="n">
        <x:v>79.10340074</x:v>
      </x:c>
      <x:c r="E30" s="107" t="n">
        <x:v>1.5583333300000002</x:v>
      </x:c>
      <x:c r="F30" s="107" t="n">
        <x:v>0</x:v>
      </x:c>
      <x:c r="G30" s="107" t="n">
        <x:v>77.54506741</x:v>
      </x:c>
      <x:c r="H30" s="107" t="n">
        <x:v>179.77235144</x:v>
      </x:c>
    </x:row>
    <x:row r="31" ht="17" customHeight="1">
      <x:c r="A31" s="9" t="str">
        <x:v>2025-02-01</x:v>
      </x:c>
      <x:c r="B31" s="9" t="str">
        <x:v>Actual</x:v>
      </x:c>
      <x:c r="C31" s="107" t="n">
        <x:v>179.77235144</x:v>
      </x:c>
      <x:c r="D31" s="107" t="n">
        <x:v>-18.18302854</x:v>
      </x:c>
      <x:c r="E31" s="107" t="n">
        <x:v>1.5583333300000002</x:v>
      </x:c>
      <x:c r="F31" s="107" t="n">
        <x:v>0</x:v>
      </x:c>
      <x:c r="G31" s="107" t="n">
        <x:v>-19.741361870000002</x:v>
      </x:c>
      <x:c r="H31" s="107" t="n">
        <x:v>160.03098957</x:v>
      </x:c>
    </x:row>
    <x:row r="32" ht="17" customHeight="1">
      <x:c r="A32" s="9" t="str">
        <x:v>2025-03-01</x:v>
      </x:c>
      <x:c r="B32" s="9" t="str">
        <x:v>Actual</x:v>
      </x:c>
      <x:c r="C32" s="107" t="n">
        <x:v>160.03098957</x:v>
      </x:c>
      <x:c r="D32" s="107" t="n">
        <x:v>3.92473704</x:v>
      </x:c>
      <x:c r="E32" s="107" t="n">
        <x:v>2.70833333</x:v>
      </x:c>
      <x:c r="F32" s="107" t="n">
        <x:v>-2</x:v>
      </x:c>
      <x:c r="G32" s="107" t="n">
        <x:v>-0.7835962900000001</x:v>
      </x:c>
      <x:c r="H32" s="107" t="n">
        <x:v>159.24739328</x:v>
      </x:c>
    </x:row>
    <x:row r="33" ht="17" customHeight="1">
      <x:c r="A33" s="9" t="str">
        <x:v>2025-04-01</x:v>
      </x:c>
      <x:c r="B33" s="9" t="str">
        <x:v>Actual</x:v>
      </x:c>
      <x:c r="C33" s="107" t="n">
        <x:v>159.24739328</x:v>
      </x:c>
      <x:c r="D33" s="107" t="n">
        <x:v>0.2181441</x:v>
      </x:c>
      <x:c r="E33" s="107" t="n">
        <x:v>2.70833333</x:v>
      </x:c>
      <x:c r="F33" s="107" t="n">
        <x:v>0</x:v>
      </x:c>
      <x:c r="G33" s="107" t="n">
        <x:v>-2.49018923</x:v>
      </x:c>
      <x:c r="H33" s="107" t="n">
        <x:v>156.75720405</x:v>
      </x:c>
    </x:row>
    <x:row r="34" ht="17" customHeight="1">
      <x:c r="A34" s="9" t="str">
        <x:v>2025-05-01</x:v>
      </x:c>
      <x:c r="B34" s="9" t="str">
        <x:v>Actual</x:v>
      </x:c>
      <x:c r="C34" s="107" t="n">
        <x:v>156.75720405</x:v>
      </x:c>
      <x:c r="D34" s="107" t="n">
        <x:v>12.121429130000001</x:v>
      </x:c>
      <x:c r="E34" s="107" t="n">
        <x:v>2.70833333</x:v>
      </x:c>
      <x:c r="F34" s="107" t="n">
        <x:v>0</x:v>
      </x:c>
      <x:c r="G34" s="107" t="n">
        <x:v>9.4130958</x:v>
      </x:c>
      <x:c r="H34" s="107" t="n">
        <x:v>166.17029985</x:v>
      </x:c>
    </x:row>
    <x:row r="35" ht="17" customHeight="1">
      <x:c r="A35" s="9" t="str">
        <x:v>2025-06-01</x:v>
      </x:c>
      <x:c r="B35" s="9" t="str">
        <x:v>Actual</x:v>
      </x:c>
      <x:c r="C35" s="107" t="n">
        <x:v>166.17029985</x:v>
      </x:c>
      <x:c r="D35" s="107" t="n">
        <x:v>-0.76233505</x:v>
      </x:c>
      <x:c r="E35" s="107" t="n">
        <x:v>2.70833333</x:v>
      </x:c>
      <x:c r="F35" s="107" t="n">
        <x:v>-2</x:v>
      </x:c>
      <x:c r="G35" s="107" t="n">
        <x:v>-5.47066838</x:v>
      </x:c>
      <x:c r="H35" s="107" t="n">
        <x:v>160.69963146999999</x:v>
      </x:c>
    </x:row>
    <x:row r="36" ht="17" customHeight="1">
      <x:c r="A36" s="9" t="str">
        <x:v>2025-07-01</x:v>
      </x:c>
      <x:c r="B36" s="9" t="str">
        <x:v>Actual</x:v>
      </x:c>
      <x:c r="C36" s="107" t="n">
        <x:v>160.69963146999999</x:v>
      </x:c>
      <x:c r="D36" s="107" t="n">
        <x:v>22.403685850000002</x:v>
      </x:c>
      <x:c r="E36" s="107" t="n">
        <x:v>2.28333333</x:v>
      </x:c>
      <x:c r="F36" s="107" t="n">
        <x:v>0</x:v>
      </x:c>
      <x:c r="G36" s="107" t="n">
        <x:v>20.12035252</x:v>
      </x:c>
      <x:c r="H36" s="107" t="n">
        <x:v>180.81998399</x:v>
      </x:c>
    </x:row>
    <x:row r="37" ht="17" customHeight="1">
      <x:c r="A37" s="9" t="str">
        <x:v>2025-08-01</x:v>
      </x:c>
      <x:c r="B37" s="9" t="str">
        <x:v>Actual</x:v>
      </x:c>
      <x:c r="C37" s="107" t="n">
        <x:v>180.81998399</x:v>
      </x:c>
      <x:c r="D37" s="107" t="n">
        <x:v>11.252992769999999</x:v>
      </x:c>
      <x:c r="E37" s="107" t="n">
        <x:v>2.28333333</x:v>
      </x:c>
      <x:c r="F37" s="107" t="n">
        <x:v>0</x:v>
      </x:c>
      <x:c r="G37" s="107" t="n">
        <x:v>8.96965944</x:v>
      </x:c>
      <x:c r="H37" s="107" t="n">
        <x:v>189.78964343</x:v>
      </x:c>
    </x:row>
    <x:row r="38" ht="17" customHeight="1">
      <x:c r="A38" s="9" t="str">
        <x:v>2025-09-01</x:v>
      </x:c>
      <x:c r="B38" s="9" t="str">
        <x:v>Actual</x:v>
      </x:c>
      <x:c r="C38" s="107" t="n">
        <x:v>189.78964343</x:v>
      </x:c>
      <x:c r="D38" s="107" t="n">
        <x:v>-18.11298054</x:v>
      </x:c>
      <x:c r="E38" s="107" t="n">
        <x:v>2.28333333</x:v>
      </x:c>
      <x:c r="F38" s="107" t="n">
        <x:v>-2</x:v>
      </x:c>
      <x:c r="G38" s="107" t="n">
        <x:v>-22.39631387</x:v>
      </x:c>
      <x:c r="H38" s="107" t="n">
        <x:v>167.39332956</x:v>
      </x:c>
    </x:row>
    <x:row r="39" ht="17" customHeight="1">
      <x:c r="A39" s="9" t="str">
        <x:v>2025-10-01</x:v>
      </x:c>
      <x:c r="B39" s="9" t="str">
        <x:v>Actual</x:v>
      </x:c>
      <x:c r="C39" s="107" t="n">
        <x:v>167.39332956</x:v>
      </x:c>
      <x:c r="D39" s="107" t="n">
        <x:v>-14.09048993</x:v>
      </x:c>
      <x:c r="E39" s="107" t="n">
        <x:v>1.1333333300000001</x:v>
      </x:c>
      <x:c r="F39" s="107" t="n">
        <x:v>0</x:v>
      </x:c>
      <x:c r="G39" s="107" t="n">
        <x:v>-15.22382326</x:v>
      </x:c>
      <x:c r="H39" s="107" t="n">
        <x:v>152.16950630000002</x:v>
      </x:c>
    </x:row>
    <x:row r="40" ht="17" customHeight="1">
      <x:c r="A40" s="9" t="str">
        <x:v>2025-11-01</x:v>
      </x:c>
      <x:c r="B40" s="9" t="str">
        <x:v>Actual</x:v>
      </x:c>
      <x:c r="C40" s="107" t="n">
        <x:v>152.16950630000002</x:v>
      </x:c>
      <x:c r="D40" s="107" t="n">
        <x:v>-3.4298339500000004</x:v>
      </x:c>
      <x:c r="E40" s="107" t="n">
        <x:v>1.1333333300000001</x:v>
      </x:c>
      <x:c r="F40" s="107" t="n">
        <x:v>0</x:v>
      </x:c>
      <x:c r="G40" s="107" t="n">
        <x:v>-4.56316728</x:v>
      </x:c>
      <x:c r="H40" s="107" t="n">
        <x:v>147.60633902</x:v>
      </x:c>
    </x:row>
    <x:row r="41" ht="17" customHeight="1">
      <x:c r="A41" s="9" t="str">
        <x:v>2025-12-01</x:v>
      </x:c>
      <x:c r="B41" s="9" t="str">
        <x:v>Actual</x:v>
      </x:c>
      <x:c r="C41" s="107" t="n">
        <x:v>147.60633902</x:v>
      </x:c>
      <x:c r="D41" s="107" t="n">
        <x:v>10.934567730000001</x:v>
      </x:c>
      <x:c r="E41" s="107" t="n">
        <x:v>1.1333333300000001</x:v>
      </x:c>
      <x:c r="F41" s="107" t="n">
        <x:v>-2</x:v>
      </x:c>
      <x:c r="G41" s="107" t="n">
        <x:v>7.8012344</x:v>
      </x:c>
      <x:c r="H41" s="107" t="n">
        <x:v>155.40757341999998</x:v>
      </x:c>
    </x:row>
    <x:row r="42" ht="17" customHeight="1">
      <x:c r="A42" s="9" t="str">
        <x:v>2026-01-01</x:v>
      </x:c>
      <x:c r="B42" s="9" t="str">
        <x:v>Actual</x:v>
      </x:c>
      <x:c r="C42" s="107" t="n">
        <x:v>155.40757341999998</x:v>
      </x:c>
      <x:c r="D42" s="107" t="n">
        <x:v>87.46735856999999</x:v>
      </x:c>
      <x:c r="E42" s="107" t="n">
        <x:v>1.1333333300000001</x:v>
      </x:c>
      <x:c r="F42" s="107" t="n">
        <x:v>0</x:v>
      </x:c>
      <x:c r="G42" s="107" t="n">
        <x:v>86.33402523999999</x:v>
      </x:c>
      <x:c r="H42" s="107" t="n">
        <x:v>241.74159866</x:v>
      </x:c>
    </x:row>
    <x:row r="43" ht="17" customHeight="1">
      <x:c r="A43" s="9" t="str">
        <x:v>2026-02-01</x:v>
      </x:c>
      <x:c r="B43" s="9" t="str">
        <x:v>Actual</x:v>
      </x:c>
      <x:c r="C43" s="107" t="n">
        <x:v>241.74159866</x:v>
      </x:c>
      <x:c r="D43" s="107" t="n">
        <x:v>-16.63815152</x:v>
      </x:c>
      <x:c r="E43" s="107" t="n">
        <x:v>1.1333333300000001</x:v>
      </x:c>
      <x:c r="F43" s="107" t="n">
        <x:v>0</x:v>
      </x:c>
      <x:c r="G43" s="107" t="n">
        <x:v>-17.77148485</x:v>
      </x:c>
      <x:c r="H43" s="107" t="n">
        <x:v>223.97011381000002</x:v>
      </x:c>
    </x:row>
    <x:row r="44" ht="17" customHeight="1">
      <x:c r="A44" s="9" t="str">
        <x:v>2026-03-01</x:v>
      </x:c>
      <x:c r="B44" s="9" t="str">
        <x:v>Actual</x:v>
      </x:c>
      <x:c r="C44" s="107" t="n">
        <x:v>223.97011381000002</x:v>
      </x:c>
      <x:c r="D44" s="107" t="n">
        <x:v>8.98022254</x:v>
      </x:c>
      <x:c r="E44" s="107" t="n">
        <x:v>1.1333333300000001</x:v>
      </x:c>
      <x:c r="F44" s="107" t="n">
        <x:v>-2</x:v>
      </x:c>
      <x:c r="G44" s="107" t="n">
        <x:v>5.84688921</x:v>
      </x:c>
      <x:c r="H44" s="107" t="n">
        <x:v>229.81700302000002</x:v>
      </x:c>
    </x:row>
    <x:row r="45" ht="17" customHeight="1">
      <x:c r="A45" s="9" t="str">
        <x:v>2026-04-01</x:v>
      </x:c>
      <x:c r="B45" s="9" t="str">
        <x:v>Actual</x:v>
      </x:c>
      <x:c r="C45" s="107" t="n">
        <x:v>229.81700302000002</x:v>
      </x:c>
      <x:c r="D45" s="107" t="n">
        <x:v>-4.04546725</x:v>
      </x:c>
      <x:c r="E45" s="107" t="n">
        <x:v>0</x:v>
      </x:c>
      <x:c r="F45" s="107" t="n">
        <x:v>0</x:v>
      </x:c>
      <x:c r="G45" s="107" t="n">
        <x:v>-4.04546725</x:v>
      </x:c>
      <x:c r="H45" s="107" t="n">
        <x:v>225.77153577</x:v>
      </x:c>
    </x:row>
    <x:row r="46" ht="17" customHeight="1">
      <x:c r="A46" s="9" t="str">
        <x:v>2026-05-01</x:v>
      </x:c>
      <x:c r="B46" s="9" t="str">
        <x:v>Actual</x:v>
      </x:c>
      <x:c r="C46" s="107" t="n">
        <x:v>225.77153577</x:v>
      </x:c>
      <x:c r="D46" s="107" t="n">
        <x:v>15.156427449999999</x:v>
      </x:c>
      <x:c r="E46" s="107" t="n">
        <x:v>0</x:v>
      </x:c>
      <x:c r="F46" s="107" t="n">
        <x:v>0</x:v>
      </x:c>
      <x:c r="G46" s="107" t="n">
        <x:v>15.156427449999999</x:v>
      </x:c>
      <x:c r="H46" s="107" t="n">
        <x:v>240.92796322</x:v>
      </x:c>
    </x:row>
    <x:row r="47" ht="17" customHeight="1">
      <x:c r="A47" s="9" t="str">
        <x:v>2026-06-01</x:v>
      </x:c>
      <x:c r="B47" s="9" t="str">
        <x:v>Actual</x:v>
      </x:c>
      <x:c r="C47" s="107" t="n">
        <x:v>240.92796322</x:v>
      </x:c>
      <x:c r="D47" s="107" t="n">
        <x:v>2.30443615</x:v>
      </x:c>
      <x:c r="E47" s="107" t="n">
        <x:v>0</x:v>
      </x:c>
      <x:c r="F47" s="107" t="n">
        <x:v>-2</x:v>
      </x:c>
      <x:c r="G47" s="107" t="n">
        <x:v>0.30443615</x:v>
      </x:c>
      <x:c r="H47" s="107" t="n">
        <x:v>241.23239937</x:v>
      </x:c>
    </x:row>
    <x:row r="48" ht="17" customHeight="1">
      <x:c r="A48" s="9" t="str">
        <x:v>2026-01-01</x:v>
      </x:c>
      <x:c r="B48" s="9" t="str">
        <x:v>Budget</x:v>
      </x:c>
      <x:c r="C48" s="107" t="n">
        <x:v>155.40757341999998</x:v>
      </x:c>
      <x:c r="D48" s="107" t="n">
        <x:v>113.56104490000001</x:v>
      </x:c>
      <x:c r="E48" s="107" t="n">
        <x:v>1.16666667</x:v>
      </x:c>
      <x:c r="F48" s="107" t="n">
        <x:v>0</x:v>
      </x:c>
      <x:c r="G48" s="107" t="n">
        <x:v>112.39437823</x:v>
      </x:c>
      <x:c r="H48" s="107" t="n">
        <x:v>267.80195165</x:v>
      </x:c>
    </x:row>
    <x:row r="49" ht="17" customHeight="1">
      <x:c r="A49" s="9" t="str">
        <x:v>2026-02-01</x:v>
      </x:c>
      <x:c r="B49" s="9" t="str">
        <x:v>Budget</x:v>
      </x:c>
      <x:c r="C49" s="107" t="n">
        <x:v>267.80195165</x:v>
      </x:c>
      <x:c r="D49" s="107" t="n">
        <x:v>-17.33687813</x:v>
      </x:c>
      <x:c r="E49" s="107" t="n">
        <x:v>2.66666667</x:v>
      </x:c>
      <x:c r="F49" s="107" t="n">
        <x:v>0</x:v>
      </x:c>
      <x:c r="G49" s="107" t="n">
        <x:v>-20.0035448</x:v>
      </x:c>
      <x:c r="H49" s="107" t="n">
        <x:v>247.79840685</x:v>
      </x:c>
    </x:row>
    <x:row r="50" ht="17" customHeight="1">
      <x:c r="A50" s="9" t="str">
        <x:v>2026-03-01</x:v>
      </x:c>
      <x:c r="B50" s="9" t="str">
        <x:v>Budget</x:v>
      </x:c>
      <x:c r="C50" s="107" t="n">
        <x:v>247.79840685</x:v>
      </x:c>
      <x:c r="D50" s="107" t="n">
        <x:v>3.79774262</x:v>
      </x:c>
      <x:c r="E50" s="107" t="n">
        <x:v>2.66666667</x:v>
      </x:c>
      <x:c r="F50" s="107" t="n">
        <x:v>-2</x:v>
      </x:c>
      <x:c r="G50" s="107" t="n">
        <x:v>-0.8689240500000001</x:v>
      </x:c>
      <x:c r="H50" s="107" t="n">
        <x:v>246.92948280000002</x:v>
      </x:c>
    </x:row>
    <x:row r="51" ht="17" customHeight="1">
      <x:c r="A51" s="9" t="str">
        <x:v>2026-04-01</x:v>
      </x:c>
      <x:c r="B51" s="9" t="str">
        <x:v>Budget</x:v>
      </x:c>
      <x:c r="C51" s="107" t="n">
        <x:v>246.92948280000002</x:v>
      </x:c>
      <x:c r="D51" s="107" t="n">
        <x:v>0.8426614</x:v>
      </x:c>
      <x:c r="E51" s="107" t="n">
        <x:v>3.3</x:v>
      </x:c>
      <x:c r="F51" s="107" t="n">
        <x:v>0</x:v>
      </x:c>
      <x:c r="G51" s="107" t="n">
        <x:v>-2.4573386</x:v>
      </x:c>
      <x:c r="H51" s="107" t="n">
        <x:v>244.47214419999997</x:v>
      </x:c>
    </x:row>
    <x:row r="52" ht="17" customHeight="1">
      <x:c r="A52" s="9" t="str">
        <x:v>2026-05-01</x:v>
      </x:c>
      <x:c r="B52" s="9" t="str">
        <x:v>Budget</x:v>
      </x:c>
      <x:c r="C52" s="107" t="n">
        <x:v>244.47214419999997</x:v>
      </x:c>
      <x:c r="D52" s="107" t="n">
        <x:v>11.97646239</x:v>
      </x:c>
      <x:c r="E52" s="107" t="n">
        <x:v>3.3</x:v>
      </x:c>
      <x:c r="F52" s="107" t="n">
        <x:v>0</x:v>
      </x:c>
      <x:c r="G52" s="107" t="n">
        <x:v>8.676462390000001</x:v>
      </x:c>
      <x:c r="H52" s="107" t="n">
        <x:v>253.14860659</x:v>
      </x:c>
    </x:row>
    <x:row r="53" ht="17" customHeight="1">
      <x:c r="A53" s="9" t="str">
        <x:v>2026-06-01</x:v>
      </x:c>
      <x:c r="B53" s="9" t="str">
        <x:v>Budget</x:v>
      </x:c>
      <x:c r="C53" s="107" t="n">
        <x:v>253.14860659</x:v>
      </x:c>
      <x:c r="D53" s="107" t="n">
        <x:v>0.67695849</x:v>
      </x:c>
      <x:c r="E53" s="107" t="n">
        <x:v>3.3</x:v>
      </x:c>
      <x:c r="F53" s="107" t="n">
        <x:v>-2</x:v>
      </x:c>
      <x:c r="G53" s="107" t="n">
        <x:v>-4.62304151</x:v>
      </x:c>
      <x:c r="H53" s="107" t="n">
        <x:v>248.52556508</x:v>
      </x:c>
    </x:row>
    <x:row r="54" ht="17" customHeight="1">
      <x:c r="A54" s="9" t="str">
        <x:v>2026-07-01</x:v>
      </x:c>
      <x:c r="B54" s="9" t="str">
        <x:v>Budget</x:v>
      </x:c>
      <x:c r="C54" s="107" t="n">
        <x:v>248.52556508</x:v>
      </x:c>
      <x:c r="D54" s="107" t="n">
        <x:v>21.47159036</x:v>
      </x:c>
      <x:c r="E54" s="107" t="n">
        <x:v>4.54444444</x:v>
      </x:c>
      <x:c r="F54" s="107" t="n">
        <x:v>0</x:v>
      </x:c>
      <x:c r="G54" s="107" t="n">
        <x:v>16.92714592</x:v>
      </x:c>
      <x:c r="H54" s="107" t="n">
        <x:v>265.452711</x:v>
      </x:c>
    </x:row>
    <x:row r="55" ht="17" customHeight="1">
      <x:c r="A55" s="9" t="str">
        <x:v>2026-08-01</x:v>
      </x:c>
      <x:c r="B55" s="9" t="str">
        <x:v>Budget</x:v>
      </x:c>
      <x:c r="C55" s="107" t="n">
        <x:v>265.452711</x:v>
      </x:c>
      <x:c r="D55" s="107" t="n">
        <x:v>10.23459553</x:v>
      </x:c>
      <x:c r="E55" s="107" t="n">
        <x:v>4.54444444</x:v>
      </x:c>
      <x:c r="F55" s="107" t="n">
        <x:v>0</x:v>
      </x:c>
      <x:c r="G55" s="107" t="n">
        <x:v>5.69015109</x:v>
      </x:c>
      <x:c r="H55" s="107" t="n">
        <x:v>271.14286209</x:v>
      </x:c>
    </x:row>
    <x:row r="56" ht="17" customHeight="1">
      <x:c r="A56" s="9" t="str">
        <x:v>2026-09-01</x:v>
      </x:c>
      <x:c r="B56" s="9" t="str">
        <x:v>Budget</x:v>
      </x:c>
      <x:c r="C56" s="107" t="n">
        <x:v>271.14286209</x:v>
      </x:c>
      <x:c r="D56" s="107" t="n">
        <x:v>-13.584382810000001</x:v>
      </x:c>
      <x:c r="E56" s="107" t="n">
        <x:v>4.54444444</x:v>
      </x:c>
      <x:c r="F56" s="107" t="n">
        <x:v>-2</x:v>
      </x:c>
      <x:c r="G56" s="107" t="n">
        <x:v>-20.12882725</x:v>
      </x:c>
      <x:c r="H56" s="107" t="n">
        <x:v>251.01403484</x:v>
      </x:c>
    </x:row>
    <x:row r="57" ht="17" customHeight="1">
      <x:c r="A57" s="9" t="str">
        <x:v>2026-10-01</x:v>
      </x:c>
      <x:c r="B57" s="9" t="str">
        <x:v>Budget</x:v>
      </x:c>
      <x:c r="C57" s="107" t="n">
        <x:v>251.01403484</x:v>
      </x:c>
      <x:c r="D57" s="107" t="n">
        <x:v>-5.04575015</x:v>
      </x:c>
      <x:c r="E57" s="107" t="n">
        <x:v>4.54444444</x:v>
      </x:c>
      <x:c r="F57" s="107" t="n">
        <x:v>0</x:v>
      </x:c>
      <x:c r="G57" s="107" t="n">
        <x:v>-9.59019459</x:v>
      </x:c>
      <x:c r="H57" s="107" t="n">
        <x:v>241.42384025</x:v>
      </x:c>
    </x:row>
    <x:row r="58" ht="17" customHeight="1">
      <x:c r="A58" s="9" t="str">
        <x:v>2026-11-01</x:v>
      </x:c>
      <x:c r="B58" s="9" t="str">
        <x:v>Budget</x:v>
      </x:c>
      <x:c r="C58" s="107" t="n">
        <x:v>241.42384025</x:v>
      </x:c>
      <x:c r="D58" s="107" t="n">
        <x:v>-0.26303324</x:v>
      </x:c>
      <x:c r="E58" s="107" t="n">
        <x:v>3.04444444</x:v>
      </x:c>
      <x:c r="F58" s="107" t="n">
        <x:v>0</x:v>
      </x:c>
      <x:c r="G58" s="107" t="n">
        <x:v>-3.3074776800000003</x:v>
      </x:c>
      <x:c r="H58" s="107" t="n">
        <x:v>238.11636257</x:v>
      </x:c>
    </x:row>
    <x:row r="59" ht="17" customHeight="1">
      <x:c r="A59" s="9" t="str">
        <x:v>2026-12-01</x:v>
      </x:c>
      <x:c r="B59" s="9" t="str">
        <x:v>Budget</x:v>
      </x:c>
      <x:c r="C59" s="107" t="n">
        <x:v>238.11636257</x:v>
      </x:c>
      <x:c r="D59" s="107" t="n">
        <x:v>14.47871433</x:v>
      </x:c>
      <x:c r="E59" s="107" t="n">
        <x:v>3.04444444</x:v>
      </x:c>
      <x:c r="F59" s="107" t="n">
        <x:v>-2</x:v>
      </x:c>
      <x:c r="G59" s="107" t="n">
        <x:v>9.434269890000001</x:v>
      </x:c>
      <x:c r="H59" s="107" t="n">
        <x:v>247.55063246</x:v>
      </x:c>
    </x:row>
    <x:row r="60" ht="17" customHeight="1">
      <x:c r="A60" s="9" t="str">
        <x:v>2026-01-01</x:v>
      </x:c>
      <x:c r="B60" s="9" t="str">
        <x:v>Forecast</x:v>
      </x:c>
      <x:c r="C60" s="107" t="n">
        <x:v>155.40757341999998</x:v>
      </x:c>
      <x:c r="D60" s="107" t="n">
        <x:v>94.20538298999999</x:v>
      </x:c>
      <x:c r="E60" s="107" t="n">
        <x:v>1.1333333300000001</x:v>
      </x:c>
      <x:c r="F60" s="107" t="n">
        <x:v>0</x:v>
      </x:c>
      <x:c r="G60" s="107" t="n">
        <x:v>93.07204965999999</x:v>
      </x:c>
      <x:c r="H60" s="107" t="n">
        <x:v>248.47962308</x:v>
      </x:c>
    </x:row>
    <x:row r="61" ht="17" customHeight="1">
      <x:c r="A61" s="9" t="str">
        <x:v>2026-02-01</x:v>
      </x:c>
      <x:c r="B61" s="9" t="str">
        <x:v>Forecast</x:v>
      </x:c>
      <x:c r="C61" s="107" t="n">
        <x:v>248.47962308</x:v>
      </x:c>
      <x:c r="D61" s="107" t="n">
        <x:v>-16.49648207</x:v>
      </x:c>
      <x:c r="E61" s="107" t="n">
        <x:v>2.56666666</x:v>
      </x:c>
      <x:c r="F61" s="107" t="n">
        <x:v>0</x:v>
      </x:c>
      <x:c r="G61" s="107" t="n">
        <x:v>-19.06314873</x:v>
      </x:c>
      <x:c r="H61" s="107" t="n">
        <x:v>229.41647435</x:v>
      </x:c>
    </x:row>
    <x:row r="62" ht="17" customHeight="1">
      <x:c r="A62" s="9" t="str">
        <x:v>2026-03-01</x:v>
      </x:c>
      <x:c r="B62" s="9" t="str">
        <x:v>Forecast</x:v>
      </x:c>
      <x:c r="C62" s="107" t="n">
        <x:v>229.41647435</x:v>
      </x:c>
      <x:c r="D62" s="107" t="n">
        <x:v>8.23136845</x:v>
      </x:c>
      <x:c r="E62" s="107" t="n">
        <x:v>2.56666666</x:v>
      </x:c>
      <x:c r="F62" s="107" t="n">
        <x:v>-2</x:v>
      </x:c>
      <x:c r="G62" s="107" t="n">
        <x:v>3.66470179</x:v>
      </x:c>
      <x:c r="H62" s="107" t="n">
        <x:v>233.08117614</x:v>
      </x:c>
    </x:row>
    <x:row r="63" ht="17" customHeight="1">
      <x:c r="A63" s="9" t="str">
        <x:v>2026-04-01</x:v>
      </x:c>
      <x:c r="B63" s="9" t="str">
        <x:v>Forecast</x:v>
      </x:c>
      <x:c r="C63" s="107" t="n">
        <x:v>233.08117614</x:v>
      </x:c>
      <x:c r="D63" s="107" t="n">
        <x:v>-4.4303175</x:v>
      </x:c>
      <x:c r="E63" s="107" t="n">
        <x:v>3.19333333</x:v>
      </x:c>
      <x:c r="F63" s="107" t="n">
        <x:v>0</x:v>
      </x:c>
      <x:c r="G63" s="107" t="n">
        <x:v>-7.62365083</x:v>
      </x:c>
      <x:c r="H63" s="107" t="n">
        <x:v>225.45752531</x:v>
      </x:c>
    </x:row>
    <x:row r="64" ht="17" customHeight="1">
      <x:c r="A64" s="9" t="str">
        <x:v>2026-05-01</x:v>
      </x:c>
      <x:c r="B64" s="9" t="str">
        <x:v>Forecast</x:v>
      </x:c>
      <x:c r="C64" s="107" t="n">
        <x:v>225.45752531</x:v>
      </x:c>
      <x:c r="D64" s="107" t="n">
        <x:v>14.154185589999999</x:v>
      </x:c>
      <x:c r="E64" s="107" t="n">
        <x:v>3.19333333</x:v>
      </x:c>
      <x:c r="F64" s="107" t="n">
        <x:v>0</x:v>
      </x:c>
      <x:c r="G64" s="107" t="n">
        <x:v>10.96085226</x:v>
      </x:c>
      <x:c r="H64" s="107" t="n">
        <x:v>236.41837757</x:v>
      </x:c>
    </x:row>
    <x:row r="65" ht="17" customHeight="1">
      <x:c r="A65" s="9" t="str">
        <x:v>2026-06-01</x:v>
      </x:c>
      <x:c r="B65" s="9" t="str">
        <x:v>Forecast</x:v>
      </x:c>
      <x:c r="C65" s="107" t="n">
        <x:v>236.41837757</x:v>
      </x:c>
      <x:c r="D65" s="107" t="n">
        <x:v>1.6077224399999999</x:v>
      </x:c>
      <x:c r="E65" s="107" t="n">
        <x:v>3.19333333</x:v>
      </x:c>
      <x:c r="F65" s="107" t="n">
        <x:v>-2</x:v>
      </x:c>
      <x:c r="G65" s="107" t="n">
        <x:v>-3.5856108900000003</x:v>
      </x:c>
      <x:c r="H65" s="107" t="n">
        <x:v>232.83276668000002</x:v>
      </x:c>
    </x:row>
    <x:row r="66" ht="17" customHeight="1">
      <x:c r="A66" s="9" t="str">
        <x:v>2026-07-01</x:v>
      </x:c>
      <x:c r="B66" s="9" t="str">
        <x:v>Forecast</x:v>
      </x:c>
      <x:c r="C66" s="107" t="n">
        <x:v>232.83276668000002</x:v>
      </x:c>
      <x:c r="D66" s="107" t="n">
        <x:v>20.850460809999998</x:v>
      </x:c>
      <x:c r="E66" s="107" t="n">
        <x:v>4.398888889999999</x:v>
      </x:c>
      <x:c r="F66" s="107" t="n">
        <x:v>0</x:v>
      </x:c>
      <x:c r="G66" s="107" t="n">
        <x:v>16.45157192</x:v>
      </x:c>
      <x:c r="H66" s="107" t="n">
        <x:v>249.28433859999998</x:v>
      </x:c>
    </x:row>
    <x:row r="67" ht="17" customHeight="1">
      <x:c r="A67" s="9" t="str">
        <x:v>2026-08-01</x:v>
      </x:c>
      <x:c r="B67" s="9" t="str">
        <x:v>Forecast</x:v>
      </x:c>
      <x:c r="C67" s="107" t="n">
        <x:v>249.28433859999998</x:v>
      </x:c>
      <x:c r="D67" s="107" t="n">
        <x:v>11.8553716</x:v>
      </x:c>
      <x:c r="E67" s="107" t="n">
        <x:v>4.398888889999999</x:v>
      </x:c>
      <x:c r="F67" s="107" t="n">
        <x:v>0</x:v>
      </x:c>
      <x:c r="G67" s="107" t="n">
        <x:v>7.45648271</x:v>
      </x:c>
      <x:c r="H67" s="107" t="n">
        <x:v>256.74082131</x:v>
      </x:c>
    </x:row>
    <x:row r="68" ht="17" customHeight="1">
      <x:c r="A68" s="9" t="str">
        <x:v>2026-09-01</x:v>
      </x:c>
      <x:c r="B68" s="9" t="str">
        <x:v>Forecast</x:v>
      </x:c>
      <x:c r="C68" s="107" t="n">
        <x:v>256.74082131</x:v>
      </x:c>
      <x:c r="D68" s="107" t="n">
        <x:v>-12.19012104</x:v>
      </x:c>
      <x:c r="E68" s="107" t="n">
        <x:v>4.398888889999999</x:v>
      </x:c>
      <x:c r="F68" s="107" t="n">
        <x:v>-2</x:v>
      </x:c>
      <x:c r="G68" s="107" t="n">
        <x:v>-18.58900993</x:v>
      </x:c>
      <x:c r="H68" s="107" t="n">
        <x:v>238.15181138</x:v>
      </x:c>
    </x:row>
    <x:row r="69" ht="17" customHeight="1">
      <x:c r="A69" s="9" t="str">
        <x:v>2026-10-01</x:v>
      </x:c>
      <x:c r="B69" s="9" t="str">
        <x:v>Forecast</x:v>
      </x:c>
      <x:c r="C69" s="107" t="n">
        <x:v>238.15181138</x:v>
      </x:c>
      <x:c r="D69" s="107" t="n">
        <x:v>-6.56621463</x:v>
      </x:c>
      <x:c r="E69" s="107" t="n">
        <x:v>4.398888889999999</x:v>
      </x:c>
      <x:c r="F69" s="107" t="n">
        <x:v>0</x:v>
      </x:c>
      <x:c r="G69" s="107" t="n">
        <x:v>-10.96510352</x:v>
      </x:c>
      <x:c r="H69" s="107" t="n">
        <x:v>227.18670786</x:v>
      </x:c>
    </x:row>
    <x:row r="70" ht="17" customHeight="1">
      <x:c r="A70" s="9" t="str">
        <x:v>2026-11-01</x:v>
      </x:c>
      <x:c r="B70" s="9" t="str">
        <x:v>Forecast</x:v>
      </x:c>
      <x:c r="C70" s="107" t="n">
        <x:v>227.18670786</x:v>
      </x:c>
      <x:c r="D70" s="107" t="n">
        <x:v>-0.36399982000000003</x:v>
      </x:c>
      <x:c r="E70" s="107" t="n">
        <x:v>2.96555556</x:v>
      </x:c>
      <x:c r="F70" s="107" t="n">
        <x:v>0</x:v>
      </x:c>
      <x:c r="G70" s="107" t="n">
        <x:v>-3.32955538</x:v>
      </x:c>
      <x:c r="H70" s="107" t="n">
        <x:v>223.85715248</x:v>
      </x:c>
    </x:row>
    <x:row r="71" ht="17" customHeight="1">
      <x:c r="A71" s="9" t="str">
        <x:v>2026-12-01</x:v>
      </x:c>
      <x:c r="B71" s="9" t="str">
        <x:v>Forecast</x:v>
      </x:c>
      <x:c r="C71" s="107" t="n">
        <x:v>223.85715248</x:v>
      </x:c>
      <x:c r="D71" s="107" t="n">
        <x:v>14.29076224</x:v>
      </x:c>
      <x:c r="E71" s="107" t="n">
        <x:v>2.96555556</x:v>
      </x:c>
      <x:c r="F71" s="107" t="n">
        <x:v>-2</x:v>
      </x:c>
      <x:c r="G71" s="107" t="n">
        <x:v>9.325206679999999</x:v>
      </x:c>
      <x:c r="H71" s="107" t="n">
        <x:v>233.18235916</x:v>
      </x:c>
    </x:row>
    <x:row r="72" ht="17" customHeight="1">
      <x:c r="A72" s="9" t="str">
        <x:v>2027-01-01</x:v>
      </x:c>
      <x:c r="B72" s="9" t="str">
        <x:v>Forecast</x:v>
      </x:c>
      <x:c r="C72" s="107" t="n">
        <x:v>233.18235916</x:v>
      </x:c>
      <x:c r="D72" s="107" t="n">
        <x:v>76.28169437999999</x:v>
      </x:c>
      <x:c r="E72" s="107" t="n">
        <x:v>2.96555556</x:v>
      </x:c>
      <x:c r="F72" s="107" t="n">
        <x:v>0</x:v>
      </x:c>
      <x:c r="G72" s="107" t="n">
        <x:v>73.31613881999999</x:v>
      </x:c>
      <x:c r="H72" s="107" t="n">
        <x:v>306.49849798</x:v>
      </x:c>
    </x:row>
    <x:row r="73" ht="17" customHeight="1">
      <x:c r="A73" s="9" t="str">
        <x:v>2027-02-01</x:v>
      </x:c>
      <x:c r="B73" s="9" t="str">
        <x:v>Forecast</x:v>
      </x:c>
      <x:c r="C73" s="107" t="n">
        <x:v>306.49849798</x:v>
      </x:c>
      <x:c r="D73" s="107" t="n">
        <x:v>-16.90765082</x:v>
      </x:c>
      <x:c r="E73" s="107" t="n">
        <x:v>1.20555556</x:v>
      </x:c>
      <x:c r="F73" s="107" t="n">
        <x:v>0</x:v>
      </x:c>
      <x:c r="G73" s="107" t="n">
        <x:v>-18.113206379999998</x:v>
      </x:c>
      <x:c r="H73" s="107" t="n">
        <x:v>288.3852916</x:v>
      </x:c>
    </x:row>
    <x:row r="74" ht="17" customHeight="1">
      <x:c r="A74" s="9" t="str">
        <x:v>2027-03-01</x:v>
      </x:c>
      <x:c r="B74" s="9" t="str">
        <x:v>Forecast</x:v>
      </x:c>
      <x:c r="C74" s="107" t="n">
        <x:v>288.3852916</x:v>
      </x:c>
      <x:c r="D74" s="107" t="n">
        <x:v>14.363662269999999</x:v>
      </x:c>
      <x:c r="E74" s="107" t="n">
        <x:v>1.20555556</x:v>
      </x:c>
      <x:c r="F74" s="107" t="n">
        <x:v>-2</x:v>
      </x:c>
      <x:c r="G74" s="107" t="n">
        <x:v>11.15810671</x:v>
      </x:c>
      <x:c r="H74" s="107" t="n">
        <x:v>299.54339831</x:v>
      </x:c>
    </x:row>
    <x:row r="75" ht="17" customHeight="1">
      <x:c r="A75" s="9" t="str">
        <x:v>2027-04-01</x:v>
      </x:c>
      <x:c r="B75" s="9" t="str">
        <x:v>Forecast</x:v>
      </x:c>
      <x:c r="C75" s="107" t="n">
        <x:v>299.54339831</x:v>
      </x:c>
      <x:c r="D75" s="107" t="n">
        <x:v>-3.14281065</x:v>
      </x:c>
      <x:c r="E75" s="107" t="n">
        <x:v>0</x:v>
      </x:c>
      <x:c r="F75" s="107" t="n">
        <x:v>0</x:v>
      </x:c>
      <x:c r="G75" s="107" t="n">
        <x:v>-3.14281065</x:v>
      </x:c>
      <x:c r="H75" s="107" t="n">
        <x:v>296.40058766000004</x:v>
      </x:c>
    </x:row>
    <x:row r="76" ht="17" customHeight="1">
      <x:c r="A76" s="9" t="str">
        <x:v>2027-05-01</x:v>
      </x:c>
      <x:c r="B76" s="9" t="str">
        <x:v>Forecast</x:v>
      </x:c>
      <x:c r="C76" s="107" t="n">
        <x:v>296.40058766000004</x:v>
      </x:c>
      <x:c r="D76" s="107" t="n">
        <x:v>15.01122515</x:v>
      </x:c>
      <x:c r="E76" s="107" t="n">
        <x:v>0</x:v>
      </x:c>
      <x:c r="F76" s="107" t="n">
        <x:v>0</x:v>
      </x:c>
      <x:c r="G76" s="107" t="n">
        <x:v>15.01122515</x:v>
      </x:c>
      <x:c r="H76" s="107" t="n">
        <x:v>311.41181281</x:v>
      </x:c>
    </x:row>
    <x:row r="77" ht="17" customHeight="1">
      <x:c r="A77" s="9" t="str">
        <x:v>2027-06-01</x:v>
      </x:c>
      <x:c r="B77" s="9" t="str">
        <x:v>Forecast</x:v>
      </x:c>
      <x:c r="C77" s="107" t="n">
        <x:v>311.41181281</x:v>
      </x:c>
      <x:c r="D77" s="107" t="n">
        <x:v>1.42665246</x:v>
      </x:c>
      <x:c r="E77" s="107" t="n">
        <x:v>0</x:v>
      </x:c>
      <x:c r="F77" s="107" t="n">
        <x:v>-2</x:v>
      </x:c>
      <x:c r="G77" s="107" t="n">
        <x:v>-0.57334754</x:v>
      </x:c>
      <x:c r="H77" s="107" t="n">
        <x:v>310.83846527</x:v>
      </x:c>
    </x:row>
  </x:sheetData>
  <x:mergeCells>
    <x:mergeCell ref="A1:H2"/>
    <x:mergeCell ref="A3:H3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 ht="25" customHeight="1">
      <x:c r="A1" s="3" t="str">
        <x:v>Working Capital Data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5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3" ht="25" customHeight="1">
      <x:c r="A3" s="6" t="str">
        <x:v>AR, inventory, AP and cash conversion cycle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</x:row>
    <x:row r="5" ht="17" customHeight="1">
      <x:c r="A5" s="13" t="str">
        <x:v>Month</x:v>
      </x:c>
      <x:c r="B5" s="13" t="str">
        <x:v>Version</x:v>
      </x:c>
      <x:c r="C5" s="13" t="str">
        <x:v>DSO</x:v>
      </x:c>
      <x:c r="D5" s="13" t="str">
        <x:v>DIO</x:v>
      </x:c>
      <x:c r="E5" s="13" t="str">
        <x:v>DPO</x:v>
      </x:c>
      <x:c r="F5" s="13" t="str">
        <x:v>CashConversionCycleDays</x:v>
      </x:c>
      <x:c r="G5" s="13" t="str">
        <x:v>AccountsReceivableTRY</x:v>
      </x:c>
      <x:c r="H5" s="13" t="str">
        <x:v>InventoryTRY</x:v>
      </x:c>
      <x:c r="I5" s="13" t="str">
        <x:v>AccountsPayableTRY</x:v>
      </x:c>
      <x:c r="J5" s="13" t="str">
        <x:v>NetWorkingCapitalTRY</x:v>
      </x:c>
      <x:c r="K5" s="13" t="str">
        <x:v>ChangeInNWCTRY</x:v>
      </x:c>
    </x:row>
    <x:row r="6" ht="17" customHeight="1">
      <x:c r="A6" s="9" t="str">
        <x:v>2023-01-01</x:v>
      </x:c>
      <x:c r="B6" s="9" t="str">
        <x:v>Actual</x:v>
      </x:c>
      <x:c r="C6" s="277" t="n">
        <x:v>34</x:v>
      </x:c>
      <x:c r="D6" s="277" t="n">
        <x:v>67</x:v>
      </x:c>
      <x:c r="E6" s="277" t="n">
        <x:v>45</x:v>
      </x:c>
      <x:c r="F6" s="277" t="n">
        <x:v>56</x:v>
      </x:c>
      <x:c r="G6" s="107" t="n">
        <x:v>90.9941448</x:v>
      </x:c>
      <x:c r="H6" s="107" t="n">
        <x:v>90.26253134000001</x:v>
      </x:c>
      <x:c r="I6" s="107" t="n">
        <x:v>60.624088210000004</x:v>
      </x:c>
      <x:c r="J6" s="107" t="n">
        <x:v>120.63258793000001</x:v>
      </x:c>
      <x:c r="K6" s="107" t="n">
        <x:v>0</x:v>
      </x:c>
    </x:row>
    <x:row r="7" ht="17" customHeight="1">
      <x:c r="A7" s="9" t="str">
        <x:v>2023-02-01</x:v>
      </x:c>
      <x:c r="B7" s="9" t="str">
        <x:v>Actual</x:v>
      </x:c>
      <x:c r="C7" s="277" t="n">
        <x:v>33.92</x:v>
      </x:c>
      <x:c r="D7" s="277" t="n">
        <x:v>66.88</x:v>
      </x:c>
      <x:c r="E7" s="277" t="n">
        <x:v>45.07</x:v>
      </x:c>
      <x:c r="F7" s="277" t="n">
        <x:v>55.73</x:v>
      </x:c>
      <x:c r="G7" s="107" t="n">
        <x:v>105.71547344</x:v>
      </x:c>
      <x:c r="H7" s="107" t="n">
        <x:v>104.26045939</x:v>
      </x:c>
      <x:c r="I7" s="107" t="n">
        <x:v>70.26045013</x:v>
      </x:c>
      <x:c r="J7" s="107" t="n">
        <x:v>139.7154827</x:v>
      </x:c>
      <x:c r="K7" s="107" t="n">
        <x:v>19.08289478</x:v>
      </x:c>
    </x:row>
    <x:row r="8" ht="17" customHeight="1">
      <x:c r="A8" s="9" t="str">
        <x:v>2023-03-01</x:v>
      </x:c>
      <x:c r="B8" s="9" t="str">
        <x:v>Actual</x:v>
      </x:c>
      <x:c r="C8" s="277" t="n">
        <x:v>33.84</x:v>
      </x:c>
      <x:c r="D8" s="277" t="n">
        <x:v>66.76</x:v>
      </x:c>
      <x:c r="E8" s="277" t="n">
        <x:v>45.14</x:v>
      </x:c>
      <x:c r="F8" s="277" t="n">
        <x:v>55.46</x:v>
      </x:c>
      <x:c r="G8" s="107" t="n">
        <x:v>104.28410853</x:v>
      </x:c>
      <x:c r="H8" s="107" t="n">
        <x:v>102.94598342</x:v>
      </x:c>
      <x:c r="I8" s="107" t="n">
        <x:v>69.60727519</x:v>
      </x:c>
      <x:c r="J8" s="107" t="n">
        <x:v>137.62281675999998</x:v>
      </x:c>
      <x:c r="K8" s="107" t="n">
        <x:v>-2.09266594</x:v>
      </x:c>
    </x:row>
    <x:row r="9" ht="17" customHeight="1">
      <x:c r="A9" s="9" t="str">
        <x:v>2023-04-01</x:v>
      </x:c>
      <x:c r="B9" s="9" t="str">
        <x:v>Actual</x:v>
      </x:c>
      <x:c r="C9" s="277" t="n">
        <x:v>33.76</x:v>
      </x:c>
      <x:c r="D9" s="277" t="n">
        <x:v>66.64</x:v>
      </x:c>
      <x:c r="E9" s="277" t="n">
        <x:v>45.21</x:v>
      </x:c>
      <x:c r="F9" s="277" t="n">
        <x:v>55.19</x:v>
      </x:c>
      <x:c r="G9" s="107" t="n">
        <x:v>112.52939864</x:v>
      </x:c>
      <x:c r="H9" s="107" t="n">
        <x:v>112.14340313</x:v>
      </x:c>
      <x:c r="I9" s="107" t="n">
        <x:v>76.08048103</x:v>
      </x:c>
      <x:c r="J9" s="107" t="n">
        <x:v>148.59232075</x:v>
      </x:c>
      <x:c r="K9" s="107" t="n">
        <x:v>10.96950398</x:v>
      </x:c>
    </x:row>
    <x:row r="10" ht="17" customHeight="1">
      <x:c r="A10" s="9" t="str">
        <x:v>2023-05-01</x:v>
      </x:c>
      <x:c r="B10" s="9" t="str">
        <x:v>Actual</x:v>
      </x:c>
      <x:c r="C10" s="277" t="n">
        <x:v>33.68</x:v>
      </x:c>
      <x:c r="D10" s="277" t="n">
        <x:v>66.52</x:v>
      </x:c>
      <x:c r="E10" s="277" t="n">
        <x:v>45.28</x:v>
      </x:c>
      <x:c r="F10" s="277" t="n">
        <x:v>54.92</x:v>
      </x:c>
      <x:c r="G10" s="107" t="n">
        <x:v>111.78613347</x:v>
      </x:c>
      <x:c r="H10" s="107" t="n">
        <x:v>110.42666874</x:v>
      </x:c>
      <x:c r="I10" s="107" t="n">
        <x:v>75.16716115999999</x:v>
      </x:c>
      <x:c r="J10" s="107" t="n">
        <x:v>147.04564105</x:v>
      </x:c>
      <x:c r="K10" s="107" t="n">
        <x:v>-1.5466796999999999</x:v>
      </x:c>
    </x:row>
    <x:row r="11" ht="17" customHeight="1">
      <x:c r="A11" s="9" t="str">
        <x:v>2023-06-01</x:v>
      </x:c>
      <x:c r="B11" s="9" t="str">
        <x:v>Actual</x:v>
      </x:c>
      <x:c r="C11" s="277" t="n">
        <x:v>33.6</x:v>
      </x:c>
      <x:c r="D11" s="277" t="n">
        <x:v>66.4</x:v>
      </x:c>
      <x:c r="E11" s="277" t="n">
        <x:v>45.35</x:v>
      </x:c>
      <x:c r="F11" s="277" t="n">
        <x:v>54.65</x:v>
      </x:c>
      <x:c r="G11" s="107" t="n">
        <x:v>117.58784046</x:v>
      </x:c>
      <x:c r="H11" s="107" t="n">
        <x:v>115.93512425</x:v>
      </x:c>
      <x:c r="I11" s="107" t="n">
        <x:v>79.18159465000001</x:v>
      </x:c>
      <x:c r="J11" s="107" t="n">
        <x:v>154.34137006</x:v>
      </x:c>
      <x:c r="K11" s="107" t="n">
        <x:v>7.29572901</x:v>
      </x:c>
    </x:row>
    <x:row r="12" ht="17" customHeight="1">
      <x:c r="A12" s="9" t="str">
        <x:v>2023-07-01</x:v>
      </x:c>
      <x:c r="B12" s="9" t="str">
        <x:v>Actual</x:v>
      </x:c>
      <x:c r="C12" s="277" t="n">
        <x:v>33.52</x:v>
      </x:c>
      <x:c r="D12" s="277" t="n">
        <x:v>66.28</x:v>
      </x:c>
      <x:c r="E12" s="277" t="n">
        <x:v>45.42</x:v>
      </x:c>
      <x:c r="F12" s="277" t="n">
        <x:v>54.38</x:v>
      </x:c>
      <x:c r="G12" s="107" t="n">
        <x:v>112.0158732</x:v>
      </x:c>
      <x:c r="H12" s="107" t="n">
        <x:v>109.63544182</x:v>
      </x:c>
      <x:c r="I12" s="107" t="n">
        <x:v>75.13038273000001</x:v>
      </x:c>
      <x:c r="J12" s="107" t="n">
        <x:v>146.52093229</x:v>
      </x:c>
      <x:c r="K12" s="107" t="n">
        <x:v>-7.82043777</x:v>
      </x:c>
    </x:row>
    <x:row r="13" ht="17" customHeight="1">
      <x:c r="A13" s="9" t="str">
        <x:v>2023-08-01</x:v>
      </x:c>
      <x:c r="B13" s="9" t="str">
        <x:v>Actual</x:v>
      </x:c>
      <x:c r="C13" s="277" t="n">
        <x:v>33.44</x:v>
      </x:c>
      <x:c r="D13" s="277" t="n">
        <x:v>66.16</x:v>
      </x:c>
      <x:c r="E13" s="277" t="n">
        <x:v>45.49</x:v>
      </x:c>
      <x:c r="F13" s="277" t="n">
        <x:v>54.11</x:v>
      </x:c>
      <x:c r="G13" s="107" t="n">
        <x:v>106.496171</x:v>
      </x:c>
      <x:c r="H13" s="107" t="n">
        <x:v>104.90543843</x:v>
      </x:c>
      <x:c r="I13" s="107" t="n">
        <x:v>72.13041708</x:v>
      </x:c>
      <x:c r="J13" s="107" t="n">
        <x:v>139.27119234</x:v>
      </x:c>
      <x:c r="K13" s="107" t="n">
        <x:v>-7.24973995</x:v>
      </x:c>
    </x:row>
    <x:row r="14" ht="17" customHeight="1">
      <x:c r="A14" s="9" t="str">
        <x:v>2023-09-01</x:v>
      </x:c>
      <x:c r="B14" s="9" t="str">
        <x:v>Actual</x:v>
      </x:c>
      <x:c r="C14" s="277" t="n">
        <x:v>33.36</x:v>
      </x:c>
      <x:c r="D14" s="277" t="n">
        <x:v>66.04</x:v>
      </x:c>
      <x:c r="E14" s="277" t="n">
        <x:v>45.56</x:v>
      </x:c>
      <x:c r="F14" s="277" t="n">
        <x:v>53.84</x:v>
      </x:c>
      <x:c r="G14" s="107" t="n">
        <x:v>123.69861882</x:v>
      </x:c>
      <x:c r="H14" s="107" t="n">
        <x:v>123.29853619</x:v>
      </x:c>
      <x:c r="I14" s="107" t="n">
        <x:v>85.06180055</x:v>
      </x:c>
      <x:c r="J14" s="107" t="n">
        <x:v>161.93535446</x:v>
      </x:c>
      <x:c r="K14" s="107" t="n">
        <x:v>22.66416211</x:v>
      </x:c>
    </x:row>
    <x:row r="15" ht="17" customHeight="1">
      <x:c r="A15" s="9" t="str">
        <x:v>2023-10-01</x:v>
      </x:c>
      <x:c r="B15" s="9" t="str">
        <x:v>Actual</x:v>
      </x:c>
      <x:c r="C15" s="277" t="n">
        <x:v>36.28</x:v>
      </x:c>
      <x:c r="D15" s="277" t="n">
        <x:v>70.12</x:v>
      </x:c>
      <x:c r="E15" s="277" t="n">
        <x:v>45.63</x:v>
      </x:c>
      <x:c r="F15" s="277" t="n">
        <x:v>60.77</x:v>
      </x:c>
      <x:c r="G15" s="107" t="n">
        <x:v>134.84975863</x:v>
      </x:c>
      <x:c r="H15" s="107" t="n">
        <x:v>130.52270095999998</x:v>
      </x:c>
      <x:c r="I15" s="107" t="n">
        <x:v>84.93654941</x:v>
      </x:c>
      <x:c r="J15" s="107" t="n">
        <x:v>180.43591017</x:v>
      </x:c>
      <x:c r="K15" s="107" t="n">
        <x:v>18.500555719999998</x:v>
      </x:c>
    </x:row>
    <x:row r="16" ht="17" customHeight="1">
      <x:c r="A16" s="9" t="str">
        <x:v>2023-11-01</x:v>
      </x:c>
      <x:c r="B16" s="9" t="str">
        <x:v>Actual</x:v>
      </x:c>
      <x:c r="C16" s="277" t="n">
        <x:v>36.2</x:v>
      </x:c>
      <x:c r="D16" s="277" t="n">
        <x:v>70</x:v>
      </x:c>
      <x:c r="E16" s="277" t="n">
        <x:v>45.7</x:v>
      </x:c>
      <x:c r="F16" s="277" t="n">
        <x:v>60.5</x:v>
      </x:c>
      <x:c r="G16" s="107" t="n">
        <x:v>147.25661388</x:v>
      </x:c>
      <x:c r="H16" s="107" t="n">
        <x:v>141.36011139</x:v>
      </x:c>
      <x:c r="I16" s="107" t="n">
        <x:v>92.28795843</x:v>
      </x:c>
      <x:c r="J16" s="107" t="n">
        <x:v>196.32876684000001</x:v>
      </x:c>
      <x:c r="K16" s="107" t="n">
        <x:v>15.89285666</x:v>
      </x:c>
    </x:row>
    <x:row r="17" ht="17" customHeight="1">
      <x:c r="A17" s="9" t="str">
        <x:v>2023-12-01</x:v>
      </x:c>
      <x:c r="B17" s="9" t="str">
        <x:v>Actual</x:v>
      </x:c>
      <x:c r="C17" s="277" t="n">
        <x:v>36.12</x:v>
      </x:c>
      <x:c r="D17" s="277" t="n">
        <x:v>69.88</x:v>
      </x:c>
      <x:c r="E17" s="277" t="n">
        <x:v>45.77</x:v>
      </x:c>
      <x:c r="F17" s="277" t="n">
        <x:v>60.23</x:v>
      </x:c>
      <x:c r="G17" s="107" t="n">
        <x:v>152.41568125</x:v>
      </x:c>
      <x:c r="H17" s="107" t="n">
        <x:v>145.21053606</x:v>
      </x:c>
      <x:c r="I17" s="107" t="n">
        <x:v>95.10999192</x:v>
      </x:c>
      <x:c r="J17" s="107" t="n">
        <x:v>202.51622539</x:v>
      </x:c>
      <x:c r="K17" s="107" t="n">
        <x:v>6.18745855</x:v>
      </x:c>
    </x:row>
    <x:row r="18" ht="17" customHeight="1">
      <x:c r="A18" s="9" t="str">
        <x:v>2024-01-01</x:v>
      </x:c>
      <x:c r="B18" s="9" t="str">
        <x:v>Actual</x:v>
      </x:c>
      <x:c r="C18" s="277" t="n">
        <x:v>33.04</x:v>
      </x:c>
      <x:c r="D18" s="277" t="n">
        <x:v>65.56</x:v>
      </x:c>
      <x:c r="E18" s="277" t="n">
        <x:v>45.84</x:v>
      </x:c>
      <x:c r="F18" s="277" t="n">
        <x:v>52.76</x:v>
      </x:c>
      <x:c r="G18" s="107" t="n">
        <x:v>101.27297943</x:v>
      </x:c>
      <x:c r="H18" s="107" t="n">
        <x:v>100.5606104</x:v>
      </x:c>
      <x:c r="I18" s="107" t="n">
        <x:v>70.31266597</x:v>
      </x:c>
      <x:c r="J18" s="107" t="n">
        <x:v>131.52092387000002</x:v>
      </x:c>
      <x:c r="K18" s="107" t="n">
        <x:v>-70.99530152</x:v>
      </x:c>
    </x:row>
    <x:row r="19" ht="17" customHeight="1">
      <x:c r="A19" s="9" t="str">
        <x:v>2024-02-01</x:v>
      </x:c>
      <x:c r="B19" s="9" t="str">
        <x:v>Actual</x:v>
      </x:c>
      <x:c r="C19" s="277" t="n">
        <x:v>32.96</x:v>
      </x:c>
      <x:c r="D19" s="277" t="n">
        <x:v>65.44</x:v>
      </x:c>
      <x:c r="E19" s="277" t="n">
        <x:v>45.91</x:v>
      </x:c>
      <x:c r="F19" s="277" t="n">
        <x:v>52.49</x:v>
      </x:c>
      <x:c r="G19" s="107" t="n">
        <x:v>112.75112945000001</x:v>
      </x:c>
      <x:c r="H19" s="107" t="n">
        <x:v>112.21835337</x:v>
      </x:c>
      <x:c r="I19" s="107" t="n">
        <x:v>78.72775983</x:v>
      </x:c>
      <x:c r="J19" s="107" t="n">
        <x:v>146.24172299</x:v>
      </x:c>
      <x:c r="K19" s="107" t="n">
        <x:v>14.720799119999999</x:v>
      </x:c>
    </x:row>
    <x:row r="20" ht="17" customHeight="1">
      <x:c r="A20" s="9" t="str">
        <x:v>2024-03-01</x:v>
      </x:c>
      <x:c r="B20" s="9" t="str">
        <x:v>Actual</x:v>
      </x:c>
      <x:c r="C20" s="277" t="n">
        <x:v>32.88</x:v>
      </x:c>
      <x:c r="D20" s="277" t="n">
        <x:v>65.32</x:v>
      </x:c>
      <x:c r="E20" s="277" t="n">
        <x:v>45.98</x:v>
      </x:c>
      <x:c r="F20" s="277" t="n">
        <x:v>52.22</x:v>
      </x:c>
      <x:c r="G20" s="107" t="n">
        <x:v>116.19633046999999</x:v>
      </x:c>
      <x:c r="H20" s="107" t="n">
        <x:v>116.16167929000001</x:v>
      </x:c>
      <x:c r="I20" s="107" t="n">
        <x:v>81.76843254</x:v>
      </x:c>
      <x:c r="J20" s="107" t="n">
        <x:v>150.58957722</x:v>
      </x:c>
      <x:c r="K20" s="107" t="n">
        <x:v>4.34785423</x:v>
      </x:c>
    </x:row>
    <x:row r="21" ht="17" customHeight="1">
      <x:c r="A21" s="9" t="str">
        <x:v>2024-04-01</x:v>
      </x:c>
      <x:c r="B21" s="9" t="str">
        <x:v>Actual</x:v>
      </x:c>
      <x:c r="C21" s="277" t="n">
        <x:v>32.8</x:v>
      </x:c>
      <x:c r="D21" s="277" t="n">
        <x:v>65.2</x:v>
      </x:c>
      <x:c r="E21" s="277" t="n">
        <x:v>46.05</x:v>
      </x:c>
      <x:c r="F21" s="277" t="n">
        <x:v>51.95</x:v>
      </x:c>
      <x:c r="G21" s="107" t="n">
        <x:v>125.67061263</x:v>
      </x:c>
      <x:c r="H21" s="107" t="n">
        <x:v>125.60310128</x:v>
      </x:c>
      <x:c r="I21" s="107" t="n">
        <x:v>88.71200635</x:v>
      </x:c>
      <x:c r="J21" s="107" t="n">
        <x:v>162.56170756</x:v>
      </x:c>
      <x:c r="K21" s="107" t="n">
        <x:v>11.97213034</x:v>
      </x:c>
    </x:row>
    <x:row r="22" ht="17" customHeight="1">
      <x:c r="A22" s="9" t="str">
        <x:v>2024-05-01</x:v>
      </x:c>
      <x:c r="B22" s="9" t="str">
        <x:v>Actual</x:v>
      </x:c>
      <x:c r="C22" s="277" t="n">
        <x:v>32.72</x:v>
      </x:c>
      <x:c r="D22" s="277" t="n">
        <x:v>65.08</x:v>
      </x:c>
      <x:c r="E22" s="277" t="n">
        <x:v>46.12</x:v>
      </x:c>
      <x:c r="F22" s="277" t="n">
        <x:v>51.68</x:v>
      </x:c>
      <x:c r="G22" s="107" t="n">
        <x:v>122.24910358</x:v>
      </x:c>
      <x:c r="H22" s="107" t="n">
        <x:v>121.35688855</x:v>
      </x:c>
      <x:c r="I22" s="107" t="n">
        <x:v>86.00153196</x:v>
      </x:c>
      <x:c r="J22" s="107" t="n">
        <x:v>157.60446016999998</x:v>
      </x:c>
      <x:c r="K22" s="107" t="n">
        <x:v>-4.95724738</x:v>
      </x:c>
    </x:row>
    <x:row r="23" ht="17" customHeight="1">
      <x:c r="A23" s="9" t="str">
        <x:v>2024-06-01</x:v>
      </x:c>
      <x:c r="B23" s="9" t="str">
        <x:v>Actual</x:v>
      </x:c>
      <x:c r="C23" s="277" t="n">
        <x:v>32.64</x:v>
      </x:c>
      <x:c r="D23" s="277" t="n">
        <x:v>64.96</x:v>
      </x:c>
      <x:c r="E23" s="277" t="n">
        <x:v>46.19</x:v>
      </x:c>
      <x:c r="F23" s="277" t="n">
        <x:v>51.41</x:v>
      </x:c>
      <x:c r="G23" s="107" t="n">
        <x:v>130.91032483</x:v>
      </x:c>
      <x:c r="H23" s="107" t="n">
        <x:v>129.62337514</x:v>
      </x:c>
      <x:c r="I23" s="107" t="n">
        <x:v>92.16908402</x:v>
      </x:c>
      <x:c r="J23" s="107" t="n">
        <x:v>168.36461595</x:v>
      </x:c>
      <x:c r="K23" s="107" t="n">
        <x:v>10.76015578</x:v>
      </x:c>
    </x:row>
    <x:row r="24" ht="17" customHeight="1">
      <x:c r="A24" s="9" t="str">
        <x:v>2024-07-01</x:v>
      </x:c>
      <x:c r="B24" s="9" t="str">
        <x:v>Actual</x:v>
      </x:c>
      <x:c r="C24" s="277" t="n">
        <x:v>32.56</x:v>
      </x:c>
      <x:c r="D24" s="277" t="n">
        <x:v>64.84</x:v>
      </x:c>
      <x:c r="E24" s="277" t="n">
        <x:v>46.26</x:v>
      </x:c>
      <x:c r="F24" s="277" t="n">
        <x:v>51.14</x:v>
      </x:c>
      <x:c r="G24" s="107" t="n">
        <x:v>118.78432525</x:v>
      </x:c>
      <x:c r="H24" s="107" t="n">
        <x:v>117.39206604</x:v>
      </x:c>
      <x:c r="I24" s="107" t="n">
        <x:v>83.75319209</x:v>
      </x:c>
      <x:c r="J24" s="107" t="n">
        <x:v>152.4231992</x:v>
      </x:c>
      <x:c r="K24" s="107" t="n">
        <x:v>-15.94141675</x:v>
      </x:c>
    </x:row>
    <x:row r="25" ht="17" customHeight="1">
      <x:c r="A25" s="9" t="str">
        <x:v>2024-08-01</x:v>
      </x:c>
      <x:c r="B25" s="9" t="str">
        <x:v>Actual</x:v>
      </x:c>
      <x:c r="C25" s="277" t="n">
        <x:v>32.48</x:v>
      </x:c>
      <x:c r="D25" s="277" t="n">
        <x:v>64.72</x:v>
      </x:c>
      <x:c r="E25" s="277" t="n">
        <x:v>46.33</x:v>
      </x:c>
      <x:c r="F25" s="277" t="n">
        <x:v>50.87</x:v>
      </x:c>
      <x:c r="G25" s="107" t="n">
        <x:v>113.4536175</x:v>
      </x:c>
      <x:c r="H25" s="107" t="n">
        <x:v>112.11380391</x:v>
      </x:c>
      <x:c r="I25" s="107" t="n">
        <x:v>80.2569922</x:v>
      </x:c>
      <x:c r="J25" s="107" t="n">
        <x:v>145.31042921</x:v>
      </x:c>
      <x:c r="K25" s="107" t="n">
        <x:v>-7.11276999</x:v>
      </x:c>
    </x:row>
    <x:row r="26" ht="17" customHeight="1">
      <x:c r="A26" s="9" t="str">
        <x:v>2024-09-01</x:v>
      </x:c>
      <x:c r="B26" s="9" t="str">
        <x:v>Actual</x:v>
      </x:c>
      <x:c r="C26" s="277" t="n">
        <x:v>32.4</x:v>
      </x:c>
      <x:c r="D26" s="277" t="n">
        <x:v>64.6</x:v>
      </x:c>
      <x:c r="E26" s="277" t="n">
        <x:v>46.4</x:v>
      </x:c>
      <x:c r="F26" s="277" t="n">
        <x:v>50.6</x:v>
      </x:c>
      <x:c r="G26" s="107" t="n">
        <x:v>135.71977003</x:v>
      </x:c>
      <x:c r="H26" s="107" t="n">
        <x:v>136.03049138</x:v>
      </x:c>
      <x:c r="I26" s="107" t="n">
        <x:v>97.70611145000001</x:v>
      </x:c>
      <x:c r="J26" s="107" t="n">
        <x:v>174.04414995</x:v>
      </x:c>
      <x:c r="K26" s="107" t="n">
        <x:v>28.73372074</x:v>
      </x:c>
    </x:row>
    <x:row r="27" ht="17" customHeight="1">
      <x:c r="A27" s="9" t="str">
        <x:v>2024-10-01</x:v>
      </x:c>
      <x:c r="B27" s="9" t="str">
        <x:v>Actual</x:v>
      </x:c>
      <x:c r="C27" s="277" t="n">
        <x:v>35.32</x:v>
      </x:c>
      <x:c r="D27" s="277" t="n">
        <x:v>68.68</x:v>
      </x:c>
      <x:c r="E27" s="277" t="n">
        <x:v>46.47</x:v>
      </x:c>
      <x:c r="F27" s="277" t="n">
        <x:v>57.53</x:v>
      </x:c>
      <x:c r="G27" s="107" t="n">
        <x:v>147.48866422999998</x:v>
      </x:c>
      <x:c r="H27" s="107" t="n">
        <x:v>143.48725186000001</x:v>
      </x:c>
      <x:c r="I27" s="107" t="n">
        <x:v>97.08579781</x:v>
      </x:c>
      <x:c r="J27" s="107" t="n">
        <x:v>193.89011828</x:v>
      </x:c>
      <x:c r="K27" s="107" t="n">
        <x:v>19.84596832</x:v>
      </x:c>
    </x:row>
    <x:row r="28" ht="17" customHeight="1">
      <x:c r="A28" s="9" t="str">
        <x:v>2024-11-01</x:v>
      </x:c>
      <x:c r="B28" s="9" t="str">
        <x:v>Actual</x:v>
      </x:c>
      <x:c r="C28" s="277" t="n">
        <x:v>35.24</x:v>
      </x:c>
      <x:c r="D28" s="277" t="n">
        <x:v>68.56</x:v>
      </x:c>
      <x:c r="E28" s="277" t="n">
        <x:v>46.54</x:v>
      </x:c>
      <x:c r="F28" s="277" t="n">
        <x:v>57.26</x:v>
      </x:c>
      <x:c r="G28" s="107" t="n">
        <x:v>158.873174</x:v>
      </x:c>
      <x:c r="H28" s="107" t="n">
        <x:v>153.8785307</x:v>
      </x:c>
      <x:c r="I28" s="107" t="n">
        <x:v>104.45605045</x:v>
      </x:c>
      <x:c r="J28" s="107" t="n">
        <x:v>208.29565425</x:v>
      </x:c>
      <x:c r="K28" s="107" t="n">
        <x:v>14.40553597</x:v>
      </x:c>
    </x:row>
    <x:row r="29" ht="17" customHeight="1">
      <x:c r="A29" s="9" t="str">
        <x:v>2024-12-01</x:v>
      </x:c>
      <x:c r="B29" s="9" t="str">
        <x:v>Actual</x:v>
      </x:c>
      <x:c r="C29" s="277" t="n">
        <x:v>35.16</x:v>
      </x:c>
      <x:c r="D29" s="277" t="n">
        <x:v>68.44</x:v>
      </x:c>
      <x:c r="E29" s="277" t="n">
        <x:v>46.61</x:v>
      </x:c>
      <x:c r="F29" s="277" t="n">
        <x:v>56.99</x:v>
      </x:c>
      <x:c r="G29" s="107" t="n">
        <x:v>167.86553569999998</x:v>
      </x:c>
      <x:c r="H29" s="107" t="n">
        <x:v>160.49856622</x:v>
      </x:c>
      <x:c r="I29" s="107" t="n">
        <x:v>109.30505803</x:v>
      </x:c>
      <x:c r="J29" s="107" t="n">
        <x:v>219.05904389</x:v>
      </x:c>
      <x:c r="K29" s="107" t="n">
        <x:v>10.76338964</x:v>
      </x:c>
    </x:row>
    <x:row r="30" ht="17" customHeight="1">
      <x:c r="A30" s="9" t="str">
        <x:v>2025-01-01</x:v>
      </x:c>
      <x:c r="B30" s="9" t="str">
        <x:v>Actual</x:v>
      </x:c>
      <x:c r="C30" s="277" t="n">
        <x:v>32.08</x:v>
      </x:c>
      <x:c r="D30" s="277" t="n">
        <x:v>64.12</x:v>
      </x:c>
      <x:c r="E30" s="277" t="n">
        <x:v>46.68</x:v>
      </x:c>
      <x:c r="F30" s="277" t="n">
        <x:v>49.52</x:v>
      </x:c>
      <x:c r="G30" s="107" t="n">
        <x:v>111.83506306</x:v>
      </x:c>
      <x:c r="H30" s="107" t="n">
        <x:v>110.79345118</x:v>
      </x:c>
      <x:c r="I30" s="107" t="n">
        <x:v>80.65873832</x:v>
      </x:c>
      <x:c r="J30" s="107" t="n">
        <x:v>141.96977592</x:v>
      </x:c>
      <x:c r="K30" s="107" t="n">
        <x:v>-77.08926798</x:v>
      </x:c>
    </x:row>
    <x:row r="31" ht="17" customHeight="1">
      <x:c r="A31" s="9" t="str">
        <x:v>2025-02-01</x:v>
      </x:c>
      <x:c r="B31" s="9" t="str">
        <x:v>Actual</x:v>
      </x:c>
      <x:c r="C31" s="277" t="n">
        <x:v>32</x:v>
      </x:c>
      <x:c r="D31" s="277" t="n">
        <x:v>64</x:v>
      </x:c>
      <x:c r="E31" s="277" t="n">
        <x:v>46.75</x:v>
      </x:c>
      <x:c r="F31" s="277" t="n">
        <x:v>49.25</x:v>
      </x:c>
      <x:c r="G31" s="107" t="n">
        <x:v>128.20937182</x:v>
      </x:c>
      <x:c r="H31" s="107" t="n">
        <x:v>128.33265113</x:v>
      </x:c>
      <x:c r="I31" s="107" t="n">
        <x:v>93.74299126000001</x:v>
      </x:c>
      <x:c r="J31" s="107" t="n">
        <x:v>162.79903169</x:v>
      </x:c>
      <x:c r="K31" s="107" t="n">
        <x:v>20.82925578</x:v>
      </x:c>
    </x:row>
    <x:row r="32" ht="17" customHeight="1">
      <x:c r="A32" s="9" t="str">
        <x:v>2025-03-01</x:v>
      </x:c>
      <x:c r="B32" s="9" t="str">
        <x:v>Actual</x:v>
      </x:c>
      <x:c r="C32" s="277" t="n">
        <x:v>31.92</x:v>
      </x:c>
      <x:c r="D32" s="277" t="n">
        <x:v>63.88</x:v>
      </x:c>
      <x:c r="E32" s="277" t="n">
        <x:v>46.82</x:v>
      </x:c>
      <x:c r="F32" s="277" t="n">
        <x:v>48.98</x:v>
      </x:c>
      <x:c r="G32" s="107" t="n">
        <x:v>131.33916461</x:v>
      </x:c>
      <x:c r="H32" s="107" t="n">
        <x:v>132.37789396</x:v>
      </x:c>
      <x:c r="I32" s="107" t="n">
        <x:v>97.02462421999999</x:v>
      </x:c>
      <x:c r="J32" s="107" t="n">
        <x:v>166.69243434999998</x:v>
      </x:c>
      <x:c r="K32" s="107" t="n">
        <x:v>3.89340266</x:v>
      </x:c>
    </x:row>
    <x:row r="33" ht="17" customHeight="1">
      <x:c r="A33" s="9" t="str">
        <x:v>2025-04-01</x:v>
      </x:c>
      <x:c r="B33" s="9" t="str">
        <x:v>Actual</x:v>
      </x:c>
      <x:c r="C33" s="277" t="n">
        <x:v>31.84</x:v>
      </x:c>
      <x:c r="D33" s="277" t="n">
        <x:v>63.76</x:v>
      </x:c>
      <x:c r="E33" s="277" t="n">
        <x:v>46.89</x:v>
      </x:c>
      <x:c r="F33" s="277" t="n">
        <x:v>48.71</x:v>
      </x:c>
      <x:c r="G33" s="107" t="n">
        <x:v>137.72892862</x:v>
      </x:c>
      <x:c r="H33" s="107" t="n">
        <x:v>137.52911666</x:v>
      </x:c>
      <x:c r="I33" s="107" t="n">
        <x:v>101.14084505</x:v>
      </x:c>
      <x:c r="J33" s="107" t="n">
        <x:v>174.11720024000002</x:v>
      </x:c>
      <x:c r="K33" s="107" t="n">
        <x:v>7.42476588</x:v>
      </x:c>
    </x:row>
    <x:row r="34" ht="17" customHeight="1">
      <x:c r="A34" s="9" t="str">
        <x:v>2025-05-01</x:v>
      </x:c>
      <x:c r="B34" s="9" t="str">
        <x:v>Actual</x:v>
      </x:c>
      <x:c r="C34" s="277" t="n">
        <x:v>31.76</x:v>
      </x:c>
      <x:c r="D34" s="277" t="n">
        <x:v>63.64</x:v>
      </x:c>
      <x:c r="E34" s="277" t="n">
        <x:v>46.96</x:v>
      </x:c>
      <x:c r="F34" s="277" t="n">
        <x:v>48.44</x:v>
      </x:c>
      <x:c r="G34" s="107" t="n">
        <x:v>134.81902265</x:v>
      </x:c>
      <x:c r="H34" s="107" t="n">
        <x:v>134.34000071</x:v>
      </x:c>
      <x:c r="I34" s="107" t="n">
        <x:v>99.12957940000001</x:v>
      </x:c>
      <x:c r="J34" s="107" t="n">
        <x:v>170.02944395</x:v>
      </x:c>
      <x:c r="K34" s="107" t="n">
        <x:v>-4.08775628</x:v>
      </x:c>
    </x:row>
    <x:row r="35" ht="17" customHeight="1">
      <x:c r="A35" s="9" t="str">
        <x:v>2025-06-01</x:v>
      </x:c>
      <x:c r="B35" s="9" t="str">
        <x:v>Actual</x:v>
      </x:c>
      <x:c r="C35" s="277" t="n">
        <x:v>31.68</x:v>
      </x:c>
      <x:c r="D35" s="277" t="n">
        <x:v>63.52</x:v>
      </x:c>
      <x:c r="E35" s="277" t="n">
        <x:v>47.03</x:v>
      </x:c>
      <x:c r="F35" s="277" t="n">
        <x:v>48.17</x:v>
      </x:c>
      <x:c r="G35" s="107" t="n">
        <x:v>142.76047465</x:v>
      </x:c>
      <x:c r="H35" s="107" t="n">
        <x:v>142.3413548</x:v>
      </x:c>
      <x:c r="I35" s="107" t="n">
        <x:v>105.38907298999999</x:v>
      </x:c>
      <x:c r="J35" s="107" t="n">
        <x:v>179.71275646</x:v>
      </x:c>
      <x:c r="K35" s="107" t="n">
        <x:v>9.68331251</x:v>
      </x:c>
    </x:row>
    <x:row r="36" ht="17" customHeight="1">
      <x:c r="A36" s="9" t="str">
        <x:v>2025-07-01</x:v>
      </x:c>
      <x:c r="B36" s="9" t="str">
        <x:v>Actual</x:v>
      </x:c>
      <x:c r="C36" s="277" t="n">
        <x:v>31.6</x:v>
      </x:c>
      <x:c r="D36" s="277" t="n">
        <x:v>63.4</x:v>
      </x:c>
      <x:c r="E36" s="277" t="n">
        <x:v>47.1</x:v>
      </x:c>
      <x:c r="F36" s="277" t="n">
        <x:v>47.9</x:v>
      </x:c>
      <x:c r="G36" s="107" t="n">
        <x:v>130.43187033</x:v>
      </x:c>
      <x:c r="H36" s="107" t="n">
        <x:v>130.01999734</x:v>
      </x:c>
      <x:c r="I36" s="107" t="n">
        <x:v>96.59214314</x:v>
      </x:c>
      <x:c r="J36" s="107" t="n">
        <x:v>163.85972454</x:v>
      </x:c>
      <x:c r="K36" s="107" t="n">
        <x:v>-15.85303193</x:v>
      </x:c>
    </x:row>
    <x:row r="37" ht="17" customHeight="1">
      <x:c r="A37" s="9" t="str">
        <x:v>2025-08-01</x:v>
      </x:c>
      <x:c r="B37" s="9" t="str">
        <x:v>Actual</x:v>
      </x:c>
      <x:c r="C37" s="277" t="n">
        <x:v>31.52</x:v>
      </x:c>
      <x:c r="D37" s="277" t="n">
        <x:v>63.28</x:v>
      </x:c>
      <x:c r="E37" s="277" t="n">
        <x:v>47.17</x:v>
      </x:c>
      <x:c r="F37" s="277" t="n">
        <x:v>47.63</x:v>
      </x:c>
      <x:c r="G37" s="107" t="n">
        <x:v>125.58490236</x:v>
      </x:c>
      <x:c r="H37" s="107" t="n">
        <x:v>124.25663956</x:v>
      </x:c>
      <x:c r="I37" s="107" t="n">
        <x:v>92.62303552</x:v>
      </x:c>
      <x:c r="J37" s="107" t="n">
        <x:v>157.21850639</x:v>
      </x:c>
      <x:c r="K37" s="107" t="n">
        <x:v>-6.64121815</x:v>
      </x:c>
    </x:row>
    <x:row r="38" ht="17" customHeight="1">
      <x:c r="A38" s="9" t="str">
        <x:v>2025-09-01</x:v>
      </x:c>
      <x:c r="B38" s="9" t="str">
        <x:v>Actual</x:v>
      </x:c>
      <x:c r="C38" s="277" t="n">
        <x:v>31.44</x:v>
      </x:c>
      <x:c r="D38" s="277" t="n">
        <x:v>63.16</x:v>
      </x:c>
      <x:c r="E38" s="277" t="n">
        <x:v>47.24</x:v>
      </x:c>
      <x:c r="F38" s="277" t="n">
        <x:v>47.36</x:v>
      </x:c>
      <x:c r="G38" s="107" t="n">
        <x:v>147.72612527</x:v>
      </x:c>
      <x:c r="H38" s="107" t="n">
        <x:v>149.52670317</x:v>
      </x:c>
      <x:c r="I38" s="107" t="n">
        <x:v>111.83726184</x:v>
      </x:c>
      <x:c r="J38" s="107" t="n">
        <x:v>185.41556661</x:v>
      </x:c>
      <x:c r="K38" s="107" t="n">
        <x:v>28.197060219999997</x:v>
      </x:c>
    </x:row>
    <x:row r="39" ht="17" customHeight="1">
      <x:c r="A39" s="9" t="str">
        <x:v>2025-10-01</x:v>
      </x:c>
      <x:c r="B39" s="9" t="str">
        <x:v>Actual</x:v>
      </x:c>
      <x:c r="C39" s="277" t="n">
        <x:v>34.36</x:v>
      </x:c>
      <x:c r="D39" s="277" t="n">
        <x:v>67.24</x:v>
      </x:c>
      <x:c r="E39" s="277" t="n">
        <x:v>47.31</x:v>
      </x:c>
      <x:c r="F39" s="277" t="n">
        <x:v>54.29</x:v>
      </x:c>
      <x:c r="G39" s="107" t="n">
        <x:v>164.38346936000002</x:v>
      </x:c>
      <x:c r="H39" s="107" t="n">
        <x:v>160.29829574000001</x:v>
      </x:c>
      <x:c r="I39" s="107" t="n">
        <x:v>112.78572831</x:v>
      </x:c>
      <x:c r="J39" s="107" t="n">
        <x:v>211.89603678999998</x:v>
      </x:c>
      <x:c r="K39" s="107" t="n">
        <x:v>26.48047018</x:v>
      </x:c>
    </x:row>
    <x:row r="40" ht="17" customHeight="1">
      <x:c r="A40" s="9" t="str">
        <x:v>2025-11-01</x:v>
      </x:c>
      <x:c r="B40" s="9" t="str">
        <x:v>Actual</x:v>
      </x:c>
      <x:c r="C40" s="277" t="n">
        <x:v>34.28</x:v>
      </x:c>
      <x:c r="D40" s="277" t="n">
        <x:v>67.12</x:v>
      </x:c>
      <x:c r="E40" s="277" t="n">
        <x:v>47.38</x:v>
      </x:c>
      <x:c r="F40" s="277" t="n">
        <x:v>54.02</x:v>
      </x:c>
      <x:c r="G40" s="107" t="n">
        <x:v>179.30816317</x:v>
      </x:c>
      <x:c r="H40" s="107" t="n">
        <x:v>173.39433132</x:v>
      </x:c>
      <x:c r="I40" s="107" t="n">
        <x:v>122.39903781</x:v>
      </x:c>
      <x:c r="J40" s="107" t="n">
        <x:v>230.30345668</x:v>
      </x:c>
      <x:c r="K40" s="107" t="n">
        <x:v>18.40741989</x:v>
      </x:c>
    </x:row>
    <x:row r="41" ht="17" customHeight="1">
      <x:c r="A41" s="9" t="str">
        <x:v>2025-12-01</x:v>
      </x:c>
      <x:c r="B41" s="9" t="str">
        <x:v>Actual</x:v>
      </x:c>
      <x:c r="C41" s="277" t="n">
        <x:v>34.2</x:v>
      </x:c>
      <x:c r="D41" s="277" t="n">
        <x:v>67</x:v>
      </x:c>
      <x:c r="E41" s="277" t="n">
        <x:v>47.45</x:v>
      </x:c>
      <x:c r="F41" s="277" t="n">
        <x:v>53.75</x:v>
      </x:c>
      <x:c r="G41" s="107" t="n">
        <x:v>186.45167636000002</x:v>
      </x:c>
      <x:c r="H41" s="107" t="n">
        <x:v>179.83849913999998</x:v>
      </x:c>
      <x:c r="I41" s="107" t="n">
        <x:v>127.36323558</x:v>
      </x:c>
      <x:c r="J41" s="107" t="n">
        <x:v>238.92693991</x:v>
      </x:c>
      <x:c r="K41" s="107" t="n">
        <x:v>8.62348323</x:v>
      </x:c>
    </x:row>
    <x:row r="42" ht="17" customHeight="1">
      <x:c r="A42" s="9" t="str">
        <x:v>2026-01-01</x:v>
      </x:c>
      <x:c r="B42" s="9" t="str">
        <x:v>Actual</x:v>
      </x:c>
      <x:c r="C42" s="277" t="n">
        <x:v>31.12</x:v>
      </x:c>
      <x:c r="D42" s="277" t="n">
        <x:v>62.68</x:v>
      </x:c>
      <x:c r="E42" s="277" t="n">
        <x:v>47.52</x:v>
      </x:c>
      <x:c r="F42" s="277" t="n">
        <x:v>46.28</x:v>
      </x:c>
      <x:c r="G42" s="107" t="n">
        <x:v>124.63229126</x:v>
      </x:c>
      <x:c r="H42" s="107" t="n">
        <x:v>124.11903875</x:v>
      </x:c>
      <x:c r="I42" s="107" t="n">
        <x:v>94.0991819</x:v>
      </x:c>
      <x:c r="J42" s="107" t="n">
        <x:v>154.65214811</x:v>
      </x:c>
      <x:c r="K42" s="107" t="n">
        <x:v>-84.2747918</x:v>
      </x:c>
    </x:row>
    <x:row r="43" ht="17" customHeight="1">
      <x:c r="A43" s="9" t="str">
        <x:v>2026-02-01</x:v>
      </x:c>
      <x:c r="B43" s="9" t="str">
        <x:v>Actual</x:v>
      </x:c>
      <x:c r="C43" s="277" t="n">
        <x:v>31.04</x:v>
      </x:c>
      <x:c r="D43" s="277" t="n">
        <x:v>62.56</x:v>
      </x:c>
      <x:c r="E43" s="277" t="n">
        <x:v>47.59</x:v>
      </x:c>
      <x:c r="F43" s="277" t="n">
        <x:v>46.01</x:v>
      </x:c>
      <x:c r="G43" s="107" t="n">
        <x:v>141.17215661</x:v>
      </x:c>
      <x:c r="H43" s="107" t="n">
        <x:v>141.08166766</x:v>
      </x:c>
      <x:c r="I43" s="107" t="n">
        <x:v>107.32219570999999</x:v>
      </x:c>
      <x:c r="J43" s="107" t="n">
        <x:v>174.93162855</x:v>
      </x:c>
      <x:c r="K43" s="107" t="n">
        <x:v>20.27948044</x:v>
      </x:c>
    </x:row>
    <x:row r="44" ht="17" customHeight="1">
      <x:c r="A44" s="9" t="str">
        <x:v>2026-03-01</x:v>
      </x:c>
      <x:c r="B44" s="9" t="str">
        <x:v>Actual</x:v>
      </x:c>
      <x:c r="C44" s="277" t="n">
        <x:v>30.96</x:v>
      </x:c>
      <x:c r="D44" s="277" t="n">
        <x:v>62.44</x:v>
      </x:c>
      <x:c r="E44" s="277" t="n">
        <x:v>47.66</x:v>
      </x:c>
      <x:c r="F44" s="277" t="n">
        <x:v>45.74</x:v>
      </x:c>
      <x:c r="G44" s="107" t="n">
        <x:v>140.49040857</x:v>
      </x:c>
      <x:c r="H44" s="107" t="n">
        <x:v>141.7781492</x:v>
      </x:c>
      <x:c r="I44" s="107" t="n">
        <x:v>108.21823495999999</x:v>
      </x:c>
      <x:c r="J44" s="107" t="n">
        <x:v>174.05032282</x:v>
      </x:c>
      <x:c r="K44" s="107" t="n">
        <x:v>-0.88130574</x:v>
      </x:c>
    </x:row>
    <x:row r="45" ht="17" customHeight="1">
      <x:c r="A45" s="9" t="str">
        <x:v>2026-04-01</x:v>
      </x:c>
      <x:c r="B45" s="9" t="str">
        <x:v>Actual</x:v>
      </x:c>
      <x:c r="C45" s="277" t="n">
        <x:v>30.88</x:v>
      </x:c>
      <x:c r="D45" s="277" t="n">
        <x:v>62.32</x:v>
      </x:c>
      <x:c r="E45" s="277" t="n">
        <x:v>47.73</x:v>
      </x:c>
      <x:c r="F45" s="277" t="n">
        <x:v>45.47</x:v>
      </x:c>
      <x:c r="G45" s="107" t="n">
        <x:v>151.14416307</x:v>
      </x:c>
      <x:c r="H45" s="107" t="n">
        <x:v>152.3913441</x:v>
      </x:c>
      <x:c r="I45" s="107" t="n">
        <x:v>116.71435901000001</x:v>
      </x:c>
      <x:c r="J45" s="107" t="n">
        <x:v>186.82114816</x:v>
      </x:c>
      <x:c r="K45" s="107" t="n">
        <x:v>12.77082534</x:v>
      </x:c>
    </x:row>
    <x:row r="46" ht="17" customHeight="1">
      <x:c r="A46" s="9" t="str">
        <x:v>2026-05-01</x:v>
      </x:c>
      <x:c r="B46" s="9" t="str">
        <x:v>Actual</x:v>
      </x:c>
      <x:c r="C46" s="277" t="n">
        <x:v>30.8</x:v>
      </x:c>
      <x:c r="D46" s="277" t="n">
        <x:v>62.2</x:v>
      </x:c>
      <x:c r="E46" s="277" t="n">
        <x:v>47.8</x:v>
      </x:c>
      <x:c r="F46" s="277" t="n">
        <x:v>45.2</x:v>
      </x:c>
      <x:c r="G46" s="107" t="n">
        <x:v>146.55217715</x:v>
      </x:c>
      <x:c r="H46" s="107" t="n">
        <x:v>147.60539935</x:v>
      </x:c>
      <x:c r="I46" s="107" t="n">
        <x:v>113.43308825</x:v>
      </x:c>
      <x:c r="J46" s="107" t="n">
        <x:v>180.72448825</x:v>
      </x:c>
      <x:c r="K46" s="107" t="n">
        <x:v>-6.0966599100000005</x:v>
      </x:c>
    </x:row>
    <x:row r="47" ht="17" customHeight="1">
      <x:c r="A47" s="9" t="str">
        <x:v>2026-06-01</x:v>
      </x:c>
      <x:c r="B47" s="9" t="str">
        <x:v>Actual</x:v>
      </x:c>
      <x:c r="C47" s="277" t="n">
        <x:v>30.72</x:v>
      </x:c>
      <x:c r="D47" s="277" t="n">
        <x:v>62.08</x:v>
      </x:c>
      <x:c r="E47" s="277" t="n">
        <x:v>47.87</x:v>
      </x:c>
      <x:c r="F47" s="277" t="n">
        <x:v>44.93</x:v>
      </x:c>
      <x:c r="G47" s="107" t="n">
        <x:v>153.03439132</x:v>
      </x:c>
      <x:c r="H47" s="107" t="n">
        <x:v>152.86508052000002</x:v>
      </x:c>
      <x:c r="I47" s="107" t="n">
        <x:v>117.87453938</x:v>
      </x:c>
      <x:c r="J47" s="107" t="n">
        <x:v>188.02493246</x:v>
      </x:c>
      <x:c r="K47" s="107" t="n">
        <x:v>7.30044421</x:v>
      </x:c>
    </x:row>
    <x:row r="48" ht="17" customHeight="1">
      <x:c r="A48" s="9" t="str">
        <x:v>2026-01-01</x:v>
      </x:c>
      <x:c r="B48" s="9" t="str">
        <x:v>Budget</x:v>
      </x:c>
      <x:c r="C48" s="277" t="n">
        <x:v>29</x:v>
      </x:c>
      <x:c r="D48" s="277" t="n">
        <x:v>56</x:v>
      </x:c>
      <x:c r="E48" s="277" t="n">
        <x:v>50</x:v>
      </x:c>
      <x:c r="F48" s="277" t="n">
        <x:v>35</x:v>
      </x:c>
      <x:c r="G48" s="107" t="n">
        <x:v>115.39619459999999</x:v>
      </x:c>
      <x:c r="H48" s="107" t="n">
        <x:v>108.9041391</x:v>
      </x:c>
      <x:c r="I48" s="107" t="n">
        <x:v>97.23583848</x:v>
      </x:c>
      <x:c r="J48" s="107" t="n">
        <x:v>127.06449522</x:v>
      </x:c>
      <x:c r="K48" s="107" t="n">
        <x:v>-111.86244469</x:v>
      </x:c>
    </x:row>
    <x:row r="49" ht="17" customHeight="1">
      <x:c r="A49" s="9" t="str">
        <x:v>2026-02-01</x:v>
      </x:c>
      <x:c r="B49" s="9" t="str">
        <x:v>Budget</x:v>
      </x:c>
      <x:c r="C49" s="277" t="n">
        <x:v>29</x:v>
      </x:c>
      <x:c r="D49" s="277" t="n">
        <x:v>56</x:v>
      </x:c>
      <x:c r="E49" s="277" t="n">
        <x:v>50</x:v>
      </x:c>
      <x:c r="F49" s="277" t="n">
        <x:v>35</x:v>
      </x:c>
      <x:c r="G49" s="107" t="n">
        <x:v>132.5827127</x:v>
      </x:c>
      <x:c r="H49" s="107" t="n">
        <x:v>125.47249742</x:v>
      </x:c>
      <x:c r="I49" s="107" t="n">
        <x:v>112.02901555</x:v>
      </x:c>
      <x:c r="J49" s="107" t="n">
        <x:v>146.02619457</x:v>
      </x:c>
      <x:c r="K49" s="107" t="n">
        <x:v>18.96169935</x:v>
      </x:c>
    </x:row>
    <x:row r="50" ht="17" customHeight="1">
      <x:c r="A50" s="9" t="str">
        <x:v>2026-03-01</x:v>
      </x:c>
      <x:c r="B50" s="9" t="str">
        <x:v>Budget</x:v>
      </x:c>
      <x:c r="C50" s="277" t="n">
        <x:v>29</x:v>
      </x:c>
      <x:c r="D50" s="277" t="n">
        <x:v>56</x:v>
      </x:c>
      <x:c r="E50" s="277" t="n">
        <x:v>50</x:v>
      </x:c>
      <x:c r="F50" s="277" t="n">
        <x:v>35</x:v>
      </x:c>
      <x:c r="G50" s="107" t="n">
        <x:v>136.11763975</x:v>
      </x:c>
      <x:c r="H50" s="107" t="n">
        <x:v>129.14382605</x:v>
      </x:c>
      <x:c r="I50" s="107" t="n">
        <x:v>115.30698755</x:v>
      </x:c>
      <x:c r="J50" s="107" t="n">
        <x:v>149.95447825</x:v>
      </x:c>
      <x:c r="K50" s="107" t="n">
        <x:v>3.9282836899999998</x:v>
      </x:c>
    </x:row>
    <x:row r="51" ht="17" customHeight="1">
      <x:c r="A51" s="9" t="str">
        <x:v>2026-04-01</x:v>
      </x:c>
      <x:c r="B51" s="9" t="str">
        <x:v>Budget</x:v>
      </x:c>
      <x:c r="C51" s="277" t="n">
        <x:v>29</x:v>
      </x:c>
      <x:c r="D51" s="277" t="n">
        <x:v>56</x:v>
      </x:c>
      <x:c r="E51" s="277" t="n">
        <x:v>50</x:v>
      </x:c>
      <x:c r="F51" s="277" t="n">
        <x:v>35</x:v>
      </x:c>
      <x:c r="G51" s="107" t="n">
        <x:v>143.06357473</x:v>
      </x:c>
      <x:c r="H51" s="107" t="n">
        <x:v>135.57516217</x:v>
      </x:c>
      <x:c r="I51" s="107" t="n">
        <x:v>121.04925193000001</x:v>
      </x:c>
      <x:c r="J51" s="107" t="n">
        <x:v>157.58948497</x:v>
      </x:c>
      <x:c r="K51" s="107" t="n">
        <x:v>7.63500671</x:v>
      </x:c>
    </x:row>
    <x:row r="52" ht="17" customHeight="1">
      <x:c r="A52" s="9" t="str">
        <x:v>2026-05-01</x:v>
      </x:c>
      <x:c r="B52" s="9" t="str">
        <x:v>Budget</x:v>
      </x:c>
      <x:c r="C52" s="277" t="n">
        <x:v>29</x:v>
      </x:c>
      <x:c r="D52" s="277" t="n">
        <x:v>56</x:v>
      </x:c>
      <x:c r="E52" s="277" t="n">
        <x:v>50</x:v>
      </x:c>
      <x:c r="F52" s="277" t="n">
        <x:v>35</x:v>
      </x:c>
      <x:c r="G52" s="107" t="n">
        <x:v>140.43170948</x:v>
      </x:c>
      <x:c r="H52" s="107" t="n">
        <x:v>132.45326167</x:v>
      </x:c>
      <x:c r="I52" s="107" t="n">
        <x:v>118.26184076999999</x:v>
      </x:c>
      <x:c r="J52" s="107" t="n">
        <x:v>154.62313037</x:v>
      </x:c>
      <x:c r="K52" s="107" t="n">
        <x:v>-2.9663546000000003</x:v>
      </x:c>
    </x:row>
    <x:row r="53" ht="17" customHeight="1">
      <x:c r="A53" s="9" t="str">
        <x:v>2026-06-01</x:v>
      </x:c>
      <x:c r="B53" s="9" t="str">
        <x:v>Budget</x:v>
      </x:c>
      <x:c r="C53" s="277" t="n">
        <x:v>29</x:v>
      </x:c>
      <x:c r="D53" s="277" t="n">
        <x:v>56</x:v>
      </x:c>
      <x:c r="E53" s="277" t="n">
        <x:v>50</x:v>
      </x:c>
      <x:c r="F53" s="277" t="n">
        <x:v>35</x:v>
      </x:c>
      <x:c r="G53" s="107" t="n">
        <x:v>149.07656394999998</x:v>
      </x:c>
      <x:c r="H53" s="107" t="n">
        <x:v>140.25027822</x:v>
      </x:c>
      <x:c r="I53" s="107" t="n">
        <x:v>125.2234627</x:v>
      </x:c>
      <x:c r="J53" s="107" t="n">
        <x:v>164.10337947</x:v>
      </x:c>
      <x:c r="K53" s="107" t="n">
        <x:v>9.4802491</x:v>
      </x:c>
    </x:row>
    <x:row r="54" ht="17" customHeight="1">
      <x:c r="A54" s="9" t="str">
        <x:v>2026-07-01</x:v>
      </x:c>
      <x:c r="B54" s="9" t="str">
        <x:v>Budget</x:v>
      </x:c>
      <x:c r="C54" s="277" t="n">
        <x:v>29</x:v>
      </x:c>
      <x:c r="D54" s="277" t="n">
        <x:v>56</x:v>
      </x:c>
      <x:c r="E54" s="277" t="n">
        <x:v>50</x:v>
      </x:c>
      <x:c r="F54" s="277" t="n">
        <x:v>35</x:v>
      </x:c>
      <x:c r="G54" s="107" t="n">
        <x:v>136.55707844</x:v>
      </x:c>
      <x:c r="H54" s="107" t="n">
        <x:v>127.96224954</x:v>
      </x:c>
      <x:c r="I54" s="107" t="n">
        <x:v>114.25200851999999</x:v>
      </x:c>
      <x:c r="J54" s="107" t="n">
        <x:v>150.26731946</x:v>
      </x:c>
      <x:c r="K54" s="107" t="n">
        <x:v>-13.83606001</x:v>
      </x:c>
    </x:row>
    <x:row r="55" ht="17" customHeight="1">
      <x:c r="A55" s="9" t="str">
        <x:v>2026-08-01</x:v>
      </x:c>
      <x:c r="B55" s="9" t="str">
        <x:v>Budget</x:v>
      </x:c>
      <x:c r="C55" s="277" t="n">
        <x:v>29</x:v>
      </x:c>
      <x:c r="D55" s="277" t="n">
        <x:v>56</x:v>
      </x:c>
      <x:c r="E55" s="277" t="n">
        <x:v>50</x:v>
      </x:c>
      <x:c r="F55" s="277" t="n">
        <x:v>35</x:v>
      </x:c>
      <x:c r="G55" s="107" t="n">
        <x:v>131.93373954999998</x:v>
      </x:c>
      <x:c r="H55" s="107" t="n">
        <x:v>123.60399011</x:v>
      </x:c>
      <x:c r="I55" s="107" t="n">
        <x:v>110.36070545</x:v>
      </x:c>
      <x:c r="J55" s="107" t="n">
        <x:v>145.17702419999998</x:v>
      </x:c>
      <x:c r="K55" s="107" t="n">
        <x:v>-5.0902952599999995</x:v>
      </x:c>
    </x:row>
    <x:row r="56" ht="17" customHeight="1">
      <x:c r="A56" s="9" t="str">
        <x:v>2026-09-01</x:v>
      </x:c>
      <x:c r="B56" s="9" t="str">
        <x:v>Budget</x:v>
      </x:c>
      <x:c r="C56" s="277" t="n">
        <x:v>29</x:v>
      </x:c>
      <x:c r="D56" s="277" t="n">
        <x:v>56</x:v>
      </x:c>
      <x:c r="E56" s="277" t="n">
        <x:v>50</x:v>
      </x:c>
      <x:c r="F56" s="277" t="n">
        <x:v>35</x:v>
      </x:c>
      <x:c r="G56" s="107" t="n">
        <x:v>155.41171917</x:v>
      </x:c>
      <x:c r="H56" s="107" t="n">
        <x:v>147.68885115</x:v>
      </x:c>
      <x:c r="I56" s="107" t="n">
        <x:v>131.86504567</x:v>
      </x:c>
      <x:c r="J56" s="107" t="n">
        <x:v>171.23552465</x:v>
      </x:c>
      <x:c r="K56" s="107" t="n">
        <x:v>26.05850045</x:v>
      </x:c>
    </x:row>
    <x:row r="57" ht="17" customHeight="1">
      <x:c r="A57" s="9" t="str">
        <x:v>2026-10-01</x:v>
      </x:c>
      <x:c r="B57" s="9" t="str">
        <x:v>Budget</x:v>
      </x:c>
      <x:c r="C57" s="277" t="n">
        <x:v>30.5</x:v>
      </x:c>
      <x:c r="D57" s="277" t="n">
        <x:v>59</x:v>
      </x:c>
      <x:c r="E57" s="277" t="n">
        <x:v>50</x:v>
      </x:c>
      <x:c r="F57" s="277" t="n">
        <x:v>39.5</x:v>
      </x:c>
      <x:c r="G57" s="107" t="n">
        <x:v>166.59641662</x:v>
      </x:c>
      <x:c r="H57" s="107" t="n">
        <x:v>157.47702325</x:v>
      </x:c>
      <x:c r="I57" s="107" t="n">
        <x:v>133.45510445</x:v>
      </x:c>
      <x:c r="J57" s="107" t="n">
        <x:v>190.61833542</x:v>
      </x:c>
      <x:c r="K57" s="107" t="n">
        <x:v>19.38281077</x:v>
      </x:c>
    </x:row>
    <x:row r="58" ht="17" customHeight="1">
      <x:c r="A58" s="9" t="str">
        <x:v>2026-11-01</x:v>
      </x:c>
      <x:c r="B58" s="9" t="str">
        <x:v>Budget</x:v>
      </x:c>
      <x:c r="C58" s="277" t="n">
        <x:v>30.5</x:v>
      </x:c>
      <x:c r="D58" s="277" t="n">
        <x:v>59</x:v>
      </x:c>
      <x:c r="E58" s="277" t="n">
        <x:v>50</x:v>
      </x:c>
      <x:c r="F58" s="277" t="n">
        <x:v>39.5</x:v>
      </x:c>
      <x:c r="G58" s="107" t="n">
        <x:v>182.38487175999998</x:v>
      </x:c>
      <x:c r="H58" s="107" t="n">
        <x:v>170.94983481</x:v>
      </x:c>
      <x:c r="I58" s="107" t="n">
        <x:v>144.87274137</x:v>
      </x:c>
      <x:c r="J58" s="107" t="n">
        <x:v>208.46196521000002</x:v>
      </x:c>
      <x:c r="K58" s="107" t="n">
        <x:v>17.84362978</x:v>
      </x:c>
    </x:row>
    <x:row r="59" ht="17" customHeight="1">
      <x:c r="A59" s="9" t="str">
        <x:v>2026-12-01</x:v>
      </x:c>
      <x:c r="B59" s="9" t="str">
        <x:v>Budget</x:v>
      </x:c>
      <x:c r="C59" s="277" t="n">
        <x:v>30.5</x:v>
      </x:c>
      <x:c r="D59" s="277" t="n">
        <x:v>59</x:v>
      </x:c>
      <x:c r="E59" s="277" t="n">
        <x:v>50</x:v>
      </x:c>
      <x:c r="F59" s="277" t="n">
        <x:v>39.5</x:v>
      </x:c>
      <x:c r="G59" s="107" t="n">
        <x:v>190.02974945</x:v>
      </x:c>
      <x:c r="H59" s="107" t="n">
        <x:v>177.05314457</x:v>
      </x:c>
      <x:c r="I59" s="107" t="n">
        <x:v>150.04503777000002</x:v>
      </x:c>
      <x:c r="J59" s="107" t="n">
        <x:v>217.03785625</x:v>
      </x:c>
      <x:c r="K59" s="107" t="n">
        <x:v>8.575891039999998</x:v>
      </x:c>
    </x:row>
    <x:row r="60" ht="17" customHeight="1">
      <x:c r="A60" s="9" t="str">
        <x:v>2026-01-01</x:v>
      </x:c>
      <x:c r="B60" s="9" t="str">
        <x:v>Forecast</x:v>
      </x:c>
      <x:c r="C60" s="277" t="n">
        <x:v>31</x:v>
      </x:c>
      <x:c r="D60" s="277" t="n">
        <x:v>60</x:v>
      </x:c>
      <x:c r="E60" s="277" t="n">
        <x:v>48</x:v>
      </x:c>
      <x:c r="F60" s="277" t="n">
        <x:v>43</x:v>
      </x:c>
      <x:c r="G60" s="107" t="n">
        <x:v>124.15170402</x:v>
      </x:c>
      <x:c r="H60" s="107" t="n">
        <x:v>118.81209836</x:v>
      </x:c>
      <x:c r="I60" s="107" t="n">
        <x:v>95.04967869</x:v>
      </x:c>
      <x:c r="J60" s="107" t="n">
        <x:v>147.91412369</x:v>
      </x:c>
      <x:c r="K60" s="107" t="n">
        <x:v>-91.01281622</x:v>
      </x:c>
    </x:row>
    <x:row r="61" ht="17" customHeight="1">
      <x:c r="A61" s="9" t="str">
        <x:v>2026-02-01</x:v>
      </x:c>
      <x:c r="B61" s="9" t="str">
        <x:v>Forecast</x:v>
      </x:c>
      <x:c r="C61" s="277" t="n">
        <x:v>31</x:v>
      </x:c>
      <x:c r="D61" s="277" t="n">
        <x:v>60</x:v>
      </x:c>
      <x:c r="E61" s="277" t="n">
        <x:v>48</x:v>
      </x:c>
      <x:c r="F61" s="277" t="n">
        <x:v>43</x:v>
      </x:c>
      <x:c r="G61" s="107" t="n">
        <x:v>140.99023373</x:v>
      </x:c>
      <x:c r="H61" s="107" t="n">
        <x:v>135.30850479</x:v>
      </x:c>
      <x:c r="I61" s="107" t="n">
        <x:v>108.24680383</x:v>
      </x:c>
      <x:c r="J61" s="107" t="n">
        <x:v>168.05193468000002</x:v>
      </x:c>
      <x:c r="K61" s="107" t="n">
        <x:v>20.13781099</x:v>
      </x:c>
    </x:row>
    <x:row r="62" ht="17" customHeight="1">
      <x:c r="A62" s="9" t="str">
        <x:v>2026-03-01</x:v>
      </x:c>
      <x:c r="B62" s="9" t="str">
        <x:v>Forecast</x:v>
      </x:c>
      <x:c r="C62" s="277" t="n">
        <x:v>31</x:v>
      </x:c>
      <x:c r="D62" s="277" t="n">
        <x:v>60</x:v>
      </x:c>
      <x:c r="E62" s="277" t="n">
        <x:v>48</x:v>
      </x:c>
      <x:c r="F62" s="277" t="n">
        <x:v>43</x:v>
      </x:c>
      <x:c r="G62" s="107" t="n">
        <x:v>140.67192072999998</x:v>
      </x:c>
      <x:c r="H62" s="107" t="n">
        <x:v>136.23781154</x:v>
      </x:c>
      <x:c r="I62" s="107" t="n">
        <x:v>108.99024923</x:v>
      </x:c>
      <x:c r="J62" s="107" t="n">
        <x:v>167.91948304</x:v>
      </x:c>
      <x:c r="K62" s="107" t="n">
        <x:v>-0.13245165</x:v>
      </x:c>
    </x:row>
    <x:row r="63" ht="17" customHeight="1">
      <x:c r="A63" s="9" t="str">
        <x:v>2026-04-01</x:v>
      </x:c>
      <x:c r="B63" s="9" t="str">
        <x:v>Forecast</x:v>
      </x:c>
      <x:c r="C63" s="277" t="n">
        <x:v>31</x:v>
      </x:c>
      <x:c r="D63" s="277" t="n">
        <x:v>60</x:v>
      </x:c>
      <x:c r="E63" s="277" t="n">
        <x:v>48</x:v>
      </x:c>
      <x:c r="F63" s="277" t="n">
        <x:v>43</x:v>
      </x:c>
      <x:c r="G63" s="107" t="n">
        <x:v>151.73151086000001</x:v>
      </x:c>
      <x:c r="H63" s="107" t="n">
        <x:v>146.71823886</x:v>
      </x:c>
      <x:c r="I63" s="107" t="n">
        <x:v>117.37459109000001</x:v>
      </x:c>
      <x:c r="J63" s="107" t="n">
        <x:v>181.07515863</x:v>
      </x:c>
      <x:c r="K63" s="107" t="n">
        <x:v>13.15567559</x:v>
      </x:c>
    </x:row>
    <x:row r="64" ht="17" customHeight="1">
      <x:c r="A64" s="9" t="str">
        <x:v>2026-05-01</x:v>
      </x:c>
      <x:c r="B64" s="9" t="str">
        <x:v>Forecast</x:v>
      </x:c>
      <x:c r="C64" s="277" t="n">
        <x:v>31</x:v>
      </x:c>
      <x:c r="D64" s="277" t="n">
        <x:v>60</x:v>
      </x:c>
      <x:c r="E64" s="277" t="n">
        <x:v>48</x:v>
      </x:c>
      <x:c r="F64" s="277" t="n">
        <x:v>43</x:v>
      </x:c>
      <x:c r="G64" s="107" t="n">
        <x:v>147.50381466</x:v>
      </x:c>
      <x:c r="H64" s="107" t="n">
        <x:v>142.38462959999998</x:v>
      </x:c>
      <x:c r="I64" s="107" t="n">
        <x:v>113.90770368000001</x:v>
      </x:c>
      <x:c r="J64" s="107" t="n">
        <x:v>175.98074058</x:v>
      </x:c>
      <x:c r="K64" s="107" t="n">
        <x:v>-5.09441805</x:v>
      </x:c>
    </x:row>
    <x:row r="65" ht="17" customHeight="1">
      <x:c r="A65" s="9" t="str">
        <x:v>2026-06-01</x:v>
      </x:c>
      <x:c r="B65" s="9" t="str">
        <x:v>Forecast</x:v>
      </x:c>
      <x:c r="C65" s="277" t="n">
        <x:v>31</x:v>
      </x:c>
      <x:c r="D65" s="277" t="n">
        <x:v>60</x:v>
      </x:c>
      <x:c r="E65" s="277" t="n">
        <x:v>48</x:v>
      </x:c>
      <x:c r="F65" s="277" t="n">
        <x:v>43</x:v>
      </x:c>
      <x:c r="G65" s="107" t="n">
        <x:v>154.42923603</x:v>
      </x:c>
      <x:c r="H65" s="107" t="n">
        <x:v>147.74331236</x:v>
      </x:c>
      <x:c r="I65" s="107" t="n">
        <x:v>118.19464989</x:v>
      </x:c>
      <x:c r="J65" s="107" t="n">
        <x:v>183.9778985</x:v>
      </x:c>
      <x:c r="K65" s="107" t="n">
        <x:v>7.99715792</x:v>
      </x:c>
    </x:row>
    <x:row r="66" ht="17" customHeight="1">
      <x:c r="A66" s="9" t="str">
        <x:v>2026-07-01</x:v>
      </x:c>
      <x:c r="B66" s="9" t="str">
        <x:v>Forecast</x:v>
      </x:c>
      <x:c r="C66" s="277" t="n">
        <x:v>31</x:v>
      </x:c>
      <x:c r="D66" s="277" t="n">
        <x:v>60</x:v>
      </x:c>
      <x:c r="E66" s="277" t="n">
        <x:v>48</x:v>
      </x:c>
      <x:c r="F66" s="277" t="n">
        <x:v>43</x:v>
      </x:c>
      <x:c r="G66" s="107" t="n">
        <x:v>145.25930169999998</x:v>
      </x:c>
      <x:c r="H66" s="107" t="n">
        <x:v>138.04197883</x:v>
      </x:c>
      <x:c r="I66" s="107" t="n">
        <x:v>110.43358306</x:v>
      </x:c>
      <x:c r="J66" s="107" t="n">
        <x:v>172.86769747</x:v>
      </x:c>
      <x:c r="K66" s="107" t="n">
        <x:v>-11.11020104</x:v>
      </x:c>
    </x:row>
    <x:row r="67" ht="17" customHeight="1">
      <x:c r="A67" s="9" t="str">
        <x:v>2026-08-01</x:v>
      </x:c>
      <x:c r="B67" s="9" t="str">
        <x:v>Forecast</x:v>
      </x:c>
      <x:c r="C67" s="277" t="n">
        <x:v>31</x:v>
      </x:c>
      <x:c r="D67" s="277" t="n">
        <x:v>60</x:v>
      </x:c>
      <x:c r="E67" s="277" t="n">
        <x:v>48</x:v>
      </x:c>
      <x:c r="F67" s="277" t="n">
        <x:v>43</x:v>
      </x:c>
      <x:c r="G67" s="107" t="n">
        <x:v>141.41465324</x:v>
      </x:c>
      <x:c r="H67" s="107" t="n">
        <x:v>134.69102518</x:v>
      </x:c>
      <x:c r="I67" s="107" t="n">
        <x:v>107.75282014</x:v>
      </x:c>
      <x:c r="J67" s="107" t="n">
        <x:v>168.35285828</x:v>
      </x:c>
      <x:c r="K67" s="107" t="n">
        <x:v>-4.51483919</x:v>
      </x:c>
    </x:row>
    <x:row r="68" ht="17" customHeight="1">
      <x:c r="A68" s="9" t="str">
        <x:v>2026-09-01</x:v>
      </x:c>
      <x:c r="B68" s="9" t="str">
        <x:v>Forecast</x:v>
      </x:c>
      <x:c r="C68" s="277" t="n">
        <x:v>31</x:v>
      </x:c>
      <x:c r="D68" s="277" t="n">
        <x:v>60</x:v>
      </x:c>
      <x:c r="E68" s="277" t="n">
        <x:v>48</x:v>
      </x:c>
      <x:c r="F68" s="277" t="n">
        <x:v>43</x:v>
      </x:c>
      <x:c r="G68" s="107" t="n">
        <x:v>161.34573114</x:v>
      </x:c>
      <x:c r="H68" s="107" t="n">
        <x:v>155.0539977</x:v>
      </x:c>
      <x:c r="I68" s="107" t="n">
        <x:v>124.04319816</x:v>
      </x:c>
      <x:c r="J68" s="107" t="n">
        <x:v>192.35653068000002</x:v>
      </x:c>
      <x:c r="K68" s="107" t="n">
        <x:v>24.00367241</x:v>
      </x:c>
    </x:row>
    <x:row r="69" ht="17" customHeight="1">
      <x:c r="A69" s="9" t="str">
        <x:v>2026-10-01</x:v>
      </x:c>
      <x:c r="B69" s="9" t="str">
        <x:v>Forecast</x:v>
      </x:c>
      <x:c r="C69" s="277" t="n">
        <x:v>33.1</x:v>
      </x:c>
      <x:c r="D69" s="277" t="n">
        <x:v>63.6</x:v>
      </x:c>
      <x:c r="E69" s="277" t="n">
        <x:v>48</x:v>
      </x:c>
      <x:c r="F69" s="277" t="n">
        <x:v>48.7</x:v>
      </x:c>
      <x:c r="G69" s="107" t="n">
        <x:v>173.18314786000002</x:v>
      </x:c>
      <x:c r="H69" s="107" t="n">
        <x:v>164.78853884</x:v>
      </x:c>
      <x:c r="I69" s="107" t="n">
        <x:v>124.36870856</x:v>
      </x:c>
      <x:c r="J69" s="107" t="n">
        <x:v>213.60297813999998</x:v>
      </x:c>
      <x:c r="K69" s="107" t="n">
        <x:v>21.246447449999998</x:v>
      </x:c>
    </x:row>
    <x:row r="70" ht="17" customHeight="1">
      <x:c r="A70" s="9" t="str">
        <x:v>2026-11-01</x:v>
      </x:c>
      <x:c r="B70" s="9" t="str">
        <x:v>Forecast</x:v>
      </x:c>
      <x:c r="C70" s="277" t="n">
        <x:v>33.1</x:v>
      </x:c>
      <x:c r="D70" s="277" t="n">
        <x:v>63.6</x:v>
      </x:c>
      <x:c r="E70" s="277" t="n">
        <x:v>48</x:v>
      </x:c>
      <x:c r="F70" s="277" t="n">
        <x:v>48.7</x:v>
      </x:c>
      <x:c r="G70" s="107" t="n">
        <x:v>187.2329275</x:v>
      </x:c>
      <x:c r="H70" s="107" t="n">
        <x:v>176.77542648</x:v>
      </x:c>
      <x:c r="I70" s="107" t="n">
        <x:v>133.41541621</x:v>
      </x:c>
      <x:c r="J70" s="107" t="n">
        <x:v>230.59293777000002</x:v>
      </x:c>
      <x:c r="K70" s="107" t="n">
        <x:v>16.989959629999998</x:v>
      </x:c>
    </x:row>
    <x:row r="71" ht="17" customHeight="1">
      <x:c r="A71" s="9" t="str">
        <x:v>2026-12-01</x:v>
      </x:c>
      <x:c r="B71" s="9" t="str">
        <x:v>Forecast</x:v>
      </x:c>
      <x:c r="C71" s="277" t="n">
        <x:v>33.1</x:v>
      </x:c>
      <x:c r="D71" s="277" t="n">
        <x:v>63.6</x:v>
      </x:c>
      <x:c r="E71" s="277" t="n">
        <x:v>48</x:v>
      </x:c>
      <x:c r="F71" s="277" t="n">
        <x:v>48.7</x:v>
      </x:c>
      <x:c r="G71" s="107" t="n">
        <x:v>192.34936101</x:v>
      </x:c>
      <x:c r="H71" s="107" t="n">
        <x:v>180.61637951</x:v>
      </x:c>
      <x:c r="I71" s="107" t="n">
        <x:v>136.31424869</x:v>
      </x:c>
      <x:c r="J71" s="107" t="n">
        <x:v>236.65149183000003</x:v>
      </x:c>
      <x:c r="K71" s="107" t="n">
        <x:v>6.0585540700000005</x:v>
      </x:c>
    </x:row>
    <x:row r="72" ht="17" customHeight="1">
      <x:c r="A72" s="9" t="str">
        <x:v>2027-01-01</x:v>
      </x:c>
      <x:c r="B72" s="9" t="str">
        <x:v>Forecast</x:v>
      </x:c>
      <x:c r="C72" s="277" t="n">
        <x:v>31</x:v>
      </x:c>
      <x:c r="D72" s="277" t="n">
        <x:v>60</x:v>
      </x:c>
      <x:c r="E72" s="277" t="n">
        <x:v>48</x:v>
      </x:c>
      <x:c r="F72" s="277" t="n">
        <x:v>43</x:v>
      </x:c>
      <x:c r="G72" s="107" t="n">
        <x:v>140.24997832</x:v>
      </x:c>
      <x:c r="H72" s="107" t="n">
        <x:v>132.95296903</x:v>
      </x:c>
      <x:c r="I72" s="107" t="n">
        <x:v>106.36237522</x:v>
      </x:c>
      <x:c r="J72" s="107" t="n">
        <x:v>166.84057213</x:v>
      </x:c>
      <x:c r="K72" s="107" t="n">
        <x:v>-69.81091971</x:v>
      </x:c>
    </x:row>
    <x:row r="73" ht="17" customHeight="1">
      <x:c r="A73" s="9" t="str">
        <x:v>2027-02-01</x:v>
      </x:c>
      <x:c r="B73" s="9" t="str">
        <x:v>Forecast</x:v>
      </x:c>
      <x:c r="C73" s="277" t="n">
        <x:v>31</x:v>
      </x:c>
      <x:c r="D73" s="277" t="n">
        <x:v>60</x:v>
      </x:c>
      <x:c r="E73" s="277" t="n">
        <x:v>48</x:v>
      </x:c>
      <x:c r="F73" s="277" t="n">
        <x:v>43</x:v>
      </x:c>
      <x:c r="G73" s="107" t="n">
        <x:v>160.23314183000002</x:v>
      </x:c>
      <x:c r="H73" s="107" t="n">
        <x:v>152.26636094999998</x:v>
      </x:c>
      <x:c r="I73" s="107" t="n">
        <x:v>121.81308876</x:v>
      </x:c>
      <x:c r="J73" s="107" t="n">
        <x:v>190.68641402</x:v>
      </x:c>
      <x:c r="K73" s="107" t="n">
        <x:v>23.8458419</x:v>
      </x:c>
    </x:row>
    <x:row r="74" ht="17" customHeight="1">
      <x:c r="A74" s="9" t="str">
        <x:v>2027-03-01</x:v>
      </x:c>
      <x:c r="B74" s="9" t="str">
        <x:v>Forecast</x:v>
      </x:c>
      <x:c r="C74" s="277" t="n">
        <x:v>31</x:v>
      </x:c>
      <x:c r="D74" s="277" t="n">
        <x:v>60</x:v>
      </x:c>
      <x:c r="E74" s="277" t="n">
        <x:v>48</x:v>
      </x:c>
      <x:c r="F74" s="277" t="n">
        <x:v>43</x:v>
      </x:c>
      <x:c r="G74" s="107" t="n">
        <x:v>157.2698094</x:v>
      </x:c>
      <x:c r="H74" s="107" t="n">
        <x:v>150.05392422999998</x:v>
      </x:c>
      <x:c r="I74" s="107" t="n">
        <x:v>120.04313938</x:v>
      </x:c>
      <x:c r="J74" s="107" t="n">
        <x:v>187.28059425</x:v>
      </x:c>
      <x:c r="K74" s="107" t="n">
        <x:v>-3.40581978</x:v>
      </x:c>
    </x:row>
    <x:row r="75" ht="17" customHeight="1">
      <x:c r="A75" s="9" t="str">
        <x:v>2027-04-01</x:v>
      </x:c>
      <x:c r="B75" s="9" t="str">
        <x:v>Forecast</x:v>
      </x:c>
      <x:c r="C75" s="277" t="n">
        <x:v>31</x:v>
      </x:c>
      <x:c r="D75" s="277" t="n">
        <x:v>60</x:v>
      </x:c>
      <x:c r="E75" s="277" t="n">
        <x:v>48</x:v>
      </x:c>
      <x:c r="F75" s="277" t="n">
        <x:v>43</x:v>
      </x:c>
      <x:c r="G75" s="107" t="n">
        <x:v>167.79188055</x:v>
      </x:c>
      <x:c r="H75" s="107" t="n">
        <x:v>160.0363672</x:v>
      </x:c>
      <x:c r="I75" s="107" t="n">
        <x:v>128.02909376</x:v>
      </x:c>
      <x:c r="J75" s="107" t="n">
        <x:v>199.79915399</x:v>
      </x:c>
      <x:c r="K75" s="107" t="n">
        <x:v>12.51855974</x:v>
      </x:c>
    </x:row>
    <x:row r="76" ht="17" customHeight="1">
      <x:c r="A76" s="9" t="str">
        <x:v>2027-05-01</x:v>
      </x:c>
      <x:c r="B76" s="9" t="str">
        <x:v>Forecast</x:v>
      </x:c>
      <x:c r="C76" s="277" t="n">
        <x:v>31</x:v>
      </x:c>
      <x:c r="D76" s="277" t="n">
        <x:v>60</x:v>
      </x:c>
      <x:c r="E76" s="277" t="n">
        <x:v>48</x:v>
      </x:c>
      <x:c r="F76" s="277" t="n">
        <x:v>43</x:v>
      </x:c>
      <x:c r="G76" s="107" t="n">
        <x:v>163.55759287</x:v>
      </x:c>
      <x:c r="H76" s="107" t="n">
        <x:v>155.29141822999998</x:v>
      </x:c>
      <x:c r="I76" s="107" t="n">
        <x:v>124.23313459</x:v>
      </x:c>
      <x:c r="J76" s="107" t="n">
        <x:v>194.61587652</x:v>
      </x:c>
      <x:c r="K76" s="107" t="n">
        <x:v>-5.18327747</x:v>
      </x:c>
    </x:row>
    <x:row r="77" ht="17" customHeight="1">
      <x:c r="A77" s="9" t="str">
        <x:v>2027-06-01</x:v>
      </x:c>
      <x:c r="B77" s="9" t="str">
        <x:v>Forecast</x:v>
      </x:c>
      <x:c r="C77" s="277" t="n">
        <x:v>31</x:v>
      </x:c>
      <x:c r="D77" s="277" t="n">
        <x:v>60</x:v>
      </x:c>
      <x:c r="E77" s="277" t="n">
        <x:v>48</x:v>
      </x:c>
      <x:c r="F77" s="277" t="n">
        <x:v>43</x:v>
      </x:c>
      <x:c r="G77" s="107" t="n">
        <x:v>171.41699196000002</x:v>
      </x:c>
      <x:c r="H77" s="107" t="n">
        <x:v>162.04321456</x:v>
      </x:c>
      <x:c r="I77" s="107" t="n">
        <x:v>129.63457165</x:v>
      </x:c>
      <x:c r="J77" s="107" t="n">
        <x:v>203.82563487000002</x:v>
      </x:c>
      <x:c r="K77" s="107" t="n">
        <x:v>9.20975835</x:v>
      </x:c>
    </x:row>
  </x:sheetData>
  <x:mergeCells>
    <x:mergeCell ref="A1:K2"/>
    <x:mergeCell ref="A3:K3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5" hidden="0" customWidth="1"/>
    <x:col min="18" max="18" width="15" hidden="0" customWidth="1"/>
    <x:col min="19" max="19" width="15" hidden="0" customWidth="1"/>
  </x:cols>
  <x:sheetData>
    <x:row r="1" ht="25" customHeight="1">
      <x:c r="A1" s="3" t="str">
        <x:v>Department Data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25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</x:row>
    <x:row r="3" ht="25" customHeight="1">
      <x:c r="A3" s="6" t="str">
        <x:v>Monthly P&amp;L by department and version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  <x:c r="S3" s="6"/>
    </x:row>
    <x:row r="5" ht="17" customHeight="1">
      <x:c r="A5" s="13" t="str">
        <x:v>Month</x:v>
      </x:c>
      <x:c r="B5" s="13" t="str">
        <x:v>Department</x:v>
      </x:c>
      <x:c r="C5" s="13" t="str">
        <x:v>COGSTRY</x:v>
      </x:c>
      <x:c r="D5" s="13" t="str">
        <x:v>DepreciationTRY</x:v>
      </x:c>
      <x:c r="E5" s="13" t="str">
        <x:v>InterestTRY</x:v>
      </x:c>
      <x:c r="F5" s="13" t="str">
        <x:v>OperatingExpenseTRY</x:v>
      </x:c>
      <x:c r="G5" s="13" t="str">
        <x:v>RevenueTRY</x:v>
      </x:c>
      <x:c r="H5" s="13" t="str">
        <x:v>TaxTRY</x:v>
      </x:c>
      <x:c r="I5" s="13" t="str">
        <x:v>GrossProfitTRY</x:v>
      </x:c>
      <x:c r="J5" s="13" t="str">
        <x:v>EBITDATRY</x:v>
      </x:c>
      <x:c r="K5" s="13" t="str">
        <x:v>EBITTRY</x:v>
      </x:c>
      <x:c r="L5" s="13" t="str">
        <x:v>EBTTRY</x:v>
      </x:c>
      <x:c r="M5" s="13" t="str">
        <x:v>NetIncomeTRY</x:v>
      </x:c>
      <x:c r="N5" s="13" t="str">
        <x:v>GrossMarginPct</x:v>
      </x:c>
      <x:c r="O5" s="13" t="str">
        <x:v>EBITDAMarginPct</x:v>
      </x:c>
      <x:c r="P5" s="13" t="str">
        <x:v>NetIncomeMarginPct</x:v>
      </x:c>
      <x:c r="Q5" s="13" t="str">
        <x:v>Version</x:v>
      </x:c>
      <x:c r="R5" s="13" t="str">
        <x:v>Year</x:v>
      </x:c>
      <x:c r="S5" s="13" t="str">
        <x:v>MonthKey</x:v>
      </x:c>
    </x:row>
    <x:row r="6" ht="17" customHeight="1">
      <x:c r="A6" s="9" t="str">
        <x:v>2023-01-01</x:v>
      </x:c>
      <x:c r="B6" s="9" t="str">
        <x:v>Customer Success</x:v>
      </x:c>
      <x:c r="C6" s="107" t="n">
        <x:v>1.06806899</x:v>
      </x:c>
      <x:c r="D6" s="107" t="n">
        <x:v>0</x:v>
      </x:c>
      <x:c r="E6" s="107" t="n">
        <x:v>0</x:v>
      </x:c>
      <x:c r="F6" s="107" t="n">
        <x:v>2.21304984</x:v>
      </x:c>
      <x:c r="G6" s="107" t="n">
        <x:v>4.217622230000001</x:v>
      </x:c>
      <x:c r="H6" s="107" t="n">
        <x:v>0</x:v>
      </x:c>
      <x:c r="I6" s="107" t="n">
        <x:v>3.1495532400000004</x:v>
      </x:c>
      <x:c r="J6" s="107" t="n">
        <x:v>0.9365034000000003</x:v>
      </x:c>
      <x:c r="K6" s="107" t="n">
        <x:v>0.9365034000000003</x:v>
      </x:c>
      <x:c r="L6" s="107" t="n">
        <x:v>0.9365034000000003</x:v>
      </x:c>
      <x:c r="M6" s="107" t="n">
        <x:v>0.9365034000000003</x:v>
      </x:c>
      <x:c r="N6" s="108" t="n">
        <x:v>0.7467603944225227</x:v>
      </x:c>
      <x:c r="O6" s="108" t="n">
        <x:v>0.22204534899750855</x:v>
      </x:c>
      <x:c r="P6" s="108" t="n">
        <x:v>0.22204534899750855</x:v>
      </x:c>
      <x:c r="Q6" s="9" t="str">
        <x:v>Actual</x:v>
      </x:c>
      <x:c r="R6" s="9" t="n">
        <x:v>2023</x:v>
      </x:c>
      <x:c r="S6" s="9" t="str">
        <x:v>2023-01</x:v>
      </x:c>
    </x:row>
    <x:row r="7" ht="17" customHeight="1">
      <x:c r="A7" s="9" t="str">
        <x:v>2023-01-01</x:v>
      </x:c>
      <x:c r="B7" s="9" t="str">
        <x:v>Finance &amp; Corporate</x:v>
      </x:c>
      <x:c r="C7" s="107" t="n">
        <x:v>0</x:v>
      </x:c>
      <x:c r="D7" s="107" t="n">
        <x:v>0</x:v>
      </x:c>
      <x:c r="E7" s="107" t="n">
        <x:v>0.42</x:v>
      </x:c>
      <x:c r="F7" s="107" t="n">
        <x:v>4.597685650000001</x:v>
      </x:c>
      <x:c r="G7" s="107" t="n">
        <x:v>0</x:v>
      </x:c>
      <x:c r="H7" s="107" t="n">
        <x:v>0.37860552000000003</x:v>
      </x:c>
      <x:c r="I7" s="107" t="n">
        <x:v>0</x:v>
      </x:c>
      <x:c r="J7" s="107" t="n">
        <x:v>-4.597685650000001</x:v>
      </x:c>
      <x:c r="K7" s="107" t="n">
        <x:v>-4.597685650000001</x:v>
      </x:c>
      <x:c r="L7" s="107" t="n">
        <x:v>-5.017685650000001</x:v>
      </x:c>
      <x:c r="M7" s="107" t="n">
        <x:v>-5.39629117</x:v>
      </x:c>
      <x:c r="N7" s="108"/>
      <x:c r="O7" s="108"/>
      <x:c r="P7" s="108"/>
      <x:c r="Q7" s="9" t="str">
        <x:v>Actual</x:v>
      </x:c>
      <x:c r="R7" s="9" t="n">
        <x:v>2023</x:v>
      </x:c>
      <x:c r="S7" s="9" t="str">
        <x:v>2023-01</x:v>
      </x:c>
    </x:row>
    <x:row r="8" ht="17" customHeight="1">
      <x:c r="A8" s="9" t="str">
        <x:v>2023-01-01</x:v>
      </x:c>
      <x:c r="B8" s="9" t="str">
        <x:v>Marketing</x:v>
      </x:c>
      <x:c r="C8" s="107" t="n">
        <x:v>0</x:v>
      </x:c>
      <x:c r="D8" s="107" t="n">
        <x:v>0</x:v>
      </x:c>
      <x:c r="E8" s="107" t="n">
        <x:v>0</x:v>
      </x:c>
      <x:c r="F8" s="107" t="n">
        <x:v>4.91815821</x:v>
      </x:c>
      <x:c r="G8" s="107" t="n">
        <x:v>0</x:v>
      </x:c>
      <x:c r="H8" s="107" t="n">
        <x:v>0</x:v>
      </x:c>
      <x:c r="I8" s="107" t="n">
        <x:v>0</x:v>
      </x:c>
      <x:c r="J8" s="107" t="n">
        <x:v>-4.91815821</x:v>
      </x:c>
      <x:c r="K8" s="107" t="n">
        <x:v>-4.91815821</x:v>
      </x:c>
      <x:c r="L8" s="107" t="n">
        <x:v>-4.91815821</x:v>
      </x:c>
      <x:c r="M8" s="107" t="n">
        <x:v>-4.91815821</x:v>
      </x:c>
      <x:c r="N8" s="108"/>
      <x:c r="O8" s="108"/>
      <x:c r="P8" s="108"/>
      <x:c r="Q8" s="9" t="str">
        <x:v>Actual</x:v>
      </x:c>
      <x:c r="R8" s="9" t="n">
        <x:v>2023</x:v>
      </x:c>
      <x:c r="S8" s="9" t="str">
        <x:v>2023-01</x:v>
      </x:c>
    </x:row>
    <x:row r="9" ht="17" customHeight="1">
      <x:c r="A9" s="9" t="str">
        <x:v>2023-01-01</x:v>
      </x:c>
      <x:c r="B9" s="9" t="str">
        <x:v>Operations</x:v>
      </x:c>
      <x:c r="C9" s="107" t="n">
        <x:v>0</x:v>
      </x:c>
      <x:c r="D9" s="107" t="n">
        <x:v>0</x:v>
      </x:c>
      <x:c r="E9" s="107" t="n">
        <x:v>0</x:v>
      </x:c>
      <x:c r="F9" s="107" t="n">
        <x:v>6.61192838</x:v>
      </x:c>
      <x:c r="G9" s="107" t="n">
        <x:v>0</x:v>
      </x:c>
      <x:c r="H9" s="107" t="n">
        <x:v>0</x:v>
      </x:c>
      <x:c r="I9" s="107" t="n">
        <x:v>0</x:v>
      </x:c>
      <x:c r="J9" s="107" t="n">
        <x:v>-6.61192838</x:v>
      </x:c>
      <x:c r="K9" s="107" t="n">
        <x:v>-6.61192838</x:v>
      </x:c>
      <x:c r="L9" s="107" t="n">
        <x:v>-6.61192838</x:v>
      </x:c>
      <x:c r="M9" s="107" t="n">
        <x:v>-6.61192838</x:v>
      </x:c>
      <x:c r="N9" s="108"/>
      <x:c r="O9" s="108"/>
      <x:c r="P9" s="108"/>
      <x:c r="Q9" s="9" t="str">
        <x:v>Actual</x:v>
      </x:c>
      <x:c r="R9" s="9" t="n">
        <x:v>2023</x:v>
      </x:c>
      <x:c r="S9" s="9" t="str">
        <x:v>2023-01</x:v>
      </x:c>
    </x:row>
    <x:row r="10" ht="17" customHeight="1">
      <x:c r="A10" s="9" t="str">
        <x:v>2023-01-01</x:v>
      </x:c>
      <x:c r="B10" s="9" t="str">
        <x:v>Sales</x:v>
      </x:c>
      <x:c r="C10" s="107" t="n">
        <x:v>40.69519178</x:v>
      </x:c>
      <x:c r="D10" s="107" t="n">
        <x:v>0</x:v>
      </x:c>
      <x:c r="E10" s="107" t="n">
        <x:v>0</x:v>
      </x:c>
      <x:c r="F10" s="107" t="n">
        <x:v>14.52086666</x:v>
      </x:c>
      <x:c r="G10" s="107" t="n">
        <x:v>78.74762744</x:v>
      </x:c>
      <x:c r="H10" s="107" t="n">
        <x:v>0</x:v>
      </x:c>
      <x:c r="I10" s="107" t="n">
        <x:v>38.05243565999999</x:v>
      </x:c>
      <x:c r="J10" s="107" t="n">
        <x:v>23.531568999999998</x:v>
      </x:c>
      <x:c r="K10" s="107" t="n">
        <x:v>23.531568999999998</x:v>
      </x:c>
      <x:c r="L10" s="107" t="n">
        <x:v>23.531568999999998</x:v>
      </x:c>
      <x:c r="M10" s="107" t="n">
        <x:v>23.531568999999998</x:v>
      </x:c>
      <x:c r="N10" s="108" t="n">
        <x:v>0.48322009052264087</x:v>
      </x:c>
      <x:c r="O10" s="108" t="n">
        <x:v>0.2988225774538966</x:v>
      </x:c>
      <x:c r="P10" s="108" t="n">
        <x:v>0.2988225774538966</x:v>
      </x:c>
      <x:c r="Q10" s="9" t="str">
        <x:v>Actual</x:v>
      </x:c>
      <x:c r="R10" s="9" t="n">
        <x:v>2023</x:v>
      </x:c>
      <x:c r="S10" s="9" t="str">
        <x:v>2023-01</x:v>
      </x:c>
    </x:row>
    <x:row r="11" ht="17" customHeight="1">
      <x:c r="A11" s="9" t="str">
        <x:v>2023-01-01</x:v>
      </x:c>
      <x:c r="B11" s="9" t="str">
        <x:v>Technology</x:v>
      </x:c>
      <x:c r="C11" s="107" t="n">
        <x:v>0</x:v>
      </x:c>
      <x:c r="D11" s="107" t="n">
        <x:v>0</x:v>
      </x:c>
      <x:c r="E11" s="107" t="n">
        <x:v>0</x:v>
      </x:c>
      <x:c r="F11" s="107" t="n">
        <x:v>6.40587807</x:v>
      </x:c>
      <x:c r="G11" s="107" t="n">
        <x:v>0</x:v>
      </x:c>
      <x:c r="H11" s="107" t="n">
        <x:v>0</x:v>
      </x:c>
      <x:c r="I11" s="107" t="n">
        <x:v>0</x:v>
      </x:c>
      <x:c r="J11" s="107" t="n">
        <x:v>-6.40587807</x:v>
      </x:c>
      <x:c r="K11" s="107" t="n">
        <x:v>-6.40587807</x:v>
      </x:c>
      <x:c r="L11" s="107" t="n">
        <x:v>-6.40587807</x:v>
      </x:c>
      <x:c r="M11" s="107" t="n">
        <x:v>-6.40587807</x:v>
      </x:c>
      <x:c r="N11" s="108"/>
      <x:c r="O11" s="108"/>
      <x:c r="P11" s="108"/>
      <x:c r="Q11" s="9" t="str">
        <x:v>Actual</x:v>
      </x:c>
      <x:c r="R11" s="9" t="n">
        <x:v>2023</x:v>
      </x:c>
      <x:c r="S11" s="9" t="str">
        <x:v>2023-01</x:v>
      </x:c>
    </x:row>
    <x:row r="12" ht="17" customHeight="1">
      <x:c r="A12" s="9" t="str">
        <x:v>2023-02-01</x:v>
      </x:c>
      <x:c r="B12" s="9" t="str">
        <x:v>Customer Success</x:v>
      </x:c>
      <x:c r="C12" s="107" t="n">
        <x:v>1.0845644300000001</x:v>
      </x:c>
      <x:c r="D12" s="107" t="n">
        <x:v>0</x:v>
      </x:c>
      <x:c r="E12" s="107" t="n">
        <x:v>0</x:v>
      </x:c>
      <x:c r="F12" s="107" t="n">
        <x:v>2.18034646</x:v>
      </x:c>
      <x:c r="G12" s="107" t="n">
        <x:v>4.2719211900000005</x:v>
      </x:c>
      <x:c r="H12" s="107" t="n">
        <x:v>0</x:v>
      </x:c>
      <x:c r="I12" s="107" t="n">
        <x:v>3.18735676</x:v>
      </x:c>
      <x:c r="J12" s="107" t="n">
        <x:v>1.0070103000000004</x:v>
      </x:c>
      <x:c r="K12" s="107" t="n">
        <x:v>1.0070103000000004</x:v>
      </x:c>
      <x:c r="L12" s="107" t="n">
        <x:v>1.0070103000000004</x:v>
      </x:c>
      <x:c r="M12" s="107" t="n">
        <x:v>1.0070103000000004</x:v>
      </x:c>
      <x:c r="N12" s="108" t="n">
        <x:v>0.7461178748945975</x:v>
      </x:c>
      <x:c r="O12" s="108" t="n">
        <x:v>0.23572773354463503</x:v>
      </x:c>
      <x:c r="P12" s="108" t="n">
        <x:v>0.23572773354463503</x:v>
      </x:c>
      <x:c r="Q12" s="9" t="str">
        <x:v>Actual</x:v>
      </x:c>
      <x:c r="R12" s="9" t="n">
        <x:v>2023</x:v>
      </x:c>
      <x:c r="S12" s="9" t="str">
        <x:v>2023-02</x:v>
      </x:c>
    </x:row>
    <x:row r="13" ht="17" customHeight="1">
      <x:c r="A13" s="9" t="str">
        <x:v>2023-02-01</x:v>
      </x:c>
      <x:c r="B13" s="9" t="str">
        <x:v>Finance &amp; Corporate</x:v>
      </x:c>
      <x:c r="C13" s="107" t="n">
        <x:v>0</x:v>
      </x:c>
      <x:c r="D13" s="107" t="n">
        <x:v>0</x:v>
      </x:c>
      <x:c r="E13" s="107" t="n">
        <x:v>0.42</x:v>
      </x:c>
      <x:c r="F13" s="107" t="n">
        <x:v>4.58111158</x:v>
      </x:c>
      <x:c r="G13" s="107" t="n">
        <x:v>0</x:v>
      </x:c>
      <x:c r="H13" s="107" t="n">
        <x:v>0.90767007</x:v>
      </x:c>
      <x:c r="I13" s="107" t="n">
        <x:v>0</x:v>
      </x:c>
      <x:c r="J13" s="107" t="n">
        <x:v>-4.58111158</x:v>
      </x:c>
      <x:c r="K13" s="107" t="n">
        <x:v>-4.58111158</x:v>
      </x:c>
      <x:c r="L13" s="107" t="n">
        <x:v>-5.00111158</x:v>
      </x:c>
      <x:c r="M13" s="107" t="n">
        <x:v>-5.908781650000001</x:v>
      </x:c>
      <x:c r="N13" s="108"/>
      <x:c r="O13" s="108"/>
      <x:c r="P13" s="108"/>
      <x:c r="Q13" s="9" t="str">
        <x:v>Actual</x:v>
      </x:c>
      <x:c r="R13" s="9" t="n">
        <x:v>2023</x:v>
      </x:c>
      <x:c r="S13" s="9" t="str">
        <x:v>2023-02</x:v>
      </x:c>
    </x:row>
    <x:row r="14" ht="17" customHeight="1">
      <x:c r="A14" s="9" t="str">
        <x:v>2023-02-01</x:v>
      </x:c>
      <x:c r="B14" s="9" t="str">
        <x:v>Marketing</x:v>
      </x:c>
      <x:c r="C14" s="107" t="n">
        <x:v>0</x:v>
      </x:c>
      <x:c r="D14" s="107" t="n">
        <x:v>0</x:v>
      </x:c>
      <x:c r="E14" s="107" t="n">
        <x:v>0</x:v>
      </x:c>
      <x:c r="F14" s="107" t="n">
        <x:v>4.91250054</x:v>
      </x:c>
      <x:c r="G14" s="107" t="n">
        <x:v>0</x:v>
      </x:c>
      <x:c r="H14" s="107" t="n">
        <x:v>0</x:v>
      </x:c>
      <x:c r="I14" s="107" t="n">
        <x:v>0</x:v>
      </x:c>
      <x:c r="J14" s="107" t="n">
        <x:v>-4.91250054</x:v>
      </x:c>
      <x:c r="K14" s="107" t="n">
        <x:v>-4.91250054</x:v>
      </x:c>
      <x:c r="L14" s="107" t="n">
        <x:v>-4.91250054</x:v>
      </x:c>
      <x:c r="M14" s="107" t="n">
        <x:v>-4.91250054</x:v>
      </x:c>
      <x:c r="N14" s="108"/>
      <x:c r="O14" s="108"/>
      <x:c r="P14" s="108"/>
      <x:c r="Q14" s="9" t="str">
        <x:v>Actual</x:v>
      </x:c>
      <x:c r="R14" s="9" t="n">
        <x:v>2023</x:v>
      </x:c>
      <x:c r="S14" s="9" t="str">
        <x:v>2023-02</x:v>
      </x:c>
    </x:row>
    <x:row r="15" ht="17" customHeight="1">
      <x:c r="A15" s="9" t="str">
        <x:v>2023-02-01</x:v>
      </x:c>
      <x:c r="B15" s="9" t="str">
        <x:v>Operations</x:v>
      </x:c>
      <x:c r="C15" s="107" t="n">
        <x:v>0</x:v>
      </x:c>
      <x:c r="D15" s="107" t="n">
        <x:v>0</x:v>
      </x:c>
      <x:c r="E15" s="107" t="n">
        <x:v>0</x:v>
      </x:c>
      <x:c r="F15" s="107" t="n">
        <x:v>6.76463771</x:v>
      </x:c>
      <x:c r="G15" s="107" t="n">
        <x:v>0</x:v>
      </x:c>
      <x:c r="H15" s="107" t="n">
        <x:v>0</x:v>
      </x:c>
      <x:c r="I15" s="107" t="n">
        <x:v>0</x:v>
      </x:c>
      <x:c r="J15" s="107" t="n">
        <x:v>-6.76463771</x:v>
      </x:c>
      <x:c r="K15" s="107" t="n">
        <x:v>-6.76463771</x:v>
      </x:c>
      <x:c r="L15" s="107" t="n">
        <x:v>-6.76463771</x:v>
      </x:c>
      <x:c r="M15" s="107" t="n">
        <x:v>-6.76463771</x:v>
      </x:c>
      <x:c r="N15" s="108"/>
      <x:c r="O15" s="108"/>
      <x:c r="P15" s="108"/>
      <x:c r="Q15" s="9" t="str">
        <x:v>Actual</x:v>
      </x:c>
      <x:c r="R15" s="9" t="n">
        <x:v>2023</x:v>
      </x:c>
      <x:c r="S15" s="9" t="str">
        <x:v>2023-02</x:v>
      </x:c>
    </x:row>
    <x:row r="16" ht="17" customHeight="1">
      <x:c r="A16" s="9" t="str">
        <x:v>2023-02-01</x:v>
      </x:c>
      <x:c r="B16" s="9" t="str">
        <x:v>Sales</x:v>
      </x:c>
      <x:c r="C16" s="107" t="n">
        <x:v>42.56514943</x:v>
      </x:c>
      <x:c r="D16" s="107" t="n">
        <x:v>0</x:v>
      </x:c>
      <x:c r="E16" s="107" t="n">
        <x:v>0</x:v>
      </x:c>
      <x:c r="F16" s="107" t="n">
        <x:v>14.657834719999999</x:v>
      </x:c>
      <x:c r="G16" s="107" t="n">
        <x:v>82.99321019</x:v>
      </x:c>
      <x:c r="H16" s="107" t="n">
        <x:v>0</x:v>
      </x:c>
      <x:c r="I16" s="107" t="n">
        <x:v>40.42806076</x:v>
      </x:c>
      <x:c r="J16" s="107" t="n">
        <x:v>25.77022604</x:v>
      </x:c>
      <x:c r="K16" s="107" t="n">
        <x:v>25.77022604</x:v>
      </x:c>
      <x:c r="L16" s="107" t="n">
        <x:v>25.77022604</x:v>
      </x:c>
      <x:c r="M16" s="107" t="n">
        <x:v>25.77022604</x:v>
      </x:c>
      <x:c r="N16" s="108" t="n">
        <x:v>0.48712491862221335</x:v>
      </x:c>
      <x:c r="O16" s="108" t="n">
        <x:v>0.31051005234046364</x:v>
      </x:c>
      <x:c r="P16" s="108" t="n">
        <x:v>0.31051005234046364</x:v>
      </x:c>
      <x:c r="Q16" s="9" t="str">
        <x:v>Actual</x:v>
      </x:c>
      <x:c r="R16" s="9" t="n">
        <x:v>2023</x:v>
      </x:c>
      <x:c r="S16" s="9" t="str">
        <x:v>2023-02</x:v>
      </x:c>
    </x:row>
    <x:row r="17" ht="17" customHeight="1">
      <x:c r="A17" s="9" t="str">
        <x:v>2023-02-01</x:v>
      </x:c>
      <x:c r="B17" s="9" t="str">
        <x:v>Technology</x:v>
      </x:c>
      <x:c r="C17" s="107" t="n">
        <x:v>0</x:v>
      </x:c>
      <x:c r="D17" s="107" t="n">
        <x:v>0</x:v>
      </x:c>
      <x:c r="E17" s="107" t="n">
        <x:v>0</x:v>
      </x:c>
      <x:c r="F17" s="107" t="n">
        <x:v>6.46830624</x:v>
      </x:c>
      <x:c r="G17" s="107" t="n">
        <x:v>0</x:v>
      </x:c>
      <x:c r="H17" s="107" t="n">
        <x:v>0</x:v>
      </x:c>
      <x:c r="I17" s="107" t="n">
        <x:v>0</x:v>
      </x:c>
      <x:c r="J17" s="107" t="n">
        <x:v>-6.46830624</x:v>
      </x:c>
      <x:c r="K17" s="107" t="n">
        <x:v>-6.46830624</x:v>
      </x:c>
      <x:c r="L17" s="107" t="n">
        <x:v>-6.46830624</x:v>
      </x:c>
      <x:c r="M17" s="107" t="n">
        <x:v>-6.46830624</x:v>
      </x:c>
      <x:c r="N17" s="108"/>
      <x:c r="O17" s="108"/>
      <x:c r="P17" s="108"/>
      <x:c r="Q17" s="9" t="str">
        <x:v>Actual</x:v>
      </x:c>
      <x:c r="R17" s="9" t="n">
        <x:v>2023</x:v>
      </x:c>
      <x:c r="S17" s="9" t="str">
        <x:v>2023-02</x:v>
      </x:c>
    </x:row>
    <x:row r="18" ht="17" customHeight="1">
      <x:c r="A18" s="9" t="str">
        <x:v>2023-03-01</x:v>
      </x:c>
      <x:c r="B18" s="9" t="str">
        <x:v>Customer Success</x:v>
      </x:c>
      <x:c r="C18" s="107" t="n">
        <x:v>1.13193958</x:v>
      </x:c>
      <x:c r="D18" s="107" t="n">
        <x:v>0</x:v>
      </x:c>
      <x:c r="E18" s="107" t="n">
        <x:v>0</x:v>
      </x:c>
      <x:c r="F18" s="107" t="n">
        <x:v>2.1943279500000004</x:v>
      </x:c>
      <x:c r="G18" s="107" t="n">
        <x:v>4.52317662</x:v>
      </x:c>
      <x:c r="H18" s="107" t="n">
        <x:v>0</x:v>
      </x:c>
      <x:c r="I18" s="107" t="n">
        <x:v>3.39123704</x:v>
      </x:c>
      <x:c r="J18" s="107" t="n">
        <x:v>1.19690909</x:v>
      </x:c>
      <x:c r="K18" s="107" t="n">
        <x:v>1.19690909</x:v>
      </x:c>
      <x:c r="L18" s="107" t="n">
        <x:v>1.19690909</x:v>
      </x:c>
      <x:c r="M18" s="107" t="n">
        <x:v>1.19690909</x:v>
      </x:c>
      <x:c r="N18" s="108" t="n">
        <x:v>0.7497467653606681</x:v>
      </x:c>
      <x:c r="O18" s="108" t="n">
        <x:v>0.2646169253501314</x:v>
      </x:c>
      <x:c r="P18" s="108" t="n">
        <x:v>0.2646169253501314</x:v>
      </x:c>
      <x:c r="Q18" s="9" t="str">
        <x:v>Actual</x:v>
      </x:c>
      <x:c r="R18" s="9" t="n">
        <x:v>2023</x:v>
      </x:c>
      <x:c r="S18" s="9" t="str">
        <x:v>2023-03</x:v>
      </x:c>
    </x:row>
    <x:row r="19" ht="17" customHeight="1">
      <x:c r="A19" s="9" t="str">
        <x:v>2023-03-01</x:v>
      </x:c>
      <x:c r="B19" s="9" t="str">
        <x:v>Finance &amp; Corporate</x:v>
      </x:c>
      <x:c r="C19" s="107" t="n">
        <x:v>0</x:v>
      </x:c>
      <x:c r="D19" s="107" t="n">
        <x:v>0</x:v>
      </x:c>
      <x:c r="E19" s="107" t="n">
        <x:v>0.42</x:v>
      </x:c>
      <x:c r="F19" s="107" t="n">
        <x:v>4.69590395</x:v>
      </x:c>
      <x:c r="G19" s="107" t="n">
        <x:v>0</x:v>
      </x:c>
      <x:c r="H19" s="107" t="n">
        <x:v>1.7804062</x:v>
      </x:c>
      <x:c r="I19" s="107" t="n">
        <x:v>0</x:v>
      </x:c>
      <x:c r="J19" s="107" t="n">
        <x:v>-4.69590395</x:v>
      </x:c>
      <x:c r="K19" s="107" t="n">
        <x:v>-4.69590395</x:v>
      </x:c>
      <x:c r="L19" s="107" t="n">
        <x:v>-5.11590395</x:v>
      </x:c>
      <x:c r="M19" s="107" t="n">
        <x:v>-6.896310150000001</x:v>
      </x:c>
      <x:c r="N19" s="108"/>
      <x:c r="O19" s="108"/>
      <x:c r="P19" s="108"/>
      <x:c r="Q19" s="9" t="str">
        <x:v>Actual</x:v>
      </x:c>
      <x:c r="R19" s="9" t="n">
        <x:v>2023</x:v>
      </x:c>
      <x:c r="S19" s="9" t="str">
        <x:v>2023-03</x:v>
      </x:c>
    </x:row>
    <x:row r="20" ht="17" customHeight="1">
      <x:c r="A20" s="9" t="str">
        <x:v>2023-03-01</x:v>
      </x:c>
      <x:c r="B20" s="9" t="str">
        <x:v>Marketing</x:v>
      </x:c>
      <x:c r="C20" s="107" t="n">
        <x:v>0</x:v>
      </x:c>
      <x:c r="D20" s="107" t="n">
        <x:v>0</x:v>
      </x:c>
      <x:c r="E20" s="107" t="n">
        <x:v>0</x:v>
      </x:c>
      <x:c r="F20" s="107" t="n">
        <x:v>5.00580272</x:v>
      </x:c>
      <x:c r="G20" s="107" t="n">
        <x:v>0</x:v>
      </x:c>
      <x:c r="H20" s="107" t="n">
        <x:v>0</x:v>
      </x:c>
      <x:c r="I20" s="107" t="n">
        <x:v>0</x:v>
      </x:c>
      <x:c r="J20" s="107" t="n">
        <x:v>-5.00580272</x:v>
      </x:c>
      <x:c r="K20" s="107" t="n">
        <x:v>-5.00580272</x:v>
      </x:c>
      <x:c r="L20" s="107" t="n">
        <x:v>-5.00580272</x:v>
      </x:c>
      <x:c r="M20" s="107" t="n">
        <x:v>-5.00580272</x:v>
      </x:c>
      <x:c r="N20" s="108"/>
      <x:c r="O20" s="108"/>
      <x:c r="P20" s="108"/>
      <x:c r="Q20" s="9" t="str">
        <x:v>Actual</x:v>
      </x:c>
      <x:c r="R20" s="9" t="n">
        <x:v>2023</x:v>
      </x:c>
      <x:c r="S20" s="9" t="str">
        <x:v>2023-03</x:v>
      </x:c>
    </x:row>
    <x:row r="21" ht="17" customHeight="1">
      <x:c r="A21" s="9" t="str">
        <x:v>2023-03-01</x:v>
      </x:c>
      <x:c r="B21" s="9" t="str">
        <x:v>Operations</x:v>
      </x:c>
      <x:c r="C21" s="107" t="n">
        <x:v>0</x:v>
      </x:c>
      <x:c r="D21" s="107" t="n">
        <x:v>0</x:v>
      </x:c>
      <x:c r="E21" s="107" t="n">
        <x:v>0</x:v>
      </x:c>
      <x:c r="F21" s="107" t="n">
        <x:v>6.76180254</x:v>
      </x:c>
      <x:c r="G21" s="107" t="n">
        <x:v>0</x:v>
      </x:c>
      <x:c r="H21" s="107" t="n">
        <x:v>0</x:v>
      </x:c>
      <x:c r="I21" s="107" t="n">
        <x:v>0</x:v>
      </x:c>
      <x:c r="J21" s="107" t="n">
        <x:v>-6.76180254</x:v>
      </x:c>
      <x:c r="K21" s="107" t="n">
        <x:v>-6.76180254</x:v>
      </x:c>
      <x:c r="L21" s="107" t="n">
        <x:v>-6.76180254</x:v>
      </x:c>
      <x:c r="M21" s="107" t="n">
        <x:v>-6.76180254</x:v>
      </x:c>
      <x:c r="N21" s="108"/>
      <x:c r="O21" s="108"/>
      <x:c r="P21" s="108"/>
      <x:c r="Q21" s="9" t="str">
        <x:v>Actual</x:v>
      </x:c>
      <x:c r="R21" s="9" t="n">
        <x:v>2023</x:v>
      </x:c>
      <x:c r="S21" s="9" t="str">
        <x:v>2023-03</x:v>
      </x:c>
    </x:row>
    <x:row r="22" ht="17" customHeight="1">
      <x:c r="A22" s="9" t="str">
        <x:v>2023-03-01</x:v>
      </x:c>
      <x:c r="B22" s="9" t="str">
        <x:v>Sales</x:v>
      </x:c>
      <x:c r="C22" s="107" t="n">
        <x:v>46.67101857</x:v>
      </x:c>
      <x:c r="D22" s="107" t="n">
        <x:v>0</x:v>
      </x:c>
      <x:c r="E22" s="107" t="n">
        <x:v>0</x:v>
      </x:c>
      <x:c r="F22" s="107" t="n">
        <x:v>15.08347994</x:v>
      </x:c>
      <x:c r="G22" s="107" t="n">
        <x:v>91.00895589999999</x:v>
      </x:c>
      <x:c r="H22" s="107" t="n">
        <x:v>0</x:v>
      </x:c>
      <x:c r="I22" s="107" t="n">
        <x:v>44.33793732999999</x:v>
      </x:c>
      <x:c r="J22" s="107" t="n">
        <x:v>29.254457389999992</x:v>
      </x:c>
      <x:c r="K22" s="107" t="n">
        <x:v>29.254457389999992</x:v>
      </x:c>
      <x:c r="L22" s="107" t="n">
        <x:v>29.254457389999992</x:v>
      </x:c>
      <x:c r="M22" s="107" t="n">
        <x:v>29.254457389999992</x:v>
      </x:c>
      <x:c r="N22" s="108" t="n">
        <x:v>0.48718213379701014</x:v>
      </x:c>
      <x:c r="O22" s="108" t="n">
        <x:v>0.32144591815935775</x:v>
      </x:c>
      <x:c r="P22" s="108" t="n">
        <x:v>0.32144591815935775</x:v>
      </x:c>
      <x:c r="Q22" s="9" t="str">
        <x:v>Actual</x:v>
      </x:c>
      <x:c r="R22" s="9" t="n">
        <x:v>2023</x:v>
      </x:c>
      <x:c r="S22" s="9" t="str">
        <x:v>2023-03</x:v>
      </x:c>
    </x:row>
    <x:row r="23" ht="17" customHeight="1">
      <x:c r="A23" s="9" t="str">
        <x:v>2023-03-01</x:v>
      </x:c>
      <x:c r="B23" s="9" t="str">
        <x:v>Technology</x:v>
      </x:c>
      <x:c r="C23" s="107" t="n">
        <x:v>0</x:v>
      </x:c>
      <x:c r="D23" s="107" t="n">
        <x:v>0</x:v>
      </x:c>
      <x:c r="E23" s="107" t="n">
        <x:v>0</x:v>
      </x:c>
      <x:c r="F23" s="107" t="n">
        <x:v>6.44623247</x:v>
      </x:c>
      <x:c r="G23" s="107" t="n">
        <x:v>0</x:v>
      </x:c>
      <x:c r="H23" s="107" t="n">
        <x:v>0</x:v>
      </x:c>
      <x:c r="I23" s="107" t="n">
        <x:v>0</x:v>
      </x:c>
      <x:c r="J23" s="107" t="n">
        <x:v>-6.44623247</x:v>
      </x:c>
      <x:c r="K23" s="107" t="n">
        <x:v>-6.44623247</x:v>
      </x:c>
      <x:c r="L23" s="107" t="n">
        <x:v>-6.44623247</x:v>
      </x:c>
      <x:c r="M23" s="107" t="n">
        <x:v>-6.44623247</x:v>
      </x:c>
      <x:c r="N23" s="108"/>
      <x:c r="O23" s="108"/>
      <x:c r="P23" s="108"/>
      <x:c r="Q23" s="9" t="str">
        <x:v>Actual</x:v>
      </x:c>
      <x:c r="R23" s="9" t="n">
        <x:v>2023</x:v>
      </x:c>
      <x:c r="S23" s="9" t="str">
        <x:v>2023-03</x:v>
      </x:c>
    </x:row>
    <x:row r="24" ht="17" customHeight="1">
      <x:c r="A24" s="9" t="str">
        <x:v>2023-04-01</x:v>
      </x:c>
      <x:c r="B24" s="9" t="str">
        <x:v>Customer Success</x:v>
      </x:c>
      <x:c r="C24" s="107" t="n">
        <x:v>1.16766748</x:v>
      </x:c>
      <x:c r="D24" s="107" t="n">
        <x:v>0</x:v>
      </x:c>
      <x:c r="E24" s="107" t="n">
        <x:v>0</x:v>
      </x:c>
      <x:c r="F24" s="107" t="n">
        <x:v>2.2873430200000002</x:v>
      </x:c>
      <x:c r="G24" s="107" t="n">
        <x:v>4.61498193</x:v>
      </x:c>
      <x:c r="H24" s="107" t="n">
        <x:v>0</x:v>
      </x:c>
      <x:c r="I24" s="107" t="n">
        <x:v>3.44731445</x:v>
      </x:c>
      <x:c r="J24" s="107" t="n">
        <x:v>1.1599714299999997</x:v>
      </x:c>
      <x:c r="K24" s="107" t="n">
        <x:v>1.1599714299999997</x:v>
      </x:c>
      <x:c r="L24" s="107" t="n">
        <x:v>1.1599714299999997</x:v>
      </x:c>
      <x:c r="M24" s="107" t="n">
        <x:v>1.1599714299999997</x:v>
      </x:c>
      <x:c r="N24" s="108" t="n">
        <x:v>0.7469833040061329</x:v>
      </x:c>
      <x:c r="O24" s="108" t="n">
        <x:v>0.2513490729962619</x:v>
      </x:c>
      <x:c r="P24" s="108" t="n">
        <x:v>0.2513490729962619</x:v>
      </x:c>
      <x:c r="Q24" s="9" t="str">
        <x:v>Actual</x:v>
      </x:c>
      <x:c r="R24" s="9" t="n">
        <x:v>2023</x:v>
      </x:c>
      <x:c r="S24" s="9" t="str">
        <x:v>2023-04</x:v>
      </x:c>
    </x:row>
    <x:row r="25" ht="17" customHeight="1">
      <x:c r="A25" s="9" t="str">
        <x:v>2023-04-01</x:v>
      </x:c>
      <x:c r="B25" s="9" t="str">
        <x:v>Finance &amp; Corporate</x:v>
      </x:c>
      <x:c r="C25" s="107" t="n">
        <x:v>0</x:v>
      </x:c>
      <x:c r="D25" s="107" t="n">
        <x:v>0</x:v>
      </x:c>
      <x:c r="E25" s="107" t="n">
        <x:v>0.42</x:v>
      </x:c>
      <x:c r="F25" s="107" t="n">
        <x:v>4.8294117199999995</x:v>
      </x:c>
      <x:c r="G25" s="107" t="n">
        <x:v>0</x:v>
      </x:c>
      <x:c r="H25" s="107" t="n">
        <x:v>1.8032888200000001</x:v>
      </x:c>
      <x:c r="I25" s="107" t="n">
        <x:v>0</x:v>
      </x:c>
      <x:c r="J25" s="107" t="n">
        <x:v>-4.8294117199999995</x:v>
      </x:c>
      <x:c r="K25" s="107" t="n">
        <x:v>-4.8294117199999995</x:v>
      </x:c>
      <x:c r="L25" s="107" t="n">
        <x:v>-5.2494117199999994</x:v>
      </x:c>
      <x:c r="M25" s="107" t="n">
        <x:v>-7.05270054</x:v>
      </x:c>
      <x:c r="N25" s="108"/>
      <x:c r="O25" s="108"/>
      <x:c r="P25" s="108"/>
      <x:c r="Q25" s="9" t="str">
        <x:v>Actual</x:v>
      </x:c>
      <x:c r="R25" s="9" t="n">
        <x:v>2023</x:v>
      </x:c>
      <x:c r="S25" s="9" t="str">
        <x:v>2023-04</x:v>
      </x:c>
    </x:row>
    <x:row r="26" ht="17" customHeight="1">
      <x:c r="A26" s="9" t="str">
        <x:v>2023-04-01</x:v>
      </x:c>
      <x:c r="B26" s="9" t="str">
        <x:v>Marketing</x:v>
      </x:c>
      <x:c r="C26" s="107" t="n">
        <x:v>0</x:v>
      </x:c>
      <x:c r="D26" s="107" t="n">
        <x:v>0</x:v>
      </x:c>
      <x:c r="E26" s="107" t="n">
        <x:v>0</x:v>
      </x:c>
      <x:c r="F26" s="107" t="n">
        <x:v>5.08034527</x:v>
      </x:c>
      <x:c r="G26" s="107" t="n">
        <x:v>0</x:v>
      </x:c>
      <x:c r="H26" s="107" t="n">
        <x:v>0</x:v>
      </x:c>
      <x:c r="I26" s="107" t="n">
        <x:v>0</x:v>
      </x:c>
      <x:c r="J26" s="107" t="n">
        <x:v>-5.08034527</x:v>
      </x:c>
      <x:c r="K26" s="107" t="n">
        <x:v>-5.08034527</x:v>
      </x:c>
      <x:c r="L26" s="107" t="n">
        <x:v>-5.08034527</x:v>
      </x:c>
      <x:c r="M26" s="107" t="n">
        <x:v>-5.08034527</x:v>
      </x:c>
      <x:c r="N26" s="108"/>
      <x:c r="O26" s="108"/>
      <x:c r="P26" s="108"/>
      <x:c r="Q26" s="9" t="str">
        <x:v>Actual</x:v>
      </x:c>
      <x:c r="R26" s="9" t="n">
        <x:v>2023</x:v>
      </x:c>
      <x:c r="S26" s="9" t="str">
        <x:v>2023-04</x:v>
      </x:c>
    </x:row>
    <x:row r="27" ht="17" customHeight="1">
      <x:c r="A27" s="9" t="str">
        <x:v>2023-04-01</x:v>
      </x:c>
      <x:c r="B27" s="9" t="str">
        <x:v>Operations</x:v>
      </x:c>
      <x:c r="C27" s="107" t="n">
        <x:v>0</x:v>
      </x:c>
      <x:c r="D27" s="107" t="n">
        <x:v>0</x:v>
      </x:c>
      <x:c r="E27" s="107" t="n">
        <x:v>0</x:v>
      </x:c>
      <x:c r="F27" s="107" t="n">
        <x:v>7.088407020000001</x:v>
      </x:c>
      <x:c r="G27" s="107" t="n">
        <x:v>0</x:v>
      </x:c>
      <x:c r="H27" s="107" t="n">
        <x:v>0</x:v>
      </x:c>
      <x:c r="I27" s="107" t="n">
        <x:v>0</x:v>
      </x:c>
      <x:c r="J27" s="107" t="n">
        <x:v>-7.088407020000001</x:v>
      </x:c>
      <x:c r="K27" s="107" t="n">
        <x:v>-7.088407020000001</x:v>
      </x:c>
      <x:c r="L27" s="107" t="n">
        <x:v>-7.088407020000001</x:v>
      </x:c>
      <x:c r="M27" s="107" t="n">
        <x:v>-7.088407020000001</x:v>
      </x:c>
      <x:c r="N27" s="108"/>
      <x:c r="O27" s="108"/>
      <x:c r="P27" s="108"/>
      <x:c r="Q27" s="9" t="str">
        <x:v>Actual</x:v>
      </x:c>
      <x:c r="R27" s="9" t="n">
        <x:v>2023</x:v>
      </x:c>
      <x:c r="S27" s="9" t="str">
        <x:v>2023-04</x:v>
      </x:c>
    </x:row>
    <x:row r="28" ht="17" customHeight="1">
      <x:c r="A28" s="9" t="str">
        <x:v>2023-04-01</x:v>
      </x:c>
      <x:c r="B28" s="9" t="str">
        <x:v>Sales</x:v>
      </x:c>
      <x:c r="C28" s="107" t="n">
        <x:v>49.31705782</x:v>
      </x:c>
      <x:c r="D28" s="107" t="n">
        <x:v>0</x:v>
      </x:c>
      <x:c r="E28" s="107" t="n">
        <x:v>0</x:v>
      </x:c>
      <x:c r="F28" s="107" t="n">
        <x:v>15.76213107</x:v>
      </x:c>
      <x:c r="G28" s="107" t="n">
        <x:v>95.3815216</x:v>
      </x:c>
      <x:c r="H28" s="107" t="n">
        <x:v>0</x:v>
      </x:c>
      <x:c r="I28" s="107" t="n">
        <x:v>46.06446378</x:v>
      </x:c>
      <x:c r="J28" s="107" t="n">
        <x:v>30.302332709999995</x:v>
      </x:c>
      <x:c r="K28" s="107" t="n">
        <x:v>30.302332709999995</x:v>
      </x:c>
      <x:c r="L28" s="107" t="n">
        <x:v>30.302332709999995</x:v>
      </x:c>
      <x:c r="M28" s="107" t="n">
        <x:v>30.302332709999995</x:v>
      </x:c>
      <x:c r="N28" s="108" t="n">
        <x:v>0.4829495588587884</x:v>
      </x:c>
      <x:c r="O28" s="108" t="n">
        <x:v>0.3176960505733848</x:v>
      </x:c>
      <x:c r="P28" s="108" t="n">
        <x:v>0.3176960505733848</x:v>
      </x:c>
      <x:c r="Q28" s="9" t="str">
        <x:v>Actual</x:v>
      </x:c>
      <x:c r="R28" s="9" t="n">
        <x:v>2023</x:v>
      </x:c>
      <x:c r="S28" s="9" t="str">
        <x:v>2023-04</x:v>
      </x:c>
    </x:row>
    <x:row r="29" ht="17" customHeight="1">
      <x:c r="A29" s="9" t="str">
        <x:v>2023-04-01</x:v>
      </x:c>
      <x:c r="B29" s="9" t="str">
        <x:v>Technology</x:v>
      </x:c>
      <x:c r="C29" s="107" t="n">
        <x:v>0</x:v>
      </x:c>
      <x:c r="D29" s="107" t="n">
        <x:v>0</x:v>
      </x:c>
      <x:c r="E29" s="107" t="n">
        <x:v>0</x:v>
      </x:c>
      <x:c r="F29" s="107" t="n">
        <x:v>6.830984859999999</x:v>
      </x:c>
      <x:c r="G29" s="107" t="n">
        <x:v>0</x:v>
      </x:c>
      <x:c r="H29" s="107" t="n">
        <x:v>0</x:v>
      </x:c>
      <x:c r="I29" s="107" t="n">
        <x:v>0</x:v>
      </x:c>
      <x:c r="J29" s="107" t="n">
        <x:v>-6.830984859999999</x:v>
      </x:c>
      <x:c r="K29" s="107" t="n">
        <x:v>-6.830984859999999</x:v>
      </x:c>
      <x:c r="L29" s="107" t="n">
        <x:v>-6.830984859999999</x:v>
      </x:c>
      <x:c r="M29" s="107" t="n">
        <x:v>-6.830984859999999</x:v>
      </x:c>
      <x:c r="N29" s="108"/>
      <x:c r="O29" s="108"/>
      <x:c r="P29" s="108"/>
      <x:c r="Q29" s="9" t="str">
        <x:v>Actual</x:v>
      </x:c>
      <x:c r="R29" s="9" t="n">
        <x:v>2023</x:v>
      </x:c>
      <x:c r="S29" s="9" t="str">
        <x:v>2023-04</x:v>
      </x:c>
    </x:row>
    <x:row r="30" ht="17" customHeight="1">
      <x:c r="A30" s="9" t="str">
        <x:v>2023-05-01</x:v>
      </x:c>
      <x:c r="B30" s="9" t="str">
        <x:v>Customer Success</x:v>
      </x:c>
      <x:c r="C30" s="107" t="n">
        <x:v>1.16621722</x:v>
      </x:c>
      <x:c r="D30" s="107" t="n">
        <x:v>0</x:v>
      </x:c>
      <x:c r="E30" s="107" t="n">
        <x:v>0</x:v>
      </x:c>
      <x:c r="F30" s="107" t="n">
        <x:v>2.30520725</x:v>
      </x:c>
      <x:c r="G30" s="107" t="n">
        <x:v>4.6150571</x:v>
      </x:c>
      <x:c r="H30" s="107" t="n">
        <x:v>0</x:v>
      </x:c>
      <x:c r="I30" s="107" t="n">
        <x:v>3.44883988</x:v>
      </x:c>
      <x:c r="J30" s="107" t="n">
        <x:v>1.14363263</x:v>
      </x:c>
      <x:c r="K30" s="107" t="n">
        <x:v>1.14363263</x:v>
      </x:c>
      <x:c r="L30" s="107" t="n">
        <x:v>1.14363263</x:v>
      </x:c>
      <x:c r="M30" s="107" t="n">
        <x:v>1.14363263</x:v>
      </x:c>
      <x:c r="N30" s="108" t="n">
        <x:v>0.7473016704387038</x:v>
      </x:c>
      <x:c r="O30" s="108" t="n">
        <x:v>0.2478046544646219</x:v>
      </x:c>
      <x:c r="P30" s="108" t="n">
        <x:v>0.2478046544646219</x:v>
      </x:c>
      <x:c r="Q30" s="9" t="str">
        <x:v>Actual</x:v>
      </x:c>
      <x:c r="R30" s="9" t="n">
        <x:v>2023</x:v>
      </x:c>
      <x:c r="S30" s="9" t="str">
        <x:v>2023-05</x:v>
      </x:c>
    </x:row>
    <x:row r="31" ht="17" customHeight="1">
      <x:c r="A31" s="9" t="str">
        <x:v>2023-05-01</x:v>
      </x:c>
      <x:c r="B31" s="9" t="str">
        <x:v>Finance &amp; Corporate</x:v>
      </x:c>
      <x:c r="C31" s="107" t="n">
        <x:v>0</x:v>
      </x:c>
      <x:c r="D31" s="107" t="n">
        <x:v>0</x:v>
      </x:c>
      <x:c r="E31" s="107" t="n">
        <x:v>0.42</x:v>
      </x:c>
      <x:c r="F31" s="107" t="n">
        <x:v>4.95433521</x:v>
      </x:c>
      <x:c r="G31" s="107" t="n">
        <x:v>0</x:v>
      </x:c>
      <x:c r="H31" s="107" t="n">
        <x:v>2.18877363</x:v>
      </x:c>
      <x:c r="I31" s="107" t="n">
        <x:v>0</x:v>
      </x:c>
      <x:c r="J31" s="107" t="n">
        <x:v>-4.95433521</x:v>
      </x:c>
      <x:c r="K31" s="107" t="n">
        <x:v>-4.95433521</x:v>
      </x:c>
      <x:c r="L31" s="107" t="n">
        <x:v>-5.37433521</x:v>
      </x:c>
      <x:c r="M31" s="107" t="n">
        <x:v>-7.56310884</x:v>
      </x:c>
      <x:c r="N31" s="108"/>
      <x:c r="O31" s="108"/>
      <x:c r="P31" s="108"/>
      <x:c r="Q31" s="9" t="str">
        <x:v>Actual</x:v>
      </x:c>
      <x:c r="R31" s="9" t="n">
        <x:v>2023</x:v>
      </x:c>
      <x:c r="S31" s="9" t="str">
        <x:v>2023-05</x:v>
      </x:c>
    </x:row>
    <x:row r="32" ht="17" customHeight="1">
      <x:c r="A32" s="9" t="str">
        <x:v>2023-05-01</x:v>
      </x:c>
      <x:c r="B32" s="9" t="str">
        <x:v>Marketing</x:v>
      </x:c>
      <x:c r="C32" s="107" t="n">
        <x:v>0</x:v>
      </x:c>
      <x:c r="D32" s="107" t="n">
        <x:v>0</x:v>
      </x:c>
      <x:c r="E32" s="107" t="n">
        <x:v>0</x:v>
      </x:c>
      <x:c r="F32" s="107" t="n">
        <x:v>5.12458216</x:v>
      </x:c>
      <x:c r="G32" s="107" t="n">
        <x:v>0</x:v>
      </x:c>
      <x:c r="H32" s="107" t="n">
        <x:v>0</x:v>
      </x:c>
      <x:c r="I32" s="107" t="n">
        <x:v>0</x:v>
      </x:c>
      <x:c r="J32" s="107" t="n">
        <x:v>-5.12458216</x:v>
      </x:c>
      <x:c r="K32" s="107" t="n">
        <x:v>-5.12458216</x:v>
      </x:c>
      <x:c r="L32" s="107" t="n">
        <x:v>-5.12458216</x:v>
      </x:c>
      <x:c r="M32" s="107" t="n">
        <x:v>-5.12458216</x:v>
      </x:c>
      <x:c r="N32" s="108"/>
      <x:c r="O32" s="108"/>
      <x:c r="P32" s="108"/>
      <x:c r="Q32" s="9" t="str">
        <x:v>Actual</x:v>
      </x:c>
      <x:c r="R32" s="9" t="n">
        <x:v>2023</x:v>
      </x:c>
      <x:c r="S32" s="9" t="str">
        <x:v>2023-05</x:v>
      </x:c>
    </x:row>
    <x:row r="33" ht="17" customHeight="1">
      <x:c r="A33" s="9" t="str">
        <x:v>2023-05-01</x:v>
      </x:c>
      <x:c r="B33" s="9" t="str">
        <x:v>Operations</x:v>
      </x:c>
      <x:c r="C33" s="107" t="n">
        <x:v>0</x:v>
      </x:c>
      <x:c r="D33" s="107" t="n">
        <x:v>0</x:v>
      </x:c>
      <x:c r="E33" s="107" t="n">
        <x:v>0</x:v>
      </x:c>
      <x:c r="F33" s="107" t="n">
        <x:v>7.0456991900000006</x:v>
      </x:c>
      <x:c r="G33" s="107" t="n">
        <x:v>0</x:v>
      </x:c>
      <x:c r="H33" s="107" t="n">
        <x:v>0</x:v>
      </x:c>
      <x:c r="I33" s="107" t="n">
        <x:v>0</x:v>
      </x:c>
      <x:c r="J33" s="107" t="n">
        <x:v>-7.0456991900000006</x:v>
      </x:c>
      <x:c r="K33" s="107" t="n">
        <x:v>-7.0456991900000006</x:v>
      </x:c>
      <x:c r="L33" s="107" t="n">
        <x:v>-7.0456991900000006</x:v>
      </x:c>
      <x:c r="M33" s="107" t="n">
        <x:v>-7.0456991900000006</x:v>
      </x:c>
      <x:c r="N33" s="108"/>
      <x:c r="O33" s="108"/>
      <x:c r="P33" s="108"/>
      <x:c r="Q33" s="9" t="str">
        <x:v>Actual</x:v>
      </x:c>
      <x:c r="R33" s="9" t="n">
        <x:v>2023</x:v>
      </x:c>
      <x:c r="S33" s="9" t="str">
        <x:v>2023-05</x:v>
      </x:c>
    </x:row>
    <x:row r="34" ht="17" customHeight="1">
      <x:c r="A34" s="9" t="str">
        <x:v>2023-05-01</x:v>
      </x:c>
      <x:c r="B34" s="9" t="str">
        <x:v>Sales</x:v>
      </x:c>
      <x:c r="C34" s="107" t="n">
        <x:v>50.2953993</x:v>
      </x:c>
      <x:c r="D34" s="107" t="n">
        <x:v>0</x:v>
      </x:c>
      <x:c r="E34" s="107" t="n">
        <x:v>0</x:v>
      </x:c>
      <x:c r="F34" s="107" t="n">
        <x:v>15.930859439999999</x:v>
      </x:c>
      <x:c r="G34" s="107" t="n">
        <x:v>98.27598024</x:v>
      </x:c>
      <x:c r="H34" s="107" t="n">
        <x:v>0</x:v>
      </x:c>
      <x:c r="I34" s="107" t="n">
        <x:v>47.980580939999996</x:v>
      </x:c>
      <x:c r="J34" s="107" t="n">
        <x:v>32.0497215</x:v>
      </x:c>
      <x:c r="K34" s="107" t="n">
        <x:v>32.0497215</x:v>
      </x:c>
      <x:c r="L34" s="107" t="n">
        <x:v>32.0497215</x:v>
      </x:c>
      <x:c r="M34" s="107" t="n">
        <x:v>32.0497215</x:v>
      </x:c>
      <x:c r="N34" s="108" t="n">
        <x:v>0.488222868119214</x:v>
      </x:c>
      <x:c r="O34" s="108" t="n">
        <x:v>0.32611958101797917</x:v>
      </x:c>
      <x:c r="P34" s="108" t="n">
        <x:v>0.32611958101797917</x:v>
      </x:c>
      <x:c r="Q34" s="9" t="str">
        <x:v>Actual</x:v>
      </x:c>
      <x:c r="R34" s="9" t="n">
        <x:v>2023</x:v>
      </x:c>
      <x:c r="S34" s="9" t="str">
        <x:v>2023-05</x:v>
      </x:c>
    </x:row>
    <x:row r="35" ht="17" customHeight="1">
      <x:c r="A35" s="9" t="str">
        <x:v>2023-05-01</x:v>
      </x:c>
      <x:c r="B35" s="9" t="str">
        <x:v>Technology</x:v>
      </x:c>
      <x:c r="C35" s="107" t="n">
        <x:v>0</x:v>
      </x:c>
      <x:c r="D35" s="107" t="n">
        <x:v>0</x:v>
      </x:c>
      <x:c r="E35" s="107" t="n">
        <x:v>0</x:v>
      </x:c>
      <x:c r="F35" s="107" t="n">
        <x:v>6.89364305</x:v>
      </x:c>
      <x:c r="G35" s="107" t="n">
        <x:v>0</x:v>
      </x:c>
      <x:c r="H35" s="107" t="n">
        <x:v>0</x:v>
      </x:c>
      <x:c r="I35" s="107" t="n">
        <x:v>0</x:v>
      </x:c>
      <x:c r="J35" s="107" t="n">
        <x:v>-6.89364305</x:v>
      </x:c>
      <x:c r="K35" s="107" t="n">
        <x:v>-6.89364305</x:v>
      </x:c>
      <x:c r="L35" s="107" t="n">
        <x:v>-6.89364305</x:v>
      </x:c>
      <x:c r="M35" s="107" t="n">
        <x:v>-6.89364305</x:v>
      </x:c>
      <x:c r="N35" s="108"/>
      <x:c r="O35" s="108"/>
      <x:c r="P35" s="108"/>
      <x:c r="Q35" s="9" t="str">
        <x:v>Actual</x:v>
      </x:c>
      <x:c r="R35" s="9" t="n">
        <x:v>2023</x:v>
      </x:c>
      <x:c r="S35" s="9" t="str">
        <x:v>2023-05</x:v>
      </x:c>
    </x:row>
    <x:row r="36" ht="17" customHeight="1">
      <x:c r="A36" s="9" t="str">
        <x:v>2023-06-01</x:v>
      </x:c>
      <x:c r="B36" s="9" t="str">
        <x:v>Customer Success</x:v>
      </x:c>
      <x:c r="C36" s="107" t="n">
        <x:v>1.2382876999999999</x:v>
      </x:c>
      <x:c r="D36" s="107" t="n">
        <x:v>0</x:v>
      </x:c>
      <x:c r="E36" s="107" t="n">
        <x:v>0</x:v>
      </x:c>
      <x:c r="F36" s="107" t="n">
        <x:v>2.42171348</x:v>
      </x:c>
      <x:c r="G36" s="107" t="n">
        <x:v>4.89999381</x:v>
      </x:c>
      <x:c r="H36" s="107" t="n">
        <x:v>0</x:v>
      </x:c>
      <x:c r="I36" s="107" t="n">
        <x:v>3.6617061099999995</x:v>
      </x:c>
      <x:c r="J36" s="107" t="n">
        <x:v>1.2399926299999995</x:v>
      </x:c>
      <x:c r="K36" s="107" t="n">
        <x:v>1.2399926299999995</x:v>
      </x:c>
      <x:c r="L36" s="107" t="n">
        <x:v>1.2399926299999995</x:v>
      </x:c>
      <x:c r="M36" s="107" t="n">
        <x:v>1.2399926299999995</x:v>
      </x:c>
      <x:c r="N36" s="108" t="n">
        <x:v>0.7472879052473741</x:v>
      </x:c>
      <x:c r="O36" s="108" t="n">
        <x:v>0.25306004009013217</x:v>
      </x:c>
      <x:c r="P36" s="108" t="n">
        <x:v>0.25306004009013217</x:v>
      </x:c>
      <x:c r="Q36" s="9" t="str">
        <x:v>Actual</x:v>
      </x:c>
      <x:c r="R36" s="9" t="n">
        <x:v>2023</x:v>
      </x:c>
      <x:c r="S36" s="9" t="str">
        <x:v>2023-06</x:v>
      </x:c>
    </x:row>
    <x:row r="37" ht="17" customHeight="1">
      <x:c r="A37" s="9" t="str">
        <x:v>2023-06-01</x:v>
      </x:c>
      <x:c r="B37" s="9" t="str">
        <x:v>Finance &amp; Corporate</x:v>
      </x:c>
      <x:c r="C37" s="107" t="n">
        <x:v>0</x:v>
      </x:c>
      <x:c r="D37" s="107" t="n">
        <x:v>0</x:v>
      </x:c>
      <x:c r="E37" s="107" t="n">
        <x:v>0.42</x:v>
      </x:c>
      <x:c r="F37" s="107" t="n">
        <x:v>4.90174826</x:v>
      </x:c>
      <x:c r="G37" s="107" t="n">
        <x:v>0</x:v>
      </x:c>
      <x:c r="H37" s="107" t="n">
        <x:v>2.44517059</x:v>
      </x:c>
      <x:c r="I37" s="107" t="n">
        <x:v>0</x:v>
      </x:c>
      <x:c r="J37" s="107" t="n">
        <x:v>-4.90174826</x:v>
      </x:c>
      <x:c r="K37" s="107" t="n">
        <x:v>-4.90174826</x:v>
      </x:c>
      <x:c r="L37" s="107" t="n">
        <x:v>-5.32174826</x:v>
      </x:c>
      <x:c r="M37" s="107" t="n">
        <x:v>-7.76691885</x:v>
      </x:c>
      <x:c r="N37" s="108"/>
      <x:c r="O37" s="108"/>
      <x:c r="P37" s="108"/>
      <x:c r="Q37" s="9" t="str">
        <x:v>Actual</x:v>
      </x:c>
      <x:c r="R37" s="9" t="n">
        <x:v>2023</x:v>
      </x:c>
      <x:c r="S37" s="9" t="str">
        <x:v>2023-06</x:v>
      </x:c>
    </x:row>
    <x:row r="38" ht="17" customHeight="1">
      <x:c r="A38" s="9" t="str">
        <x:v>2023-06-01</x:v>
      </x:c>
      <x:c r="B38" s="9" t="str">
        <x:v>Marketing</x:v>
      </x:c>
      <x:c r="C38" s="107" t="n">
        <x:v>0</x:v>
      </x:c>
      <x:c r="D38" s="107" t="n">
        <x:v>0</x:v>
      </x:c>
      <x:c r="E38" s="107" t="n">
        <x:v>0</x:v>
      </x:c>
      <x:c r="F38" s="107" t="n">
        <x:v>5.00816086</x:v>
      </x:c>
      <x:c r="G38" s="107" t="n">
        <x:v>0</x:v>
      </x:c>
      <x:c r="H38" s="107" t="n">
        <x:v>0</x:v>
      </x:c>
      <x:c r="I38" s="107" t="n">
        <x:v>0</x:v>
      </x:c>
      <x:c r="J38" s="107" t="n">
        <x:v>-5.00816086</x:v>
      </x:c>
      <x:c r="K38" s="107" t="n">
        <x:v>-5.00816086</x:v>
      </x:c>
      <x:c r="L38" s="107" t="n">
        <x:v>-5.00816086</x:v>
      </x:c>
      <x:c r="M38" s="107" t="n">
        <x:v>-5.00816086</x:v>
      </x:c>
      <x:c r="N38" s="108"/>
      <x:c r="O38" s="108"/>
      <x:c r="P38" s="108"/>
      <x:c r="Q38" s="9" t="str">
        <x:v>Actual</x:v>
      </x:c>
      <x:c r="R38" s="9" t="n">
        <x:v>2023</x:v>
      </x:c>
      <x:c r="S38" s="9" t="str">
        <x:v>2023-06</x:v>
      </x:c>
    </x:row>
    <x:row r="39" ht="17" customHeight="1">
      <x:c r="A39" s="9" t="str">
        <x:v>2023-06-01</x:v>
      </x:c>
      <x:c r="B39" s="9" t="str">
        <x:v>Operations</x:v>
      </x:c>
      <x:c r="C39" s="107" t="n">
        <x:v>0</x:v>
      </x:c>
      <x:c r="D39" s="107" t="n">
        <x:v>0</x:v>
      </x:c>
      <x:c r="E39" s="107" t="n">
        <x:v>0</x:v>
      </x:c>
      <x:c r="F39" s="107" t="n">
        <x:v>7.083417509999999</x:v>
      </x:c>
      <x:c r="G39" s="107" t="n">
        <x:v>0</x:v>
      </x:c>
      <x:c r="H39" s="107" t="n">
        <x:v>0</x:v>
      </x:c>
      <x:c r="I39" s="107" t="n">
        <x:v>0</x:v>
      </x:c>
      <x:c r="J39" s="107" t="n">
        <x:v>-7.083417509999999</x:v>
      </x:c>
      <x:c r="K39" s="107" t="n">
        <x:v>-7.083417509999999</x:v>
      </x:c>
      <x:c r="L39" s="107" t="n">
        <x:v>-7.083417509999999</x:v>
      </x:c>
      <x:c r="M39" s="107" t="n">
        <x:v>-7.083417509999999</x:v>
      </x:c>
      <x:c r="N39" s="108"/>
      <x:c r="O39" s="108"/>
      <x:c r="P39" s="108"/>
      <x:c r="Q39" s="9" t="str">
        <x:v>Actual</x:v>
      </x:c>
      <x:c r="R39" s="9" t="n">
        <x:v>2023</x:v>
      </x:c>
      <x:c r="S39" s="9" t="str">
        <x:v>2023-06</x:v>
      </x:c>
    </x:row>
    <x:row r="40" ht="17" customHeight="1">
      <x:c r="A40" s="9" t="str">
        <x:v>2023-06-01</x:v>
      </x:c>
      <x:c r="B40" s="9" t="str">
        <x:v>Sales</x:v>
      </x:c>
      <x:c r="C40" s="107" t="n">
        <x:v>51.14203952</x:v>
      </x:c>
      <x:c r="D40" s="107" t="n">
        <x:v>0</x:v>
      </x:c>
      <x:c r="E40" s="107" t="n">
        <x:v>0</x:v>
      </x:c>
      <x:c r="F40" s="107" t="n">
        <x:v>16.14696114</x:v>
      </x:c>
      <x:c r="G40" s="107" t="n">
        <x:v>100.08914945999999</x:v>
      </x:c>
      <x:c r="H40" s="107" t="n">
        <x:v>0</x:v>
      </x:c>
      <x:c r="I40" s="107" t="n">
        <x:v>48.94710994</x:v>
      </x:c>
      <x:c r="J40" s="107" t="n">
        <x:v>32.800148799999995</x:v>
      </x:c>
      <x:c r="K40" s="107" t="n">
        <x:v>32.800148799999995</x:v>
      </x:c>
      <x:c r="L40" s="107" t="n">
        <x:v>32.800148799999995</x:v>
      </x:c>
      <x:c r="M40" s="107" t="n">
        <x:v>32.800148799999995</x:v>
      </x:c>
      <x:c r="N40" s="108" t="n">
        <x:v>0.48903512722486875</x:v>
      </x:c>
      <x:c r="O40" s="108" t="n">
        <x:v>0.3277093368957878</x:v>
      </x:c>
      <x:c r="P40" s="108" t="n">
        <x:v>0.3277093368957878</x:v>
      </x:c>
      <x:c r="Q40" s="9" t="str">
        <x:v>Actual</x:v>
      </x:c>
      <x:c r="R40" s="9" t="n">
        <x:v>2023</x:v>
      </x:c>
      <x:c r="S40" s="9" t="str">
        <x:v>2023-06</x:v>
      </x:c>
    </x:row>
    <x:row r="41" ht="17" customHeight="1">
      <x:c r="A41" s="9" t="str">
        <x:v>2023-06-01</x:v>
      </x:c>
      <x:c r="B41" s="9" t="str">
        <x:v>Technology</x:v>
      </x:c>
      <x:c r="C41" s="107" t="n">
        <x:v>0</x:v>
      </x:c>
      <x:c r="D41" s="107" t="n">
        <x:v>0.16979167</x:v>
      </x:c>
      <x:c r="E41" s="107" t="n">
        <x:v>0</x:v>
      </x:c>
      <x:c r="F41" s="107" t="n">
        <x:v>6.67634078</x:v>
      </x:c>
      <x:c r="G41" s="107" t="n">
        <x:v>0</x:v>
      </x:c>
      <x:c r="H41" s="107" t="n">
        <x:v>0</x:v>
      </x:c>
      <x:c r="I41" s="107" t="n">
        <x:v>0</x:v>
      </x:c>
      <x:c r="J41" s="107" t="n">
        <x:v>-6.67634078</x:v>
      </x:c>
      <x:c r="K41" s="107" t="n">
        <x:v>-6.84613245</x:v>
      </x:c>
      <x:c r="L41" s="107" t="n">
        <x:v>-6.84613245</x:v>
      </x:c>
      <x:c r="M41" s="107" t="n">
        <x:v>-6.84613245</x:v>
      </x:c>
      <x:c r="N41" s="108"/>
      <x:c r="O41" s="108"/>
      <x:c r="P41" s="108"/>
      <x:c r="Q41" s="9" t="str">
        <x:v>Actual</x:v>
      </x:c>
      <x:c r="R41" s="9" t="n">
        <x:v>2023</x:v>
      </x:c>
      <x:c r="S41" s="9" t="str">
        <x:v>2023-06</x:v>
      </x:c>
    </x:row>
    <x:row r="42" ht="17" customHeight="1">
      <x:c r="A42" s="9" t="str">
        <x:v>2023-07-01</x:v>
      </x:c>
      <x:c r="B42" s="9" t="str">
        <x:v>Customer Success</x:v>
      </x:c>
      <x:c r="C42" s="107" t="n">
        <x:v>1.31155348</x:v>
      </x:c>
      <x:c r="D42" s="107" t="n">
        <x:v>0</x:v>
      </x:c>
      <x:c r="E42" s="107" t="n">
        <x:v>0</x:v>
      </x:c>
      <x:c r="F42" s="107" t="n">
        <x:v>2.4417229899999997</x:v>
      </x:c>
      <x:c r="G42" s="107" t="n">
        <x:v>5.18916555</x:v>
      </x:c>
      <x:c r="H42" s="107" t="n">
        <x:v>0</x:v>
      </x:c>
      <x:c r="I42" s="107" t="n">
        <x:v>3.8776120699999996</x:v>
      </x:c>
      <x:c r="J42" s="107" t="n">
        <x:v>1.4358890800000002</x:v>
      </x:c>
      <x:c r="K42" s="107" t="n">
        <x:v>1.4358890800000002</x:v>
      </x:c>
      <x:c r="L42" s="107" t="n">
        <x:v>1.4358890800000002</x:v>
      </x:c>
      <x:c r="M42" s="107" t="n">
        <x:v>1.4358890800000002</x:v>
      </x:c>
      <x:c r="N42" s="108" t="n">
        <x:v>0.7472515634040622</x:v>
      </x:c>
      <x:c r="O42" s="108" t="n">
        <x:v>0.27670905199777257</x:v>
      </x:c>
      <x:c r="P42" s="108" t="n">
        <x:v>0.27670905199777257</x:v>
      </x:c>
      <x:c r="Q42" s="9" t="str">
        <x:v>Actual</x:v>
      </x:c>
      <x:c r="R42" s="9" t="n">
        <x:v>2023</x:v>
      </x:c>
      <x:c r="S42" s="9" t="str">
        <x:v>2023-07</x:v>
      </x:c>
    </x:row>
    <x:row r="43" ht="17" customHeight="1">
      <x:c r="A43" s="9" t="str">
        <x:v>2023-07-01</x:v>
      </x:c>
      <x:c r="B43" s="9" t="str">
        <x:v>Finance &amp; Corporate</x:v>
      </x:c>
      <x:c r="C43" s="107" t="n">
        <x:v>0</x:v>
      </x:c>
      <x:c r="D43" s="107" t="n">
        <x:v>0</x:v>
      </x:c>
      <x:c r="E43" s="107" t="n">
        <x:v>0.42</x:v>
      </x:c>
      <x:c r="F43" s="107" t="n">
        <x:v>4.898675819999999</x:v>
      </x:c>
      <x:c r="G43" s="107" t="n">
        <x:v>0</x:v>
      </x:c>
      <x:c r="H43" s="107" t="n">
        <x:v>2.2234145</x:v>
      </x:c>
      <x:c r="I43" s="107" t="n">
        <x:v>0</x:v>
      </x:c>
      <x:c r="J43" s="107" t="n">
        <x:v>-4.898675819999999</x:v>
      </x:c>
      <x:c r="K43" s="107" t="n">
        <x:v>-4.898675819999999</x:v>
      </x:c>
      <x:c r="L43" s="107" t="n">
        <x:v>-5.318675819999999</x:v>
      </x:c>
      <x:c r="M43" s="107" t="n">
        <x:v>-7.54209032</x:v>
      </x:c>
      <x:c r="N43" s="108"/>
      <x:c r="O43" s="108"/>
      <x:c r="P43" s="108"/>
      <x:c r="Q43" s="9" t="str">
        <x:v>Actual</x:v>
      </x:c>
      <x:c r="R43" s="9" t="n">
        <x:v>2023</x:v>
      </x:c>
      <x:c r="S43" s="9" t="str">
        <x:v>2023-07</x:v>
      </x:c>
    </x:row>
    <x:row r="44" ht="17" customHeight="1">
      <x:c r="A44" s="9" t="str">
        <x:v>2023-07-01</x:v>
      </x:c>
      <x:c r="B44" s="9" t="str">
        <x:v>Marketing</x:v>
      </x:c>
      <x:c r="C44" s="107" t="n">
        <x:v>0</x:v>
      </x:c>
      <x:c r="D44" s="107" t="n">
        <x:v>0</x:v>
      </x:c>
      <x:c r="E44" s="107" t="n">
        <x:v>0</x:v>
      </x:c>
      <x:c r="F44" s="107" t="n">
        <x:v>5.1612119000000005</x:v>
      </x:c>
      <x:c r="G44" s="107" t="n">
        <x:v>0</x:v>
      </x:c>
      <x:c r="H44" s="107" t="n">
        <x:v>0</x:v>
      </x:c>
      <x:c r="I44" s="107" t="n">
        <x:v>0</x:v>
      </x:c>
      <x:c r="J44" s="107" t="n">
        <x:v>-5.1612119000000005</x:v>
      </x:c>
      <x:c r="K44" s="107" t="n">
        <x:v>-5.1612119000000005</x:v>
      </x:c>
      <x:c r="L44" s="107" t="n">
        <x:v>-5.1612119000000005</x:v>
      </x:c>
      <x:c r="M44" s="107" t="n">
        <x:v>-5.1612119000000005</x:v>
      </x:c>
      <x:c r="N44" s="108"/>
      <x:c r="O44" s="108"/>
      <x:c r="P44" s="108"/>
      <x:c r="Q44" s="9" t="str">
        <x:v>Actual</x:v>
      </x:c>
      <x:c r="R44" s="9" t="n">
        <x:v>2023</x:v>
      </x:c>
      <x:c r="S44" s="9" t="str">
        <x:v>2023-07</x:v>
      </x:c>
    </x:row>
    <x:row r="45" ht="17" customHeight="1">
      <x:c r="A45" s="9" t="str">
        <x:v>2023-07-01</x:v>
      </x:c>
      <x:c r="B45" s="9" t="str">
        <x:v>Operations</x:v>
      </x:c>
      <x:c r="C45" s="107" t="n">
        <x:v>0</x:v>
      </x:c>
      <x:c r="D45" s="107" t="n">
        <x:v>0</x:v>
      </x:c>
      <x:c r="E45" s="107" t="n">
        <x:v>0</x:v>
      </x:c>
      <x:c r="F45" s="107" t="n">
        <x:v>7.12130888</x:v>
      </x:c>
      <x:c r="G45" s="107" t="n">
        <x:v>0</x:v>
      </x:c>
      <x:c r="H45" s="107" t="n">
        <x:v>0</x:v>
      </x:c>
      <x:c r="I45" s="107" t="n">
        <x:v>0</x:v>
      </x:c>
      <x:c r="J45" s="107" t="n">
        <x:v>-7.12130888</x:v>
      </x:c>
      <x:c r="K45" s="107" t="n">
        <x:v>-7.12130888</x:v>
      </x:c>
      <x:c r="L45" s="107" t="n">
        <x:v>-7.12130888</x:v>
      </x:c>
      <x:c r="M45" s="107" t="n">
        <x:v>-7.12130888</x:v>
      </x:c>
      <x:c r="N45" s="108"/>
      <x:c r="O45" s="108"/>
      <x:c r="P45" s="108"/>
      <x:c r="Q45" s="9" t="str">
        <x:v>Actual</x:v>
      </x:c>
      <x:c r="R45" s="9" t="n">
        <x:v>2023</x:v>
      </x:c>
      <x:c r="S45" s="9" t="str">
        <x:v>2023-07</x:v>
      </x:c>
    </x:row>
    <x:row r="46" ht="17" customHeight="1">
      <x:c r="A46" s="9" t="str">
        <x:v>2023-07-01</x:v>
      </x:c>
      <x:c r="B46" s="9" t="str">
        <x:v>Sales</x:v>
      </x:c>
      <x:c r="C46" s="107" t="n">
        <x:v>49.966338740000005</x:v>
      </x:c>
      <x:c r="D46" s="107" t="n">
        <x:v>0</x:v>
      </x:c>
      <x:c r="E46" s="107" t="n">
        <x:v>0</x:v>
      </x:c>
      <x:c r="F46" s="107" t="n">
        <x:v>16.33168658</x:v>
      </x:c>
      <x:c r="G46" s="107" t="n">
        <x:v>98.40546659</x:v>
      </x:c>
      <x:c r="H46" s="107" t="n">
        <x:v>0</x:v>
      </x:c>
      <x:c r="I46" s="107" t="n">
        <x:v>48.43912785</x:v>
      </x:c>
      <x:c r="J46" s="107" t="n">
        <x:v>32.10744127</x:v>
      </x:c>
      <x:c r="K46" s="107" t="n">
        <x:v>32.10744127</x:v>
      </x:c>
      <x:c r="L46" s="107" t="n">
        <x:v>32.10744127</x:v>
      </x:c>
      <x:c r="M46" s="107" t="n">
        <x:v>32.10744127</x:v>
      </x:c>
      <x:c r="N46" s="108" t="n">
        <x:v>0.49224021315623134</x:v>
      </x:c>
      <x:c r="O46" s="108" t="n">
        <x:v>0.3262770086114583</x:v>
      </x:c>
      <x:c r="P46" s="108" t="n">
        <x:v>0.3262770086114583</x:v>
      </x:c>
      <x:c r="Q46" s="9" t="str">
        <x:v>Actual</x:v>
      </x:c>
      <x:c r="R46" s="9" t="n">
        <x:v>2023</x:v>
      </x:c>
      <x:c r="S46" s="9" t="str">
        <x:v>2023-07</x:v>
      </x:c>
    </x:row>
    <x:row r="47" ht="17" customHeight="1">
      <x:c r="A47" s="9" t="str">
        <x:v>2023-07-01</x:v>
      </x:c>
      <x:c r="B47" s="9" t="str">
        <x:v>Technology</x:v>
      </x:c>
      <x:c r="C47" s="107" t="n">
        <x:v>0</x:v>
      </x:c>
      <x:c r="D47" s="107" t="n">
        <x:v>0.16979167</x:v>
      </x:c>
      <x:c r="E47" s="107" t="n">
        <x:v>0</x:v>
      </x:c>
      <x:c r="F47" s="107" t="n">
        <x:v>6.878684099999999</x:v>
      </x:c>
      <x:c r="G47" s="107" t="n">
        <x:v>0</x:v>
      </x:c>
      <x:c r="H47" s="107" t="n">
        <x:v>0</x:v>
      </x:c>
      <x:c r="I47" s="107" t="n">
        <x:v>0</x:v>
      </x:c>
      <x:c r="J47" s="107" t="n">
        <x:v>-6.878684099999999</x:v>
      </x:c>
      <x:c r="K47" s="107" t="n">
        <x:v>-7.04847577</x:v>
      </x:c>
      <x:c r="L47" s="107" t="n">
        <x:v>-7.04847577</x:v>
      </x:c>
      <x:c r="M47" s="107" t="n">
        <x:v>-7.04847577</x:v>
      </x:c>
      <x:c r="N47" s="108"/>
      <x:c r="O47" s="108"/>
      <x:c r="P47" s="108"/>
      <x:c r="Q47" s="9" t="str">
        <x:v>Actual</x:v>
      </x:c>
      <x:c r="R47" s="9" t="n">
        <x:v>2023</x:v>
      </x:c>
      <x:c r="S47" s="9" t="str">
        <x:v>2023-07</x:v>
      </x:c>
    </x:row>
    <x:row r="48" ht="17" customHeight="1">
      <x:c r="A48" s="9" t="str">
        <x:v>2023-08-01</x:v>
      </x:c>
      <x:c r="B48" s="9" t="str">
        <x:v>Customer Success</x:v>
      </x:c>
      <x:c r="C48" s="107" t="n">
        <x:v>1.36521725</x:v>
      </x:c>
      <x:c r="D48" s="107" t="n">
        <x:v>0</x:v>
      </x:c>
      <x:c r="E48" s="107" t="n">
        <x:v>0</x:v>
      </x:c>
      <x:c r="F48" s="107" t="n">
        <x:v>2.41751474</x:v>
      </x:c>
      <x:c r="G48" s="107" t="n">
        <x:v>5.3088291</x:v>
      </x:c>
      <x:c r="H48" s="107" t="n">
        <x:v>0</x:v>
      </x:c>
      <x:c r="I48" s="107" t="n">
        <x:v>3.9436118499999995</x:v>
      </x:c>
      <x:c r="J48" s="107" t="n">
        <x:v>1.5260971099999994</x:v>
      </x:c>
      <x:c r="K48" s="107" t="n">
        <x:v>1.5260971099999994</x:v>
      </x:c>
      <x:c r="L48" s="107" t="n">
        <x:v>1.5260971099999994</x:v>
      </x:c>
      <x:c r="M48" s="107" t="n">
        <x:v>1.5260971099999994</x:v>
      </x:c>
      <x:c r="N48" s="108" t="n">
        <x:v>0.7428402338285857</x:v>
      </x:c>
      <x:c r="O48" s="108" t="n">
        <x:v>0.2874639739297691</x:v>
      </x:c>
      <x:c r="P48" s="108" t="n">
        <x:v>0.2874639739297691</x:v>
      </x:c>
      <x:c r="Q48" s="9" t="str">
        <x:v>Actual</x:v>
      </x:c>
      <x:c r="R48" s="9" t="n">
        <x:v>2023</x:v>
      </x:c>
      <x:c r="S48" s="9" t="str">
        <x:v>2023-08</x:v>
      </x:c>
    </x:row>
    <x:row r="49" ht="17" customHeight="1">
      <x:c r="A49" s="9" t="str">
        <x:v>2023-08-01</x:v>
      </x:c>
      <x:c r="B49" s="9" t="str">
        <x:v>Finance &amp; Corporate</x:v>
      </x:c>
      <x:c r="C49" s="107" t="n">
        <x:v>0</x:v>
      </x:c>
      <x:c r="D49" s="107" t="n">
        <x:v>0</x:v>
      </x:c>
      <x:c r="E49" s="107" t="n">
        <x:v>0.42</x:v>
      </x:c>
      <x:c r="F49" s="107" t="n">
        <x:v>5.00023052</x:v>
      </x:c>
      <x:c r="G49" s="107" t="n">
        <x:v>0</x:v>
      </x:c>
      <x:c r="H49" s="107" t="n">
        <x:v>1.46942295</x:v>
      </x:c>
      <x:c r="I49" s="107" t="n">
        <x:v>0</x:v>
      </x:c>
      <x:c r="J49" s="107" t="n">
        <x:v>-5.00023052</x:v>
      </x:c>
      <x:c r="K49" s="107" t="n">
        <x:v>-5.00023052</x:v>
      </x:c>
      <x:c r="L49" s="107" t="n">
        <x:v>-5.42023052</x:v>
      </x:c>
      <x:c r="M49" s="107" t="n">
        <x:v>-6.88965347</x:v>
      </x:c>
      <x:c r="N49" s="108"/>
      <x:c r="O49" s="108"/>
      <x:c r="P49" s="108"/>
      <x:c r="Q49" s="9" t="str">
        <x:v>Actual</x:v>
      </x:c>
      <x:c r="R49" s="9" t="n">
        <x:v>2023</x:v>
      </x:c>
      <x:c r="S49" s="9" t="str">
        <x:v>2023-08</x:v>
      </x:c>
    </x:row>
    <x:row r="50" ht="17" customHeight="1">
      <x:c r="A50" s="9" t="str">
        <x:v>2023-08-01</x:v>
      </x:c>
      <x:c r="B50" s="9" t="str">
        <x:v>Marketing</x:v>
      </x:c>
      <x:c r="C50" s="107" t="n">
        <x:v>0</x:v>
      </x:c>
      <x:c r="D50" s="107" t="n">
        <x:v>0</x:v>
      </x:c>
      <x:c r="E50" s="107" t="n">
        <x:v>0</x:v>
      </x:c>
      <x:c r="F50" s="107" t="n">
        <x:v>5.39284044</x:v>
      </x:c>
      <x:c r="G50" s="107" t="n">
        <x:v>0</x:v>
      </x:c>
      <x:c r="H50" s="107" t="n">
        <x:v>0</x:v>
      </x:c>
      <x:c r="I50" s="107" t="n">
        <x:v>0</x:v>
      </x:c>
      <x:c r="J50" s="107" t="n">
        <x:v>-5.39284044</x:v>
      </x:c>
      <x:c r="K50" s="107" t="n">
        <x:v>-5.39284044</x:v>
      </x:c>
      <x:c r="L50" s="107" t="n">
        <x:v>-5.39284044</x:v>
      </x:c>
      <x:c r="M50" s="107" t="n">
        <x:v>-5.39284044</x:v>
      </x:c>
      <x:c r="N50" s="108"/>
      <x:c r="O50" s="108"/>
      <x:c r="P50" s="108"/>
      <x:c r="Q50" s="9" t="str">
        <x:v>Actual</x:v>
      </x:c>
      <x:c r="R50" s="9" t="n">
        <x:v>2023</x:v>
      </x:c>
      <x:c r="S50" s="9" t="str">
        <x:v>2023-08</x:v>
      </x:c>
    </x:row>
    <x:row r="51" ht="17" customHeight="1">
      <x:c r="A51" s="9" t="str">
        <x:v>2023-08-01</x:v>
      </x:c>
      <x:c r="B51" s="9" t="str">
        <x:v>Operations</x:v>
      </x:c>
      <x:c r="C51" s="107" t="n">
        <x:v>0</x:v>
      </x:c>
      <x:c r="D51" s="107" t="n">
        <x:v>0</x:v>
      </x:c>
      <x:c r="E51" s="107" t="n">
        <x:v>0</x:v>
      </x:c>
      <x:c r="F51" s="107" t="n">
        <x:v>7.13385947</x:v>
      </x:c>
      <x:c r="G51" s="107" t="n">
        <x:v>0</x:v>
      </x:c>
      <x:c r="H51" s="107" t="n">
        <x:v>0</x:v>
      </x:c>
      <x:c r="I51" s="107" t="n">
        <x:v>0</x:v>
      </x:c>
      <x:c r="J51" s="107" t="n">
        <x:v>-7.13385947</x:v>
      </x:c>
      <x:c r="K51" s="107" t="n">
        <x:v>-7.13385947</x:v>
      </x:c>
      <x:c r="L51" s="107" t="n">
        <x:v>-7.13385947</x:v>
      </x:c>
      <x:c r="M51" s="107" t="n">
        <x:v>-7.13385947</x:v>
      </x:c>
      <x:c r="N51" s="108"/>
      <x:c r="O51" s="108"/>
      <x:c r="P51" s="108"/>
      <x:c r="Q51" s="9" t="str">
        <x:v>Actual</x:v>
      </x:c>
      <x:c r="R51" s="9" t="n">
        <x:v>2023</x:v>
      </x:c>
      <x:c r="S51" s="9" t="str">
        <x:v>2023-08</x:v>
      </x:c>
    </x:row>
    <x:row r="52" ht="17" customHeight="1">
      <x:c r="A52" s="9" t="str">
        <x:v>2023-08-01</x:v>
      </x:c>
      <x:c r="B52" s="9" t="str">
        <x:v>Sales</x:v>
      </x:c>
      <x:c r="C52" s="107" t="n">
        <x:v>47.78938661</x:v>
      </x:c>
      <x:c r="D52" s="107" t="n">
        <x:v>0</x:v>
      </x:c>
      <x:c r="E52" s="107" t="n">
        <x:v>0</x:v>
      </x:c>
      <x:c r="F52" s="107" t="n">
        <x:v>16.19401598</x:v>
      </x:c>
      <x:c r="G52" s="107" t="n">
        <x:v>93.41668827000001</x:v>
      </x:c>
      <x:c r="H52" s="107" t="n">
        <x:v>0</x:v>
      </x:c>
      <x:c r="I52" s="107" t="n">
        <x:v>45.627301660000015</x:v>
      </x:c>
      <x:c r="J52" s="107" t="n">
        <x:v>29.43328568000001</x:v>
      </x:c>
      <x:c r="K52" s="107" t="n">
        <x:v>29.43328568000001</x:v>
      </x:c>
      <x:c r="L52" s="107" t="n">
        <x:v>29.43328568000001</x:v>
      </x:c>
      <x:c r="M52" s="107" t="n">
        <x:v>29.43328568000001</x:v>
      </x:c>
      <x:c r="N52" s="108" t="n">
        <x:v>0.48842773710971765</x:v>
      </x:c>
      <x:c r="O52" s="108" t="n">
        <x:v>0.3150752421765337</x:v>
      </x:c>
      <x:c r="P52" s="108" t="n">
        <x:v>0.3150752421765337</x:v>
      </x:c>
      <x:c r="Q52" s="9" t="str">
        <x:v>Actual</x:v>
      </x:c>
      <x:c r="R52" s="9" t="n">
        <x:v>2023</x:v>
      </x:c>
      <x:c r="S52" s="9" t="str">
        <x:v>2023-08</x:v>
      </x:c>
    </x:row>
    <x:row r="53" ht="17" customHeight="1">
      <x:c r="A53" s="9" t="str">
        <x:v>2023-08-01</x:v>
      </x:c>
      <x:c r="B53" s="9" t="str">
        <x:v>Technology</x:v>
      </x:c>
      <x:c r="C53" s="107" t="n">
        <x:v>0</x:v>
      </x:c>
      <x:c r="D53" s="107" t="n">
        <x:v>0.16979167</x:v>
      </x:c>
      <x:c r="E53" s="107" t="n">
        <x:v>0</x:v>
      </x:c>
      <x:c r="F53" s="107" t="n">
        <x:v>6.96496888</x:v>
      </x:c>
      <x:c r="G53" s="107" t="n">
        <x:v>0</x:v>
      </x:c>
      <x:c r="H53" s="107" t="n">
        <x:v>0</x:v>
      </x:c>
      <x:c r="I53" s="107" t="n">
        <x:v>0</x:v>
      </x:c>
      <x:c r="J53" s="107" t="n">
        <x:v>-6.96496888</x:v>
      </x:c>
      <x:c r="K53" s="107" t="n">
        <x:v>-7.13476055</x:v>
      </x:c>
      <x:c r="L53" s="107" t="n">
        <x:v>-7.13476055</x:v>
      </x:c>
      <x:c r="M53" s="107" t="n">
        <x:v>-7.13476055</x:v>
      </x:c>
      <x:c r="N53" s="108"/>
      <x:c r="O53" s="108"/>
      <x:c r="P53" s="108"/>
      <x:c r="Q53" s="9" t="str">
        <x:v>Actual</x:v>
      </x:c>
      <x:c r="R53" s="9" t="n">
        <x:v>2023</x:v>
      </x:c>
      <x:c r="S53" s="9" t="str">
        <x:v>2023-08</x:v>
      </x:c>
    </x:row>
    <x:row r="54" ht="17" customHeight="1">
      <x:c r="A54" s="9" t="str">
        <x:v>2023-09-01</x:v>
      </x:c>
      <x:c r="B54" s="9" t="str">
        <x:v>Customer Success</x:v>
      </x:c>
      <x:c r="C54" s="107" t="n">
        <x:v>1.32359106</x:v>
      </x:c>
      <x:c r="D54" s="107" t="n">
        <x:v>0</x:v>
      </x:c>
      <x:c r="E54" s="107" t="n">
        <x:v>0</x:v>
      </x:c>
      <x:c r="F54" s="107" t="n">
        <x:v>2.40693625</x:v>
      </x:c>
      <x:c r="G54" s="107" t="n">
        <x:v>5.24914008</x:v>
      </x:c>
      <x:c r="H54" s="107" t="n">
        <x:v>0</x:v>
      </x:c>
      <x:c r="I54" s="107" t="n">
        <x:v>3.92554902</x:v>
      </x:c>
      <x:c r="J54" s="107" t="n">
        <x:v>1.51861277</x:v>
      </x:c>
      <x:c r="K54" s="107" t="n">
        <x:v>1.51861277</x:v>
      </x:c>
      <x:c r="L54" s="107" t="n">
        <x:v>1.51861277</x:v>
      </x:c>
      <x:c r="M54" s="107" t="n">
        <x:v>1.51861277</x:v>
      </x:c>
      <x:c r="N54" s="108" t="n">
        <x:v>0.7478461157775008</x:v>
      </x:c>
      <x:c r="O54" s="108" t="n">
        <x:v>0.2893069620652989</x:v>
      </x:c>
      <x:c r="P54" s="108" t="n">
        <x:v>0.2893069620652989</x:v>
      </x:c>
      <x:c r="Q54" s="9" t="str">
        <x:v>Actual</x:v>
      </x:c>
      <x:c r="R54" s="9" t="n">
        <x:v>2023</x:v>
      </x:c>
      <x:c r="S54" s="9" t="str">
        <x:v>2023-09</x:v>
      </x:c>
    </x:row>
    <x:row r="55" ht="17" customHeight="1">
      <x:c r="A55" s="9" t="str">
        <x:v>2023-09-01</x:v>
      </x:c>
      <x:c r="B55" s="9" t="str">
        <x:v>Finance &amp; Corporate</x:v>
      </x:c>
      <x:c r="C55" s="107" t="n">
        <x:v>0</x:v>
      </x:c>
      <x:c r="D55" s="107" t="n">
        <x:v>0</x:v>
      </x:c>
      <x:c r="E55" s="107" t="n">
        <x:v>0.42</x:v>
      </x:c>
      <x:c r="F55" s="107" t="n">
        <x:v>4.85194337</x:v>
      </x:c>
      <x:c r="G55" s="107" t="n">
        <x:v>0</x:v>
      </x:c>
      <x:c r="H55" s="107" t="n">
        <x:v>2.78823234</x:v>
      </x:c>
      <x:c r="I55" s="107" t="n">
        <x:v>0</x:v>
      </x:c>
      <x:c r="J55" s="107" t="n">
        <x:v>-4.85194337</x:v>
      </x:c>
      <x:c r="K55" s="107" t="n">
        <x:v>-4.85194337</x:v>
      </x:c>
      <x:c r="L55" s="107" t="n">
        <x:v>-5.27194337</x:v>
      </x:c>
      <x:c r="M55" s="107" t="n">
        <x:v>-8.06017571</x:v>
      </x:c>
      <x:c r="N55" s="108"/>
      <x:c r="O55" s="108"/>
      <x:c r="P55" s="108"/>
      <x:c r="Q55" s="9" t="str">
        <x:v>Actual</x:v>
      </x:c>
      <x:c r="R55" s="9" t="n">
        <x:v>2023</x:v>
      </x:c>
      <x:c r="S55" s="9" t="str">
        <x:v>2023-09</x:v>
      </x:c>
    </x:row>
    <x:row r="56" ht="17" customHeight="1">
      <x:c r="A56" s="9" t="str">
        <x:v>2023-09-01</x:v>
      </x:c>
      <x:c r="B56" s="9" t="str">
        <x:v>Marketing</x:v>
      </x:c>
      <x:c r="C56" s="107" t="n">
        <x:v>0</x:v>
      </x:c>
      <x:c r="D56" s="107" t="n">
        <x:v>0</x:v>
      </x:c>
      <x:c r="E56" s="107" t="n">
        <x:v>0</x:v>
      </x:c>
      <x:c r="F56" s="107" t="n">
        <x:v>5.43160018</x:v>
      </x:c>
      <x:c r="G56" s="107" t="n">
        <x:v>0</x:v>
      </x:c>
      <x:c r="H56" s="107" t="n">
        <x:v>0</x:v>
      </x:c>
      <x:c r="I56" s="107" t="n">
        <x:v>0</x:v>
      </x:c>
      <x:c r="J56" s="107" t="n">
        <x:v>-5.43160018</x:v>
      </x:c>
      <x:c r="K56" s="107" t="n">
        <x:v>-5.43160018</x:v>
      </x:c>
      <x:c r="L56" s="107" t="n">
        <x:v>-5.43160018</x:v>
      </x:c>
      <x:c r="M56" s="107" t="n">
        <x:v>-5.43160018</x:v>
      </x:c>
      <x:c r="N56" s="108"/>
      <x:c r="O56" s="108"/>
      <x:c r="P56" s="108"/>
      <x:c r="Q56" s="9" t="str">
        <x:v>Actual</x:v>
      </x:c>
      <x:c r="R56" s="9" t="n">
        <x:v>2023</x:v>
      </x:c>
      <x:c r="S56" s="9" t="str">
        <x:v>2023-09</x:v>
      </x:c>
    </x:row>
    <x:row r="57" ht="17" customHeight="1">
      <x:c r="A57" s="9" t="str">
        <x:v>2023-09-01</x:v>
      </x:c>
      <x:c r="B57" s="9" t="str">
        <x:v>Operations</x:v>
      </x:c>
      <x:c r="C57" s="107" t="n">
        <x:v>0</x:v>
      </x:c>
      <x:c r="D57" s="107" t="n">
        <x:v>0</x:v>
      </x:c>
      <x:c r="E57" s="107" t="n">
        <x:v>0</x:v>
      </x:c>
      <x:c r="F57" s="107" t="n">
        <x:v>7.3446074</x:v>
      </x:c>
      <x:c r="G57" s="107" t="n">
        <x:v>0</x:v>
      </x:c>
      <x:c r="H57" s="107" t="n">
        <x:v>0</x:v>
      </x:c>
      <x:c r="I57" s="107" t="n">
        <x:v>0</x:v>
      </x:c>
      <x:c r="J57" s="107" t="n">
        <x:v>-7.3446074</x:v>
      </x:c>
      <x:c r="K57" s="107" t="n">
        <x:v>-7.3446074</x:v>
      </x:c>
      <x:c r="L57" s="107" t="n">
        <x:v>-7.3446074</x:v>
      </x:c>
      <x:c r="M57" s="107" t="n">
        <x:v>-7.3446074</x:v>
      </x:c>
      <x:c r="N57" s="108"/>
      <x:c r="O57" s="108"/>
      <x:c r="P57" s="108"/>
      <x:c r="Q57" s="9" t="str">
        <x:v>Actual</x:v>
      </x:c>
      <x:c r="R57" s="9" t="n">
        <x:v>2023</x:v>
      </x:c>
      <x:c r="S57" s="9" t="str">
        <x:v>2023-09</x:v>
      </x:c>
    </x:row>
    <x:row r="58" ht="17" customHeight="1">
      <x:c r="A58" s="9" t="str">
        <x:v>2023-09-01</x:v>
      </x:c>
      <x:c r="B58" s="9" t="str">
        <x:v>Sales</x:v>
      </x:c>
      <x:c r="C58" s="107" t="n">
        <x:v>54.68725215</x:v>
      </x:c>
      <x:c r="D58" s="107" t="n">
        <x:v>0</x:v>
      </x:c>
      <x:c r="E58" s="107" t="n">
        <x:v>0</x:v>
      </x:c>
      <x:c r="F58" s="107" t="n">
        <x:v>16.51860406</x:v>
      </x:c>
      <x:c r="G58" s="107" t="n">
        <x:v>105.99062504999999</x:v>
      </x:c>
      <x:c r="H58" s="107" t="n">
        <x:v>0</x:v>
      </x:c>
      <x:c r="I58" s="107" t="n">
        <x:v>51.3033729</x:v>
      </x:c>
      <x:c r="J58" s="107" t="n">
        <x:v>34.78476884</x:v>
      </x:c>
      <x:c r="K58" s="107" t="n">
        <x:v>34.78476884</x:v>
      </x:c>
      <x:c r="L58" s="107" t="n">
        <x:v>34.78476884</x:v>
      </x:c>
      <x:c r="M58" s="107" t="n">
        <x:v>34.78476884</x:v>
      </x:c>
      <x:c r="N58" s="108" t="n">
        <x:v>0.4840368936007138</x:v>
      </x:c>
      <x:c r="O58" s="108" t="n">
        <x:v>0.3281872224415191</x:v>
      </x:c>
      <x:c r="P58" s="108" t="n">
        <x:v>0.3281872224415191</x:v>
      </x:c>
      <x:c r="Q58" s="9" t="str">
        <x:v>Actual</x:v>
      </x:c>
      <x:c r="R58" s="9" t="n">
        <x:v>2023</x:v>
      </x:c>
      <x:c r="S58" s="9" t="str">
        <x:v>2023-09</x:v>
      </x:c>
    </x:row>
    <x:row r="59" ht="17" customHeight="1">
      <x:c r="A59" s="9" t="str">
        <x:v>2023-09-01</x:v>
      </x:c>
      <x:c r="B59" s="9" t="str">
        <x:v>Technology</x:v>
      </x:c>
      <x:c r="C59" s="107" t="n">
        <x:v>0</x:v>
      </x:c>
      <x:c r="D59" s="107" t="n">
        <x:v>0.16979167</x:v>
      </x:c>
      <x:c r="E59" s="107" t="n">
        <x:v>0</x:v>
      </x:c>
      <x:c r="F59" s="107" t="n">
        <x:v>6.93250962</x:v>
      </x:c>
      <x:c r="G59" s="107" t="n">
        <x:v>0</x:v>
      </x:c>
      <x:c r="H59" s="107" t="n">
        <x:v>0</x:v>
      </x:c>
      <x:c r="I59" s="107" t="n">
        <x:v>0</x:v>
      </x:c>
      <x:c r="J59" s="107" t="n">
        <x:v>-6.93250962</x:v>
      </x:c>
      <x:c r="K59" s="107" t="n">
        <x:v>-7.10230129</x:v>
      </x:c>
      <x:c r="L59" s="107" t="n">
        <x:v>-7.10230129</x:v>
      </x:c>
      <x:c r="M59" s="107" t="n">
        <x:v>-7.10230129</x:v>
      </x:c>
      <x:c r="N59" s="108"/>
      <x:c r="O59" s="108"/>
      <x:c r="P59" s="108"/>
      <x:c r="Q59" s="9" t="str">
        <x:v>Actual</x:v>
      </x:c>
      <x:c r="R59" s="9" t="n">
        <x:v>2023</x:v>
      </x:c>
      <x:c r="S59" s="9" t="str">
        <x:v>2023-09</x:v>
      </x:c>
    </x:row>
    <x:row r="60" ht="17" customHeight="1">
      <x:c r="A60" s="9" t="str">
        <x:v>2023-10-01</x:v>
      </x:c>
      <x:c r="B60" s="9" t="str">
        <x:v>Customer Success</x:v>
      </x:c>
      <x:c r="C60" s="107" t="n">
        <x:v>1.3153777999999998</x:v>
      </x:c>
      <x:c r="D60" s="107" t="n">
        <x:v>0</x:v>
      </x:c>
      <x:c r="E60" s="107" t="n">
        <x:v>0</x:v>
      </x:c>
      <x:c r="F60" s="107" t="n">
        <x:v>2.45537743</x:v>
      </x:c>
      <x:c r="G60" s="107" t="n">
        <x:v>5.18539728</x:v>
      </x:c>
      <x:c r="H60" s="107" t="n">
        <x:v>0</x:v>
      </x:c>
      <x:c r="I60" s="107" t="n">
        <x:v>3.8700194800000003</x:v>
      </x:c>
      <x:c r="J60" s="107" t="n">
        <x:v>1.4146420500000003</x:v>
      </x:c>
      <x:c r="K60" s="107" t="n">
        <x:v>1.4146420500000003</x:v>
      </x:c>
      <x:c r="L60" s="107" t="n">
        <x:v>1.4146420500000003</x:v>
      </x:c>
      <x:c r="M60" s="107" t="n">
        <x:v>1.4146420500000003</x:v>
      </x:c>
      <x:c r="N60" s="108" t="n">
        <x:v>0.746330371816757</x:v>
      </x:c>
      <x:c r="O60" s="108" t="n">
        <x:v>0.27281266479933053</x:v>
      </x:c>
      <x:c r="P60" s="108" t="n">
        <x:v>0.27281266479933053</x:v>
      </x:c>
      <x:c r="Q60" s="9" t="str">
        <x:v>Actual</x:v>
      </x:c>
      <x:c r="R60" s="9" t="n">
        <x:v>2023</x:v>
      </x:c>
      <x:c r="S60" s="9" t="str">
        <x:v>2023-10</x:v>
      </x:c>
    </x:row>
    <x:row r="61" ht="17" customHeight="1">
      <x:c r="A61" s="9" t="str">
        <x:v>2023-10-01</x:v>
      </x:c>
      <x:c r="B61" s="9" t="str">
        <x:v>Finance &amp; Corporate</x:v>
      </x:c>
      <x:c r="C61" s="107" t="n">
        <x:v>0</x:v>
      </x:c>
      <x:c r="D61" s="107" t="n">
        <x:v>0</x:v>
      </x:c>
      <x:c r="E61" s="107" t="n">
        <x:v>0.42</x:v>
      </x:c>
      <x:c r="F61" s="107" t="n">
        <x:v>4.9246879</x:v>
      </x:c>
      <x:c r="G61" s="107" t="n">
        <x:v>0</x:v>
      </x:c>
      <x:c r="H61" s="107" t="n">
        <x:v>3.19500923</x:v>
      </x:c>
      <x:c r="I61" s="107" t="n">
        <x:v>0</x:v>
      </x:c>
      <x:c r="J61" s="107" t="n">
        <x:v>-4.9246879</x:v>
      </x:c>
      <x:c r="K61" s="107" t="n">
        <x:v>-4.9246879</x:v>
      </x:c>
      <x:c r="L61" s="107" t="n">
        <x:v>-5.3446879</x:v>
      </x:c>
      <x:c r="M61" s="107" t="n">
        <x:v>-8.53969713</x:v>
      </x:c>
      <x:c r="N61" s="108"/>
      <x:c r="O61" s="108"/>
      <x:c r="P61" s="108"/>
      <x:c r="Q61" s="9" t="str">
        <x:v>Actual</x:v>
      </x:c>
      <x:c r="R61" s="9" t="n">
        <x:v>2023</x:v>
      </x:c>
      <x:c r="S61" s="9" t="str">
        <x:v>2023-10</x:v>
      </x:c>
    </x:row>
    <x:row r="62" ht="17" customHeight="1">
      <x:c r="A62" s="9" t="str">
        <x:v>2023-10-01</x:v>
      </x:c>
      <x:c r="B62" s="9" t="str">
        <x:v>Marketing</x:v>
      </x:c>
      <x:c r="C62" s="107" t="n">
        <x:v>0</x:v>
      </x:c>
      <x:c r="D62" s="107" t="n">
        <x:v>0</x:v>
      </x:c>
      <x:c r="E62" s="107" t="n">
        <x:v>0</x:v>
      </x:c>
      <x:c r="F62" s="107" t="n">
        <x:v>5.41470663</x:v>
      </x:c>
      <x:c r="G62" s="107" t="n">
        <x:v>0</x:v>
      </x:c>
      <x:c r="H62" s="107" t="n">
        <x:v>0</x:v>
      </x:c>
      <x:c r="I62" s="107" t="n">
        <x:v>0</x:v>
      </x:c>
      <x:c r="J62" s="107" t="n">
        <x:v>-5.41470663</x:v>
      </x:c>
      <x:c r="K62" s="107" t="n">
        <x:v>-5.41470663</x:v>
      </x:c>
      <x:c r="L62" s="107" t="n">
        <x:v>-5.41470663</x:v>
      </x:c>
      <x:c r="M62" s="107" t="n">
        <x:v>-5.41470663</x:v>
      </x:c>
      <x:c r="N62" s="108"/>
      <x:c r="O62" s="108"/>
      <x:c r="P62" s="108"/>
      <x:c r="Q62" s="9" t="str">
        <x:v>Actual</x:v>
      </x:c>
      <x:c r="R62" s="9" t="n">
        <x:v>2023</x:v>
      </x:c>
      <x:c r="S62" s="9" t="str">
        <x:v>2023-10</x:v>
      </x:c>
    </x:row>
    <x:row r="63" ht="17" customHeight="1">
      <x:c r="A63" s="9" t="str">
        <x:v>2023-10-01</x:v>
      </x:c>
      <x:c r="B63" s="9" t="str">
        <x:v>Operations</x:v>
      </x:c>
      <x:c r="C63" s="107" t="n">
        <x:v>0</x:v>
      </x:c>
      <x:c r="D63" s="107" t="n">
        <x:v>0</x:v>
      </x:c>
      <x:c r="E63" s="107" t="n">
        <x:v>0</x:v>
      </x:c>
      <x:c r="F63" s="107" t="n">
        <x:v>7.474555189999999</x:v>
      </x:c>
      <x:c r="G63" s="107" t="n">
        <x:v>0</x:v>
      </x:c>
      <x:c r="H63" s="107" t="n">
        <x:v>0</x:v>
      </x:c>
      <x:c r="I63" s="107" t="n">
        <x:v>0</x:v>
      </x:c>
      <x:c r="J63" s="107" t="n">
        <x:v>-7.474555189999999</x:v>
      </x:c>
      <x:c r="K63" s="107" t="n">
        <x:v>-7.474555189999999</x:v>
      </x:c>
      <x:c r="L63" s="107" t="n">
        <x:v>-7.474555189999999</x:v>
      </x:c>
      <x:c r="M63" s="107" t="n">
        <x:v>-7.474555189999999</x:v>
      </x:c>
      <x:c r="N63" s="108"/>
      <x:c r="O63" s="108"/>
      <x:c r="P63" s="108"/>
      <x:c r="Q63" s="9" t="str">
        <x:v>Actual</x:v>
      </x:c>
      <x:c r="R63" s="9" t="n">
        <x:v>2023</x:v>
      </x:c>
      <x:c r="S63" s="9" t="str">
        <x:v>2023-10</x:v>
      </x:c>
    </x:row>
    <x:row r="64" ht="17" customHeight="1">
      <x:c r="A64" s="9" t="str">
        <x:v>2023-10-01</x:v>
      </x:c>
      <x:c r="B64" s="9" t="str">
        <x:v>Sales</x:v>
      </x:c>
      <x:c r="C64" s="107" t="n">
        <x:v>56.3886115</x:v>
      </x:c>
      <x:c r="D64" s="107" t="n">
        <x:v>0.1075</x:v>
      </x:c>
      <x:c r="E64" s="107" t="n">
        <x:v>0</x:v>
      </x:c>
      <x:c r="F64" s="107" t="n">
        <x:v>16.8834598</x:v>
      </x:c>
      <x:c r="G64" s="107" t="n">
        <x:v>110.03903815000001</x:v>
      </x:c>
      <x:c r="H64" s="107" t="n">
        <x:v>0</x:v>
      </x:c>
      <x:c r="I64" s="107" t="n">
        <x:v>53.65042665000001</x:v>
      </x:c>
      <x:c r="J64" s="107" t="n">
        <x:v>36.76696685000001</x:v>
      </x:c>
      <x:c r="K64" s="107" t="n">
        <x:v>36.65946685000001</x:v>
      </x:c>
      <x:c r="L64" s="107" t="n">
        <x:v>36.65946685000001</x:v>
      </x:c>
      <x:c r="M64" s="107" t="n">
        <x:v>36.65946685000001</x:v>
      </x:c>
      <x:c r="N64" s="108" t="n">
        <x:v>0.48755812075407534</x:v>
      </x:c>
      <x:c r="O64" s="108" t="n">
        <x:v>0.33412657424250675</x:v>
      </x:c>
      <x:c r="P64" s="108" t="n">
        <x:v>0.3331496482187309</x:v>
      </x:c>
      <x:c r="Q64" s="9" t="str">
        <x:v>Actual</x:v>
      </x:c>
      <x:c r="R64" s="9" t="n">
        <x:v>2023</x:v>
      </x:c>
      <x:c r="S64" s="9" t="str">
        <x:v>2023-10</x:v>
      </x:c>
    </x:row>
    <x:row r="65" ht="17" customHeight="1">
      <x:c r="A65" s="9" t="str">
        <x:v>2023-10-01</x:v>
      </x:c>
      <x:c r="B65" s="9" t="str">
        <x:v>Technology</x:v>
      </x:c>
      <x:c r="C65" s="107" t="n">
        <x:v>0</x:v>
      </x:c>
      <x:c r="D65" s="107" t="n">
        <x:v>0.16979167</x:v>
      </x:c>
      <x:c r="E65" s="107" t="n">
        <x:v>0</x:v>
      </x:c>
      <x:c r="F65" s="107" t="n">
        <x:v>6.89033058</x:v>
      </x:c>
      <x:c r="G65" s="107" t="n">
        <x:v>0</x:v>
      </x:c>
      <x:c r="H65" s="107" t="n">
        <x:v>0</x:v>
      </x:c>
      <x:c r="I65" s="107" t="n">
        <x:v>0</x:v>
      </x:c>
      <x:c r="J65" s="107" t="n">
        <x:v>-6.89033058</x:v>
      </x:c>
      <x:c r="K65" s="107" t="n">
        <x:v>-7.06012225</x:v>
      </x:c>
      <x:c r="L65" s="107" t="n">
        <x:v>-7.06012225</x:v>
      </x:c>
      <x:c r="M65" s="107" t="n">
        <x:v>-7.06012225</x:v>
      </x:c>
      <x:c r="N65" s="108"/>
      <x:c r="O65" s="108"/>
      <x:c r="P65" s="108"/>
      <x:c r="Q65" s="9" t="str">
        <x:v>Actual</x:v>
      </x:c>
      <x:c r="R65" s="9" t="n">
        <x:v>2023</x:v>
      </x:c>
      <x:c r="S65" s="9" t="str">
        <x:v>2023-10</x:v>
      </x:c>
    </x:row>
    <x:row r="66" ht="17" customHeight="1">
      <x:c r="A66" s="9" t="str">
        <x:v>2023-11-01</x:v>
      </x:c>
      <x:c r="B66" s="9" t="str">
        <x:v>Customer Success</x:v>
      </x:c>
      <x:c r="C66" s="107" t="n">
        <x:v>1.4542216300000002</x:v>
      </x:c>
      <x:c r="D66" s="107" t="n">
        <x:v>0</x:v>
      </x:c>
      <x:c r="E66" s="107" t="n">
        <x:v>0</x:v>
      </x:c>
      <x:c r="F66" s="107" t="n">
        <x:v>2.4997720500000002</x:v>
      </x:c>
      <x:c r="G66" s="107" t="n">
        <x:v>5.71985992</x:v>
      </x:c>
      <x:c r="H66" s="107" t="n">
        <x:v>0</x:v>
      </x:c>
      <x:c r="I66" s="107" t="n">
        <x:v>4.26563829</x:v>
      </x:c>
      <x:c r="J66" s="107" t="n">
        <x:v>1.7658662399999998</x:v>
      </x:c>
      <x:c r="K66" s="107" t="n">
        <x:v>1.7658662399999998</x:v>
      </x:c>
      <x:c r="L66" s="107" t="n">
        <x:v>1.7658662399999998</x:v>
      </x:c>
      <x:c r="M66" s="107" t="n">
        <x:v>1.7658662399999998</x:v>
      </x:c>
      <x:c r="N66" s="108" t="n">
        <x:v>0.7457592230685258</x:v>
      </x:c>
      <x:c r="O66" s="108" t="n">
        <x:v>0.3087254346606446</x:v>
      </x:c>
      <x:c r="P66" s="108" t="n">
        <x:v>0.3087254346606446</x:v>
      </x:c>
      <x:c r="Q66" s="9" t="str">
        <x:v>Actual</x:v>
      </x:c>
      <x:c r="R66" s="9" t="n">
        <x:v>2023</x:v>
      </x:c>
      <x:c r="S66" s="9" t="str">
        <x:v>2023-11</x:v>
      </x:c>
    </x:row>
    <x:row r="67" ht="17" customHeight="1">
      <x:c r="A67" s="9" t="str">
        <x:v>2023-11-01</x:v>
      </x:c>
      <x:c r="B67" s="9" t="str">
        <x:v>Finance &amp; Corporate</x:v>
      </x:c>
      <x:c r="C67" s="107" t="n">
        <x:v>0</x:v>
      </x:c>
      <x:c r="D67" s="107" t="n">
        <x:v>0</x:v>
      </x:c>
      <x:c r="E67" s="107" t="n">
        <x:v>0.42</x:v>
      </x:c>
      <x:c r="F67" s="107" t="n">
        <x:v>4.92323588</x:v>
      </x:c>
      <x:c r="G67" s="107" t="n">
        <x:v>0</x:v>
      </x:c>
      <x:c r="H67" s="107" t="n">
        <x:v>3.98945241</x:v>
      </x:c>
      <x:c r="I67" s="107" t="n">
        <x:v>0</x:v>
      </x:c>
      <x:c r="J67" s="107" t="n">
        <x:v>-4.92323588</x:v>
      </x:c>
      <x:c r="K67" s="107" t="n">
        <x:v>-4.92323588</x:v>
      </x:c>
      <x:c r="L67" s="107" t="n">
        <x:v>-5.34323588</x:v>
      </x:c>
      <x:c r="M67" s="107" t="n">
        <x:v>-9.332688289999998</x:v>
      </x:c>
      <x:c r="N67" s="108"/>
      <x:c r="O67" s="108"/>
      <x:c r="P67" s="108"/>
      <x:c r="Q67" s="9" t="str">
        <x:v>Actual</x:v>
      </x:c>
      <x:c r="R67" s="9" t="n">
        <x:v>2023</x:v>
      </x:c>
      <x:c r="S67" s="9" t="str">
        <x:v>2023-11</x:v>
      </x:c>
    </x:row>
    <x:row r="68" ht="17" customHeight="1">
      <x:c r="A68" s="9" t="str">
        <x:v>2023-11-01</x:v>
      </x:c>
      <x:c r="B68" s="9" t="str">
        <x:v>Marketing</x:v>
      </x:c>
      <x:c r="C68" s="107" t="n">
        <x:v>0</x:v>
      </x:c>
      <x:c r="D68" s="107" t="n">
        <x:v>0</x:v>
      </x:c>
      <x:c r="E68" s="107" t="n">
        <x:v>0</x:v>
      </x:c>
      <x:c r="F68" s="107" t="n">
        <x:v>5.42899749</x:v>
      </x:c>
      <x:c r="G68" s="107" t="n">
        <x:v>0</x:v>
      </x:c>
      <x:c r="H68" s="107" t="n">
        <x:v>0</x:v>
      </x:c>
      <x:c r="I68" s="107" t="n">
        <x:v>0</x:v>
      </x:c>
      <x:c r="J68" s="107" t="n">
        <x:v>-5.42899749</x:v>
      </x:c>
      <x:c r="K68" s="107" t="n">
        <x:v>-5.42899749</x:v>
      </x:c>
      <x:c r="L68" s="107" t="n">
        <x:v>-5.42899749</x:v>
      </x:c>
      <x:c r="M68" s="107" t="n">
        <x:v>-5.42899749</x:v>
      </x:c>
      <x:c r="N68" s="108"/>
      <x:c r="O68" s="108"/>
      <x:c r="P68" s="108"/>
      <x:c r="Q68" s="9" t="str">
        <x:v>Actual</x:v>
      </x:c>
      <x:c r="R68" s="9" t="n">
        <x:v>2023</x:v>
      </x:c>
      <x:c r="S68" s="9" t="str">
        <x:v>2023-11</x:v>
      </x:c>
    </x:row>
    <x:row r="69" ht="17" customHeight="1">
      <x:c r="A69" s="9" t="str">
        <x:v>2023-11-01</x:v>
      </x:c>
      <x:c r="B69" s="9" t="str">
        <x:v>Operations</x:v>
      </x:c>
      <x:c r="C69" s="107" t="n">
        <x:v>0</x:v>
      </x:c>
      <x:c r="D69" s="107" t="n">
        <x:v>0</x:v>
      </x:c>
      <x:c r="E69" s="107" t="n">
        <x:v>0</x:v>
      </x:c>
      <x:c r="F69" s="107" t="n">
        <x:v>7.57437543</x:v>
      </x:c>
      <x:c r="G69" s="107" t="n">
        <x:v>0</x:v>
      </x:c>
      <x:c r="H69" s="107" t="n">
        <x:v>0</x:v>
      </x:c>
      <x:c r="I69" s="107" t="n">
        <x:v>0</x:v>
      </x:c>
      <x:c r="J69" s="107" t="n">
        <x:v>-7.57437543</x:v>
      </x:c>
      <x:c r="K69" s="107" t="n">
        <x:v>-7.57437543</x:v>
      </x:c>
      <x:c r="L69" s="107" t="n">
        <x:v>-7.57437543</x:v>
      </x:c>
      <x:c r="M69" s="107" t="n">
        <x:v>-7.57437543</x:v>
      </x:c>
      <x:c r="N69" s="108"/>
      <x:c r="O69" s="108"/>
      <x:c r="P69" s="108"/>
      <x:c r="Q69" s="9" t="str">
        <x:v>Actual</x:v>
      </x:c>
      <x:c r="R69" s="9" t="n">
        <x:v>2023</x:v>
      </x:c>
      <x:c r="S69" s="9" t="str">
        <x:v>2023-11</x:v>
      </x:c>
    </x:row>
    <x:row r="70" ht="17" customHeight="1">
      <x:c r="A70" s="9" t="str">
        <x:v>2023-11-01</x:v>
      </x:c>
      <x:c r="B70" s="9" t="str">
        <x:v>Sales</x:v>
      </x:c>
      <x:c r="C70" s="107" t="n">
        <x:v>59.12868325</x:v>
      </x:c>
      <x:c r="D70" s="107" t="n">
        <x:v>0.1075</x:v>
      </x:c>
      <x:c r="E70" s="107" t="n">
        <x:v>0</x:v>
      </x:c>
      <x:c r="F70" s="107" t="n">
        <x:v>17.46602359</x:v>
      </x:c>
      <x:c r="G70" s="107" t="n">
        <x:v>116.31600793999999</x:v>
      </x:c>
      <x:c r="H70" s="107" t="n">
        <x:v>0</x:v>
      </x:c>
      <x:c r="I70" s="107" t="n">
        <x:v>57.18732469</x:v>
      </x:c>
      <x:c r="J70" s="107" t="n">
        <x:v>39.72130109999999</x:v>
      </x:c>
      <x:c r="K70" s="107" t="n">
        <x:v>39.613801099999996</x:v>
      </x:c>
      <x:c r="L70" s="107" t="n">
        <x:v>39.613801099999996</x:v>
      </x:c>
      <x:c r="M70" s="107" t="n">
        <x:v>39.613801099999996</x:v>
      </x:c>
      <x:c r="N70" s="108" t="n">
        <x:v>0.4916548091944428</x:v>
      </x:c>
      <x:c r="O70" s="108" t="n">
        <x:v>0.34149470742229804</x:v>
      </x:c>
      <x:c r="P70" s="108" t="n">
        <x:v>0.340570501013362</x:v>
      </x:c>
      <x:c r="Q70" s="9" t="str">
        <x:v>Actual</x:v>
      </x:c>
      <x:c r="R70" s="9" t="n">
        <x:v>2023</x:v>
      </x:c>
      <x:c r="S70" s="9" t="str">
        <x:v>2023-11</x:v>
      </x:c>
    </x:row>
    <x:row r="71" ht="17" customHeight="1">
      <x:c r="A71" s="9" t="str">
        <x:v>2023-11-01</x:v>
      </x:c>
      <x:c r="B71" s="9" t="str">
        <x:v>Technology</x:v>
      </x:c>
      <x:c r="C71" s="107" t="n">
        <x:v>0</x:v>
      </x:c>
      <x:c r="D71" s="107" t="n">
        <x:v>0.16979167</x:v>
      </x:c>
      <x:c r="E71" s="107" t="n">
        <x:v>0</x:v>
      </x:c>
      <x:c r="F71" s="107" t="n">
        <x:v>6.90545722</x:v>
      </x:c>
      <x:c r="G71" s="107" t="n">
        <x:v>0</x:v>
      </x:c>
      <x:c r="H71" s="107" t="n">
        <x:v>0</x:v>
      </x:c>
      <x:c r="I71" s="107" t="n">
        <x:v>0</x:v>
      </x:c>
      <x:c r="J71" s="107" t="n">
        <x:v>-6.90545722</x:v>
      </x:c>
      <x:c r="K71" s="107" t="n">
        <x:v>-7.075248889999999</x:v>
      </x:c>
      <x:c r="L71" s="107" t="n">
        <x:v>-7.075248889999999</x:v>
      </x:c>
      <x:c r="M71" s="107" t="n">
        <x:v>-7.075248889999999</x:v>
      </x:c>
      <x:c r="N71" s="108"/>
      <x:c r="O71" s="108"/>
      <x:c r="P71" s="108"/>
      <x:c r="Q71" s="9" t="str">
        <x:v>Actual</x:v>
      </x:c>
      <x:c r="R71" s="9" t="n">
        <x:v>2023</x:v>
      </x:c>
      <x:c r="S71" s="9" t="str">
        <x:v>2023-11</x:v>
      </x:c>
    </x:row>
    <x:row r="72" ht="17" customHeight="1">
      <x:c r="A72" s="9" t="str">
        <x:v>2023-12-01</x:v>
      </x:c>
      <x:c r="B72" s="9" t="str">
        <x:v>Customer Success</x:v>
      </x:c>
      <x:c r="C72" s="107" t="n">
        <x:v>1.41875643</x:v>
      </x:c>
      <x:c r="D72" s="107" t="n">
        <x:v>0</x:v>
      </x:c>
      <x:c r="E72" s="107" t="n">
        <x:v>0</x:v>
      </x:c>
      <x:c r="F72" s="107" t="n">
        <x:v>2.48033759</x:v>
      </x:c>
      <x:c r="G72" s="107" t="n">
        <x:v>5.59891596</x:v>
      </x:c>
      <x:c r="H72" s="107" t="n">
        <x:v>0</x:v>
      </x:c>
      <x:c r="I72" s="107" t="n">
        <x:v>4.18015953</x:v>
      </x:c>
      <x:c r="J72" s="107" t="n">
        <x:v>1.6998219400000003</x:v>
      </x:c>
      <x:c r="K72" s="107" t="n">
        <x:v>1.6998219400000003</x:v>
      </x:c>
      <x:c r="L72" s="107" t="n">
        <x:v>1.6998219400000003</x:v>
      </x:c>
      <x:c r="M72" s="107" t="n">
        <x:v>1.6998219400000003</x:v>
      </x:c>
      <x:c r="N72" s="108" t="n">
        <x:v>0.7466015849968215</x:v>
      </x:c>
      <x:c r="O72" s="108" t="n">
        <x:v>0.3035984022878601</x:v>
      </x:c>
      <x:c r="P72" s="108" t="n">
        <x:v>0.3035984022878601</x:v>
      </x:c>
      <x:c r="Q72" s="9" t="str">
        <x:v>Actual</x:v>
      </x:c>
      <x:c r="R72" s="9" t="n">
        <x:v>2023</x:v>
      </x:c>
      <x:c r="S72" s="9" t="str">
        <x:v>2023-12</x:v>
      </x:c>
    </x:row>
    <x:row r="73" ht="17" customHeight="1">
      <x:c r="A73" s="9" t="str">
        <x:v>2023-12-01</x:v>
      </x:c>
      <x:c r="B73" s="9" t="str">
        <x:v>Finance &amp; Corporate</x:v>
      </x:c>
      <x:c r="C73" s="107" t="n">
        <x:v>0</x:v>
      </x:c>
      <x:c r="D73" s="107" t="n">
        <x:v>0</x:v>
      </x:c>
      <x:c r="E73" s="107" t="n">
        <x:v>0.42</x:v>
      </x:c>
      <x:c r="F73" s="107" t="n">
        <x:v>4.82974562</x:v>
      </x:c>
      <x:c r="G73" s="107" t="n">
        <x:v>0</x:v>
      </x:c>
      <x:c r="H73" s="107" t="n">
        <x:v>4.9831484900000005</x:v>
      </x:c>
      <x:c r="I73" s="107" t="n">
        <x:v>0</x:v>
      </x:c>
      <x:c r="J73" s="107" t="n">
        <x:v>-4.82974562</x:v>
      </x:c>
      <x:c r="K73" s="107" t="n">
        <x:v>-4.82974562</x:v>
      </x:c>
      <x:c r="L73" s="107" t="n">
        <x:v>-5.24974562</x:v>
      </x:c>
      <x:c r="M73" s="107" t="n">
        <x:v>-10.23289411</x:v>
      </x:c>
      <x:c r="N73" s="108"/>
      <x:c r="O73" s="108"/>
      <x:c r="P73" s="108"/>
      <x:c r="Q73" s="9" t="str">
        <x:v>Actual</x:v>
      </x:c>
      <x:c r="R73" s="9" t="n">
        <x:v>2023</x:v>
      </x:c>
      <x:c r="S73" s="9" t="str">
        <x:v>2023-12</x:v>
      </x:c>
    </x:row>
    <x:row r="74" ht="17" customHeight="1">
      <x:c r="A74" s="9" t="str">
        <x:v>2023-12-01</x:v>
      </x:c>
      <x:c r="B74" s="9" t="str">
        <x:v>Marketing</x:v>
      </x:c>
      <x:c r="C74" s="107" t="n">
        <x:v>0</x:v>
      </x:c>
      <x:c r="D74" s="107" t="n">
        <x:v>0</x:v>
      </x:c>
      <x:c r="E74" s="107" t="n">
        <x:v>0</x:v>
      </x:c>
      <x:c r="F74" s="107" t="n">
        <x:v>5.45913544</x:v>
      </x:c>
      <x:c r="G74" s="107" t="n">
        <x:v>0</x:v>
      </x:c>
      <x:c r="H74" s="107" t="n">
        <x:v>0</x:v>
      </x:c>
      <x:c r="I74" s="107" t="n">
        <x:v>0</x:v>
      </x:c>
      <x:c r="J74" s="107" t="n">
        <x:v>-5.45913544</x:v>
      </x:c>
      <x:c r="K74" s="107" t="n">
        <x:v>-5.45913544</x:v>
      </x:c>
      <x:c r="L74" s="107" t="n">
        <x:v>-5.45913544</x:v>
      </x:c>
      <x:c r="M74" s="107" t="n">
        <x:v>-5.45913544</x:v>
      </x:c>
      <x:c r="N74" s="108"/>
      <x:c r="O74" s="108"/>
      <x:c r="P74" s="108"/>
      <x:c r="Q74" s="9" t="str">
        <x:v>Actual</x:v>
      </x:c>
      <x:c r="R74" s="9" t="n">
        <x:v>2023</x:v>
      </x:c>
      <x:c r="S74" s="9" t="str">
        <x:v>2023-12</x:v>
      </x:c>
    </x:row>
    <x:row r="75" ht="17" customHeight="1">
      <x:c r="A75" s="9" t="str">
        <x:v>2023-12-01</x:v>
      </x:c>
      <x:c r="B75" s="9" t="str">
        <x:v>Operations</x:v>
      </x:c>
      <x:c r="C75" s="107" t="n">
        <x:v>0</x:v>
      </x:c>
      <x:c r="D75" s="107" t="n">
        <x:v>0</x:v>
      </x:c>
      <x:c r="E75" s="107" t="n">
        <x:v>0</x:v>
      </x:c>
      <x:c r="F75" s="107" t="n">
        <x:v>7.7190581400000005</x:v>
      </x:c>
      <x:c r="G75" s="107" t="n">
        <x:v>0</x:v>
      </x:c>
      <x:c r="H75" s="107" t="n">
        <x:v>0</x:v>
      </x:c>
      <x:c r="I75" s="107" t="n">
        <x:v>0</x:v>
      </x:c>
      <x:c r="J75" s="107" t="n">
        <x:v>-7.7190581400000005</x:v>
      </x:c>
      <x:c r="K75" s="107" t="n">
        <x:v>-7.7190581400000005</x:v>
      </x:c>
      <x:c r="L75" s="107" t="n">
        <x:v>-7.7190581400000005</x:v>
      </x:c>
      <x:c r="M75" s="107" t="n">
        <x:v>-7.7190581400000005</x:v>
      </x:c>
      <x:c r="N75" s="108"/>
      <x:c r="O75" s="108"/>
      <x:c r="P75" s="108"/>
      <x:c r="Q75" s="9" t="str">
        <x:v>Actual</x:v>
      </x:c>
      <x:c r="R75" s="9" t="n">
        <x:v>2023</x:v>
      </x:c>
      <x:c r="S75" s="9" t="str">
        <x:v>2023-12</x:v>
      </x:c>
    </x:row>
    <x:row r="76" ht="17" customHeight="1">
      <x:c r="A76" s="9" t="str">
        <x:v>2023-12-01</x:v>
      </x:c>
      <x:c r="B76" s="9" t="str">
        <x:v>Sales</x:v>
      </x:c>
      <x:c r="C76" s="107" t="n">
        <x:v>62.99919746</x:v>
      </x:c>
      <x:c r="D76" s="107" t="n">
        <x:v>0.1075</x:v>
      </x:c>
      <x:c r="E76" s="107" t="n">
        <x:v>0</x:v>
      </x:c>
      <x:c r="F76" s="107" t="n">
        <x:v>18.20523902</x:v>
      </x:c>
      <x:c r="G76" s="107" t="n">
        <x:v>125.21188467</x:v>
      </x:c>
      <x:c r="H76" s="107" t="n">
        <x:v>0</x:v>
      </x:c>
      <x:c r="I76" s="107" t="n">
        <x:v>62.21268721</x:v>
      </x:c>
      <x:c r="J76" s="107" t="n">
        <x:v>44.00744819</x:v>
      </x:c>
      <x:c r="K76" s="107" t="n">
        <x:v>43.899948189999996</x:v>
      </x:c>
      <x:c r="L76" s="107" t="n">
        <x:v>43.899948189999996</x:v>
      </x:c>
      <x:c r="M76" s="107" t="n">
        <x:v>43.899948189999996</x:v>
      </x:c>
      <x:c r="N76" s="108" t="n">
        <x:v>0.4968592827586899</x:v>
      </x:c>
      <x:c r="O76" s="108" t="n">
        <x:v>0.35146382714374963</x:v>
      </x:c>
      <x:c r="P76" s="108" t="n">
        <x:v>0.3506052824434337</x:v>
      </x:c>
      <x:c r="Q76" s="9" t="str">
        <x:v>Actual</x:v>
      </x:c>
      <x:c r="R76" s="9" t="n">
        <x:v>2023</x:v>
      </x:c>
      <x:c r="S76" s="9" t="str">
        <x:v>2023-12</x:v>
      </x:c>
    </x:row>
    <x:row r="77" ht="17" customHeight="1">
      <x:c r="A77" s="9" t="str">
        <x:v>2023-12-01</x:v>
      </x:c>
      <x:c r="B77" s="9" t="str">
        <x:v>Technology</x:v>
      </x:c>
      <x:c r="C77" s="107" t="n">
        <x:v>0</x:v>
      </x:c>
      <x:c r="D77" s="107" t="n">
        <x:v>0.16979167</x:v>
      </x:c>
      <x:c r="E77" s="107" t="n">
        <x:v>0</x:v>
      </x:c>
      <x:c r="F77" s="107" t="n">
        <x:v>7.06944531</x:v>
      </x:c>
      <x:c r="G77" s="107" t="n">
        <x:v>0</x:v>
      </x:c>
      <x:c r="H77" s="107" t="n">
        <x:v>0</x:v>
      </x:c>
      <x:c r="I77" s="107" t="n">
        <x:v>0</x:v>
      </x:c>
      <x:c r="J77" s="107" t="n">
        <x:v>-7.06944531</x:v>
      </x:c>
      <x:c r="K77" s="107" t="n">
        <x:v>-7.239236979999999</x:v>
      </x:c>
      <x:c r="L77" s="107" t="n">
        <x:v>-7.239236979999999</x:v>
      </x:c>
      <x:c r="M77" s="107" t="n">
        <x:v>-7.239236979999999</x:v>
      </x:c>
      <x:c r="N77" s="108"/>
      <x:c r="O77" s="108"/>
      <x:c r="P77" s="108"/>
      <x:c r="Q77" s="9" t="str">
        <x:v>Actual</x:v>
      </x:c>
      <x:c r="R77" s="9" t="n">
        <x:v>2023</x:v>
      </x:c>
      <x:c r="S77" s="9" t="str">
        <x:v>2023-12</x:v>
      </x:c>
    </x:row>
    <x:row r="78" ht="17" customHeight="1">
      <x:c r="A78" s="9" t="str">
        <x:v>2024-01-01</x:v>
      </x:c>
      <x:c r="B78" s="9" t="str">
        <x:v>Customer Success</x:v>
      </x:c>
      <x:c r="C78" s="107" t="n">
        <x:v>1.25484591</x:v>
      </x:c>
      <x:c r="D78" s="107" t="n">
        <x:v>0</x:v>
      </x:c>
      <x:c r="E78" s="107" t="n">
        <x:v>0</x:v>
      </x:c>
      <x:c r="F78" s="107" t="n">
        <x:v>2.57197792</x:v>
      </x:c>
      <x:c r="G78" s="107" t="n">
        <x:v>5.04125067</x:v>
      </x:c>
      <x:c r="H78" s="107" t="n">
        <x:v>0</x:v>
      </x:c>
      <x:c r="I78" s="107" t="n">
        <x:v>3.78640476</x:v>
      </x:c>
      <x:c r="J78" s="107" t="n">
        <x:v>1.2144268399999998</x:v>
      </x:c>
      <x:c r="K78" s="107" t="n">
        <x:v>1.2144268399999998</x:v>
      </x:c>
      <x:c r="L78" s="107" t="n">
        <x:v>1.2144268399999998</x:v>
      </x:c>
      <x:c r="M78" s="107" t="n">
        <x:v>1.2144268399999998</x:v>
      </x:c>
      <x:c r="N78" s="108" t="n">
        <x:v>0.7510844050133297</x:v>
      </x:c>
      <x:c r="O78" s="108" t="n">
        <x:v>0.24089792781520222</x:v>
      </x:c>
      <x:c r="P78" s="108" t="n">
        <x:v>0.24089792781520222</x:v>
      </x:c>
      <x:c r="Q78" s="9" t="str">
        <x:v>Actual</x:v>
      </x:c>
      <x:c r="R78" s="9" t="n">
        <x:v>2024</x:v>
      </x:c>
      <x:c r="S78" s="9" t="str">
        <x:v>2024-01</x:v>
      </x:c>
    </x:row>
    <x:row r="79" ht="17" customHeight="1">
      <x:c r="A79" s="9" t="str">
        <x:v>2024-01-01</x:v>
      </x:c>
      <x:c r="B79" s="9" t="str">
        <x:v>Finance &amp; Corporate</x:v>
      </x:c>
      <x:c r="C79" s="107" t="n">
        <x:v>0</x:v>
      </x:c>
      <x:c r="D79" s="107" t="n">
        <x:v>0</x:v>
      </x:c>
      <x:c r="E79" s="107" t="n">
        <x:v>0.4452</x:v>
      </x:c>
      <x:c r="F79" s="107" t="n">
        <x:v>5.14899621</x:v>
      </x:c>
      <x:c r="G79" s="107" t="n">
        <x:v>0</x:v>
      </x:c>
      <x:c r="H79" s="107" t="n">
        <x:v>0.46681373</x:v>
      </x:c>
      <x:c r="I79" s="107" t="n">
        <x:v>0</x:v>
      </x:c>
      <x:c r="J79" s="107" t="n">
        <x:v>-5.14899621</x:v>
      </x:c>
      <x:c r="K79" s="107" t="n">
        <x:v>-5.14899621</x:v>
      </x:c>
      <x:c r="L79" s="107" t="n">
        <x:v>-5.59419621</x:v>
      </x:c>
      <x:c r="M79" s="107" t="n">
        <x:v>-6.061009939999999</x:v>
      </x:c>
      <x:c r="N79" s="108"/>
      <x:c r="O79" s="108"/>
      <x:c r="P79" s="108"/>
      <x:c r="Q79" s="9" t="str">
        <x:v>Actual</x:v>
      </x:c>
      <x:c r="R79" s="9" t="n">
        <x:v>2024</x:v>
      </x:c>
      <x:c r="S79" s="9" t="str">
        <x:v>2024-01</x:v>
      </x:c>
    </x:row>
    <x:row r="80" ht="17" customHeight="1">
      <x:c r="A80" s="9" t="str">
        <x:v>2024-01-01</x:v>
      </x:c>
      <x:c r="B80" s="9" t="str">
        <x:v>Marketing</x:v>
      </x:c>
      <x:c r="C80" s="107" t="n">
        <x:v>0</x:v>
      </x:c>
      <x:c r="D80" s="107" t="n">
        <x:v>0</x:v>
      </x:c>
      <x:c r="E80" s="107" t="n">
        <x:v>0</x:v>
      </x:c>
      <x:c r="F80" s="107" t="n">
        <x:v>5.67314711</x:v>
      </x:c>
      <x:c r="G80" s="107" t="n">
        <x:v>0</x:v>
      </x:c>
      <x:c r="H80" s="107" t="n">
        <x:v>0</x:v>
      </x:c>
      <x:c r="I80" s="107" t="n">
        <x:v>0</x:v>
      </x:c>
      <x:c r="J80" s="107" t="n">
        <x:v>-5.67314711</x:v>
      </x:c>
      <x:c r="K80" s="107" t="n">
        <x:v>-5.67314711</x:v>
      </x:c>
      <x:c r="L80" s="107" t="n">
        <x:v>-5.67314711</x:v>
      </x:c>
      <x:c r="M80" s="107" t="n">
        <x:v>-5.67314711</x:v>
      </x:c>
      <x:c r="N80" s="108"/>
      <x:c r="O80" s="108"/>
      <x:c r="P80" s="108"/>
      <x:c r="Q80" s="9" t="str">
        <x:v>Actual</x:v>
      </x:c>
      <x:c r="R80" s="9" t="n">
        <x:v>2024</x:v>
      </x:c>
      <x:c r="S80" s="9" t="str">
        <x:v>2024-01</x:v>
      </x:c>
    </x:row>
    <x:row r="81" ht="17" customHeight="1">
      <x:c r="A81" s="9" t="str">
        <x:v>2024-01-01</x:v>
      </x:c>
      <x:c r="B81" s="9" t="str">
        <x:v>Operations</x:v>
      </x:c>
      <x:c r="C81" s="107" t="n">
        <x:v>0</x:v>
      </x:c>
      <x:c r="D81" s="107" t="n">
        <x:v>0</x:v>
      </x:c>
      <x:c r="E81" s="107" t="n">
        <x:v>0</x:v>
      </x:c>
      <x:c r="F81" s="107" t="n">
        <x:v>7.715712399999999</x:v>
      </x:c>
      <x:c r="G81" s="107" t="n">
        <x:v>0</x:v>
      </x:c>
      <x:c r="H81" s="107" t="n">
        <x:v>0</x:v>
      </x:c>
      <x:c r="I81" s="107" t="n">
        <x:v>0</x:v>
      </x:c>
      <x:c r="J81" s="107" t="n">
        <x:v>-7.715712399999999</x:v>
      </x:c>
      <x:c r="K81" s="107" t="n">
        <x:v>-7.715712399999999</x:v>
      </x:c>
      <x:c r="L81" s="107" t="n">
        <x:v>-7.715712399999999</x:v>
      </x:c>
      <x:c r="M81" s="107" t="n">
        <x:v>-7.715712399999999</x:v>
      </x:c>
      <x:c r="N81" s="108"/>
      <x:c r="O81" s="108"/>
      <x:c r="P81" s="108"/>
      <x:c r="Q81" s="9" t="str">
        <x:v>Actual</x:v>
      </x:c>
      <x:c r="R81" s="9" t="n">
        <x:v>2024</x:v>
      </x:c>
      <x:c r="S81" s="9" t="str">
        <x:v>2024-01</x:v>
      </x:c>
    </x:row>
    <x:row r="82" ht="17" customHeight="1">
      <x:c r="A82" s="9" t="str">
        <x:v>2024-01-01</x:v>
      </x:c>
      <x:c r="B82" s="9" t="str">
        <x:v>Sales</x:v>
      </x:c>
      <x:c r="C82" s="107" t="n">
        <x:v>46.295168159999996</x:v>
      </x:c>
      <x:c r="D82" s="107" t="n">
        <x:v>0.1075</x:v>
      </x:c>
      <x:c r="E82" s="107" t="n">
        <x:v>0</x:v>
      </x:c>
      <x:c r="F82" s="107" t="n">
        <x:v>16.51947</x:v>
      </x:c>
      <x:c r="G82" s="107" t="n">
        <x:v>89.97879662000001</x:v>
      </x:c>
      <x:c r="H82" s="107" t="n">
        <x:v>0</x:v>
      </x:c>
      <x:c r="I82" s="107" t="n">
        <x:v>43.68362846000001</x:v>
      </x:c>
      <x:c r="J82" s="107" t="n">
        <x:v>27.16415846000001</x:v>
      </x:c>
      <x:c r="K82" s="107" t="n">
        <x:v>27.05665846000001</x:v>
      </x:c>
      <x:c r="L82" s="107" t="n">
        <x:v>27.05665846000001</x:v>
      </x:c>
      <x:c r="M82" s="107" t="n">
        <x:v>27.05665846000001</x:v>
      </x:c>
      <x:c r="N82" s="108" t="n">
        <x:v>0.48548802719028855</x:v>
      </x:c>
      <x:c r="O82" s="108" t="n">
        <x:v>0.30189510729644614</x:v>
      </x:c>
      <x:c r="P82" s="108" t="n">
        <x:v>0.3007003813828068</x:v>
      </x:c>
      <x:c r="Q82" s="9" t="str">
        <x:v>Actual</x:v>
      </x:c>
      <x:c r="R82" s="9" t="n">
        <x:v>2024</x:v>
      </x:c>
      <x:c r="S82" s="9" t="str">
        <x:v>2024-01</x:v>
      </x:c>
    </x:row>
    <x:row r="83" ht="17" customHeight="1">
      <x:c r="A83" s="9" t="str">
        <x:v>2024-01-01</x:v>
      </x:c>
      <x:c r="B83" s="9" t="str">
        <x:v>Technology</x:v>
      </x:c>
      <x:c r="C83" s="107" t="n">
        <x:v>0</x:v>
      </x:c>
      <x:c r="D83" s="107" t="n">
        <x:v>0.16979167</x:v>
      </x:c>
      <x:c r="E83" s="107" t="n">
        <x:v>0</x:v>
      </x:c>
      <x:c r="F83" s="107" t="n">
        <x:v>7.25098298</x:v>
      </x:c>
      <x:c r="G83" s="107" t="n">
        <x:v>0</x:v>
      </x:c>
      <x:c r="H83" s="107" t="n">
        <x:v>0</x:v>
      </x:c>
      <x:c r="I83" s="107" t="n">
        <x:v>0</x:v>
      </x:c>
      <x:c r="J83" s="107" t="n">
        <x:v>-7.25098298</x:v>
      </x:c>
      <x:c r="K83" s="107" t="n">
        <x:v>-7.420774649999999</x:v>
      </x:c>
      <x:c r="L83" s="107" t="n">
        <x:v>-7.420774649999999</x:v>
      </x:c>
      <x:c r="M83" s="107" t="n">
        <x:v>-7.420774649999999</x:v>
      </x:c>
      <x:c r="N83" s="108"/>
      <x:c r="O83" s="108"/>
      <x:c r="P83" s="108"/>
      <x:c r="Q83" s="9" t="str">
        <x:v>Actual</x:v>
      </x:c>
      <x:c r="R83" s="9" t="n">
        <x:v>2024</x:v>
      </x:c>
      <x:c r="S83" s="9" t="str">
        <x:v>2024-01</x:v>
      </x:c>
    </x:row>
    <x:row r="84" ht="17" customHeight="1">
      <x:c r="A84" s="9" t="str">
        <x:v>2024-02-01</x:v>
      </x:c>
      <x:c r="B84" s="9" t="str">
        <x:v>Customer Success</x:v>
      </x:c>
      <x:c r="C84" s="107" t="n">
        <x:v>1.31298548</x:v>
      </x:c>
      <x:c r="D84" s="107" t="n">
        <x:v>0</x:v>
      </x:c>
      <x:c r="E84" s="107" t="n">
        <x:v>0</x:v>
      </x:c>
      <x:c r="F84" s="107" t="n">
        <x:v>2.49703252</x:v>
      </x:c>
      <x:c r="G84" s="107" t="n">
        <x:v>5.178667519999999</x:v>
      </x:c>
      <x:c r="H84" s="107" t="n">
        <x:v>0</x:v>
      </x:c>
      <x:c r="I84" s="107" t="n">
        <x:v>3.8656820399999994</x:v>
      </x:c>
      <x:c r="J84" s="107" t="n">
        <x:v>1.3686495199999995</x:v>
      </x:c>
      <x:c r="K84" s="107" t="n">
        <x:v>1.3686495199999995</x:v>
      </x:c>
      <x:c r="L84" s="107" t="n">
        <x:v>1.3686495199999995</x:v>
      </x:c>
      <x:c r="M84" s="107" t="n">
        <x:v>1.3686495199999995</x:v>
      </x:c>
      <x:c r="N84" s="108" t="n">
        <x:v>0.746462680809445</x:v>
      </x:c>
      <x:c r="O84" s="108" t="n">
        <x:v>0.2642860378107455</x:v>
      </x:c>
      <x:c r="P84" s="108" t="n">
        <x:v>0.2642860378107455</x:v>
      </x:c>
      <x:c r="Q84" s="9" t="str">
        <x:v>Actual</x:v>
      </x:c>
      <x:c r="R84" s="9" t="n">
        <x:v>2024</x:v>
      </x:c>
      <x:c r="S84" s="9" t="str">
        <x:v>2024-02</x:v>
      </x:c>
    </x:row>
    <x:row r="85" ht="17" customHeight="1">
      <x:c r="A85" s="9" t="str">
        <x:v>2024-02-01</x:v>
      </x:c>
      <x:c r="B85" s="9" t="str">
        <x:v>Finance &amp; Corporate</x:v>
      </x:c>
      <x:c r="C85" s="107" t="n">
        <x:v>0</x:v>
      </x:c>
      <x:c r="D85" s="107" t="n">
        <x:v>0</x:v>
      </x:c>
      <x:c r="E85" s="107" t="n">
        <x:v>0.4452</x:v>
      </x:c>
      <x:c r="F85" s="107" t="n">
        <x:v>5.26949897</x:v>
      </x:c>
      <x:c r="G85" s="107" t="n">
        <x:v>0</x:v>
      </x:c>
      <x:c r="H85" s="107" t="n">
        <x:v>0.84323203</x:v>
      </x:c>
      <x:c r="I85" s="107" t="n">
        <x:v>0</x:v>
      </x:c>
      <x:c r="J85" s="107" t="n">
        <x:v>-5.26949897</x:v>
      </x:c>
      <x:c r="K85" s="107" t="n">
        <x:v>-5.26949897</x:v>
      </x:c>
      <x:c r="L85" s="107" t="n">
        <x:v>-5.71469897</x:v>
      </x:c>
      <x:c r="M85" s="107" t="n">
        <x:v>-6.557931</x:v>
      </x:c>
      <x:c r="N85" s="108"/>
      <x:c r="O85" s="108"/>
      <x:c r="P85" s="108"/>
      <x:c r="Q85" s="9" t="str">
        <x:v>Actual</x:v>
      </x:c>
      <x:c r="R85" s="9" t="n">
        <x:v>2024</x:v>
      </x:c>
      <x:c r="S85" s="9" t="str">
        <x:v>2024-02</x:v>
      </x:c>
    </x:row>
    <x:row r="86" ht="17" customHeight="1">
      <x:c r="A86" s="9" t="str">
        <x:v>2024-02-01</x:v>
      </x:c>
      <x:c r="B86" s="9" t="str">
        <x:v>Marketing</x:v>
      </x:c>
      <x:c r="C86" s="107" t="n">
        <x:v>0</x:v>
      </x:c>
      <x:c r="D86" s="107" t="n">
        <x:v>0</x:v>
      </x:c>
      <x:c r="E86" s="107" t="n">
        <x:v>0</x:v>
      </x:c>
      <x:c r="F86" s="107" t="n">
        <x:v>5.51203705</x:v>
      </x:c>
      <x:c r="G86" s="107" t="n">
        <x:v>0</x:v>
      </x:c>
      <x:c r="H86" s="107" t="n">
        <x:v>0</x:v>
      </x:c>
      <x:c r="I86" s="107" t="n">
        <x:v>0</x:v>
      </x:c>
      <x:c r="J86" s="107" t="n">
        <x:v>-5.51203705</x:v>
      </x:c>
      <x:c r="K86" s="107" t="n">
        <x:v>-5.51203705</x:v>
      </x:c>
      <x:c r="L86" s="107" t="n">
        <x:v>-5.51203705</x:v>
      </x:c>
      <x:c r="M86" s="107" t="n">
        <x:v>-5.51203705</x:v>
      </x:c>
      <x:c r="N86" s="108"/>
      <x:c r="O86" s="108"/>
      <x:c r="P86" s="108"/>
      <x:c r="Q86" s="9" t="str">
        <x:v>Actual</x:v>
      </x:c>
      <x:c r="R86" s="9" t="n">
        <x:v>2024</x:v>
      </x:c>
      <x:c r="S86" s="9" t="str">
        <x:v>2024-02</x:v>
      </x:c>
    </x:row>
    <x:row r="87" ht="17" customHeight="1">
      <x:c r="A87" s="9" t="str">
        <x:v>2024-02-01</x:v>
      </x:c>
      <x:c r="B87" s="9" t="str">
        <x:v>Operations</x:v>
      </x:c>
      <x:c r="C87" s="107" t="n">
        <x:v>0</x:v>
      </x:c>
      <x:c r="D87" s="107" t="n">
        <x:v>0</x:v>
      </x:c>
      <x:c r="E87" s="107" t="n">
        <x:v>0</x:v>
      </x:c>
      <x:c r="F87" s="107" t="n">
        <x:v>7.75344412</x:v>
      </x:c>
      <x:c r="G87" s="107" t="n">
        <x:v>0</x:v>
      </x:c>
      <x:c r="H87" s="107" t="n">
        <x:v>0</x:v>
      </x:c>
      <x:c r="I87" s="107" t="n">
        <x:v>0</x:v>
      </x:c>
      <x:c r="J87" s="107" t="n">
        <x:v>-7.75344412</x:v>
      </x:c>
      <x:c r="K87" s="107" t="n">
        <x:v>-7.75344412</x:v>
      </x:c>
      <x:c r="L87" s="107" t="n">
        <x:v>-7.75344412</x:v>
      </x:c>
      <x:c r="M87" s="107" t="n">
        <x:v>-7.75344412</x:v>
      </x:c>
      <x:c r="N87" s="108"/>
      <x:c r="O87" s="108"/>
      <x:c r="P87" s="108"/>
      <x:c r="Q87" s="9" t="str">
        <x:v>Actual</x:v>
      </x:c>
      <x:c r="R87" s="9" t="n">
        <x:v>2024</x:v>
      </x:c>
      <x:c r="S87" s="9" t="str">
        <x:v>2024-02</x:v>
      </x:c>
    </x:row>
    <x:row r="88" ht="17" customHeight="1">
      <x:c r="A88" s="9" t="str">
        <x:v>2024-02-01</x:v>
      </x:c>
      <x:c r="B88" s="9" t="str">
        <x:v>Sales</x:v>
      </x:c>
      <x:c r="C88" s="107" t="n">
        <x:v>48.41703053</x:v>
      </x:c>
      <x:c r="D88" s="107" t="n">
        <x:v>0.1075</x:v>
      </x:c>
      <x:c r="E88" s="107" t="n">
        <x:v>0</x:v>
      </x:c>
      <x:c r="F88" s="107" t="n">
        <x:v>16.88867007</x:v>
      </x:c>
      <x:c r="G88" s="107" t="n">
        <x:v>94.02590633</x:v>
      </x:c>
      <x:c r="H88" s="107" t="n">
        <x:v>0</x:v>
      </x:c>
      <x:c r="I88" s="107" t="n">
        <x:v>45.6088758</x:v>
      </x:c>
      <x:c r="J88" s="107" t="n">
        <x:v>28.720205729999996</x:v>
      </x:c>
      <x:c r="K88" s="107" t="n">
        <x:v>28.61270573</x:v>
      </x:c>
      <x:c r="L88" s="107" t="n">
        <x:v>28.61270573</x:v>
      </x:c>
      <x:c r="M88" s="107" t="n">
        <x:v>28.61270573</x:v>
      </x:c>
      <x:c r="N88" s="108" t="n">
        <x:v>0.48506712224530807</x:v>
      </x:c>
      <x:c r="O88" s="108" t="n">
        <x:v>0.3054499217396695</x:v>
      </x:c>
      <x:c r="P88" s="108" t="n">
        <x:v>0.30430661981155294</x:v>
      </x:c>
      <x:c r="Q88" s="9" t="str">
        <x:v>Actual</x:v>
      </x:c>
      <x:c r="R88" s="9" t="n">
        <x:v>2024</x:v>
      </x:c>
      <x:c r="S88" s="9" t="str">
        <x:v>2024-02</x:v>
      </x:c>
    </x:row>
    <x:row r="89" ht="17" customHeight="1">
      <x:c r="A89" s="9" t="str">
        <x:v>2024-02-01</x:v>
      </x:c>
      <x:c r="B89" s="9" t="str">
        <x:v>Technology</x:v>
      </x:c>
      <x:c r="C89" s="107" t="n">
        <x:v>0</x:v>
      </x:c>
      <x:c r="D89" s="107" t="n">
        <x:v>0.16979167</x:v>
      </x:c>
      <x:c r="E89" s="107" t="n">
        <x:v>0</x:v>
      </x:c>
      <x:c r="F89" s="107" t="n">
        <x:v>7.45845531</x:v>
      </x:c>
      <x:c r="G89" s="107" t="n">
        <x:v>0</x:v>
      </x:c>
      <x:c r="H89" s="107" t="n">
        <x:v>0</x:v>
      </x:c>
      <x:c r="I89" s="107" t="n">
        <x:v>0</x:v>
      </x:c>
      <x:c r="J89" s="107" t="n">
        <x:v>-7.45845531</x:v>
      </x:c>
      <x:c r="K89" s="107" t="n">
        <x:v>-7.628246979999999</x:v>
      </x:c>
      <x:c r="L89" s="107" t="n">
        <x:v>-7.628246979999999</x:v>
      </x:c>
      <x:c r="M89" s="107" t="n">
        <x:v>-7.628246979999999</x:v>
      </x:c>
      <x:c r="N89" s="108"/>
      <x:c r="O89" s="108"/>
      <x:c r="P89" s="108"/>
      <x:c r="Q89" s="9" t="str">
        <x:v>Actual</x:v>
      </x:c>
      <x:c r="R89" s="9" t="n">
        <x:v>2024</x:v>
      </x:c>
      <x:c r="S89" s="9" t="str">
        <x:v>2024-02</x:v>
      </x:c>
    </x:row>
    <x:row r="90" ht="17" customHeight="1">
      <x:c r="A90" s="9" t="str">
        <x:v>2024-03-01</x:v>
      </x:c>
      <x:c r="B90" s="9" t="str">
        <x:v>Customer Success</x:v>
      </x:c>
      <x:c r="C90" s="107" t="n">
        <x:v>1.28183311</x:v>
      </x:c>
      <x:c r="D90" s="107" t="n">
        <x:v>0</x:v>
      </x:c>
      <x:c r="E90" s="107" t="n">
        <x:v>0</x:v>
      </x:c>
      <x:c r="F90" s="107" t="n">
        <x:v>2.56623573</x:v>
      </x:c>
      <x:c r="G90" s="107" t="n">
        <x:v>5.09166582</x:v>
      </x:c>
      <x:c r="H90" s="107" t="n">
        <x:v>0</x:v>
      </x:c>
      <x:c r="I90" s="107" t="n">
        <x:v>3.80983271</x:v>
      </x:c>
      <x:c r="J90" s="107" t="n">
        <x:v>1.24359698</x:v>
      </x:c>
      <x:c r="K90" s="107" t="n">
        <x:v>1.24359698</x:v>
      </x:c>
      <x:c r="L90" s="107" t="n">
        <x:v>1.24359698</x:v>
      </x:c>
      <x:c r="M90" s="107" t="n">
        <x:v>1.24359698</x:v>
      </x:c>
      <x:c r="N90" s="108" t="n">
        <x:v>0.7482487745042151</x:v>
      </x:c>
      <x:c r="O90" s="108" t="n">
        <x:v>0.2442416733468969</x:v>
      </x:c>
      <x:c r="P90" s="108" t="n">
        <x:v>0.2442416733468969</x:v>
      </x:c>
      <x:c r="Q90" s="9" t="str">
        <x:v>Actual</x:v>
      </x:c>
      <x:c r="R90" s="9" t="n">
        <x:v>2024</x:v>
      </x:c>
      <x:c r="S90" s="9" t="str">
        <x:v>2024-03</x:v>
      </x:c>
    </x:row>
    <x:row r="91" ht="17" customHeight="1">
      <x:c r="A91" s="9" t="str">
        <x:v>2024-03-01</x:v>
      </x:c>
      <x:c r="B91" s="9" t="str">
        <x:v>Finance &amp; Corporate</x:v>
      </x:c>
      <x:c r="C91" s="107" t="n">
        <x:v>0</x:v>
      </x:c>
      <x:c r="D91" s="107" t="n">
        <x:v>0</x:v>
      </x:c>
      <x:c r="E91" s="107" t="n">
        <x:v>0.4452</x:v>
      </x:c>
      <x:c r="F91" s="107" t="n">
        <x:v>5.242171320000001</x:v>
      </x:c>
      <x:c r="G91" s="107" t="n">
        <x:v>0</x:v>
      </x:c>
      <x:c r="H91" s="107" t="n">
        <x:v>1.93782248</x:v>
      </x:c>
      <x:c r="I91" s="107" t="n">
        <x:v>0</x:v>
      </x:c>
      <x:c r="J91" s="107" t="n">
        <x:v>-5.242171320000001</x:v>
      </x:c>
      <x:c r="K91" s="107" t="n">
        <x:v>-5.242171320000001</x:v>
      </x:c>
      <x:c r="L91" s="107" t="n">
        <x:v>-5.6873713200000005</x:v>
      </x:c>
      <x:c r="M91" s="107" t="n">
        <x:v>-7.625193800000001</x:v>
      </x:c>
      <x:c r="N91" s="108"/>
      <x:c r="O91" s="108"/>
      <x:c r="P91" s="108"/>
      <x:c r="Q91" s="9" t="str">
        <x:v>Actual</x:v>
      </x:c>
      <x:c r="R91" s="9" t="n">
        <x:v>2024</x:v>
      </x:c>
      <x:c r="S91" s="9" t="str">
        <x:v>2024-03</x:v>
      </x:c>
    </x:row>
    <x:row r="92" ht="17" customHeight="1">
      <x:c r="A92" s="9" t="str">
        <x:v>2024-03-01</x:v>
      </x:c>
      <x:c r="B92" s="9" t="str">
        <x:v>Marketing</x:v>
      </x:c>
      <x:c r="C92" s="107" t="n">
        <x:v>0</x:v>
      </x:c>
      <x:c r="D92" s="107" t="n">
        <x:v>0</x:v>
      </x:c>
      <x:c r="E92" s="107" t="n">
        <x:v>0</x:v>
      </x:c>
      <x:c r="F92" s="107" t="n">
        <x:v>5.55325131</x:v>
      </x:c>
      <x:c r="G92" s="107" t="n">
        <x:v>0</x:v>
      </x:c>
      <x:c r="H92" s="107" t="n">
        <x:v>0</x:v>
      </x:c>
      <x:c r="I92" s="107" t="n">
        <x:v>0</x:v>
      </x:c>
      <x:c r="J92" s="107" t="n">
        <x:v>-5.55325131</x:v>
      </x:c>
      <x:c r="K92" s="107" t="n">
        <x:v>-5.55325131</x:v>
      </x:c>
      <x:c r="L92" s="107" t="n">
        <x:v>-5.55325131</x:v>
      </x:c>
      <x:c r="M92" s="107" t="n">
        <x:v>-5.55325131</x:v>
      </x:c>
      <x:c r="N92" s="108"/>
      <x:c r="O92" s="108"/>
      <x:c r="P92" s="108"/>
      <x:c r="Q92" s="9" t="str">
        <x:v>Actual</x:v>
      </x:c>
      <x:c r="R92" s="9" t="n">
        <x:v>2024</x:v>
      </x:c>
      <x:c r="S92" s="9" t="str">
        <x:v>2024-03</x:v>
      </x:c>
    </x:row>
    <x:row r="93" ht="17" customHeight="1">
      <x:c r="A93" s="9" t="str">
        <x:v>2024-03-01</x:v>
      </x:c>
      <x:c r="B93" s="9" t="str">
        <x:v>Operations</x:v>
      </x:c>
      <x:c r="C93" s="107" t="n">
        <x:v>0</x:v>
      </x:c>
      <x:c r="D93" s="107" t="n">
        <x:v>0</x:v>
      </x:c>
      <x:c r="E93" s="107" t="n">
        <x:v>0</x:v>
      </x:c>
      <x:c r="F93" s="107" t="n">
        <x:v>7.84159507</x:v>
      </x:c>
      <x:c r="G93" s="107" t="n">
        <x:v>0</x:v>
      </x:c>
      <x:c r="H93" s="107" t="n">
        <x:v>0</x:v>
      </x:c>
      <x:c r="I93" s="107" t="n">
        <x:v>0</x:v>
      </x:c>
      <x:c r="J93" s="107" t="n">
        <x:v>-7.84159507</x:v>
      </x:c>
      <x:c r="K93" s="107" t="n">
        <x:v>-7.84159507</x:v>
      </x:c>
      <x:c r="L93" s="107" t="n">
        <x:v>-7.84159507</x:v>
      </x:c>
      <x:c r="M93" s="107" t="n">
        <x:v>-7.84159507</x:v>
      </x:c>
      <x:c r="N93" s="108"/>
      <x:c r="O93" s="108"/>
      <x:c r="P93" s="108"/>
      <x:c r="Q93" s="9" t="str">
        <x:v>Actual</x:v>
      </x:c>
      <x:c r="R93" s="9" t="n">
        <x:v>2024</x:v>
      </x:c>
      <x:c r="S93" s="9" t="str">
        <x:v>2024-03</x:v>
      </x:c>
    </x:row>
    <x:row r="94" ht="17" customHeight="1">
      <x:c r="A94" s="9" t="str">
        <x:v>2024-03-01</x:v>
      </x:c>
      <x:c r="B94" s="9" t="str">
        <x:v>Sales</x:v>
      </x:c>
      <x:c r="C94" s="107" t="n">
        <x:v>53.846949159999994</x:v>
      </x:c>
      <x:c r="D94" s="107" t="n">
        <x:v>0.1075</x:v>
      </x:c>
      <x:c r="E94" s="107" t="n">
        <x:v>0</x:v>
      </x:c>
      <x:c r="F94" s="107" t="n">
        <x:v>17.36835427</x:v>
      </x:c>
      <x:c r="G94" s="107" t="n">
        <x:v>104.46083553999999</x:v>
      </x:c>
      <x:c r="H94" s="107" t="n">
        <x:v>0</x:v>
      </x:c>
      <x:c r="I94" s="107" t="n">
        <x:v>50.61388638</x:v>
      </x:c>
      <x:c r="J94" s="107" t="n">
        <x:v>33.24553211</x:v>
      </x:c>
      <x:c r="K94" s="107" t="n">
        <x:v>33.13803211</x:v>
      </x:c>
      <x:c r="L94" s="107" t="n">
        <x:v>33.13803211</x:v>
      </x:c>
      <x:c r="M94" s="107" t="n">
        <x:v>33.13803211</x:v>
      </x:c>
      <x:c r="N94" s="108" t="n">
        <x:v>0.48452500038274154</x:v>
      </x:c>
      <x:c r="O94" s="108" t="n">
        <x:v>0.31825833996196273</x:v>
      </x:c>
      <x:c r="P94" s="108" t="n">
        <x:v>0.317229246144703</x:v>
      </x:c>
      <x:c r="Q94" s="9" t="str">
        <x:v>Actual</x:v>
      </x:c>
      <x:c r="R94" s="9" t="n">
        <x:v>2024</x:v>
      </x:c>
      <x:c r="S94" s="9" t="str">
        <x:v>2024-03</x:v>
      </x:c>
    </x:row>
    <x:row r="95" ht="17" customHeight="1">
      <x:c r="A95" s="9" t="str">
        <x:v>2024-03-01</x:v>
      </x:c>
      <x:c r="B95" s="9" t="str">
        <x:v>Technology</x:v>
      </x:c>
      <x:c r="C95" s="107" t="n">
        <x:v>0</x:v>
      </x:c>
      <x:c r="D95" s="107" t="n">
        <x:v>0.16979167</x:v>
      </x:c>
      <x:c r="E95" s="107" t="n">
        <x:v>0</x:v>
      </x:c>
      <x:c r="F95" s="107" t="n">
        <x:v>7.37832981</x:v>
      </x:c>
      <x:c r="G95" s="107" t="n">
        <x:v>0</x:v>
      </x:c>
      <x:c r="H95" s="107" t="n">
        <x:v>0</x:v>
      </x:c>
      <x:c r="I95" s="107" t="n">
        <x:v>0</x:v>
      </x:c>
      <x:c r="J95" s="107" t="n">
        <x:v>-7.37832981</x:v>
      </x:c>
      <x:c r="K95" s="107" t="n">
        <x:v>-7.548121480000001</x:v>
      </x:c>
      <x:c r="L95" s="107" t="n">
        <x:v>-7.548121480000001</x:v>
      </x:c>
      <x:c r="M95" s="107" t="n">
        <x:v>-7.548121480000001</x:v>
      </x:c>
      <x:c r="N95" s="108"/>
      <x:c r="O95" s="108"/>
      <x:c r="P95" s="108"/>
      <x:c r="Q95" s="9" t="str">
        <x:v>Actual</x:v>
      </x:c>
      <x:c r="R95" s="9" t="n">
        <x:v>2024</x:v>
      </x:c>
      <x:c r="S95" s="9" t="str">
        <x:v>2024-03</x:v>
      </x:c>
    </x:row>
    <x:row r="96" ht="17" customHeight="1">
      <x:c r="A96" s="9" t="str">
        <x:v>2024-04-01</x:v>
      </x:c>
      <x:c r="B96" s="9" t="str">
        <x:v>Customer Success</x:v>
      </x:c>
      <x:c r="C96" s="107" t="n">
        <x:v>1.45929176</x:v>
      </x:c>
      <x:c r="D96" s="107" t="n">
        <x:v>0</x:v>
      </x:c>
      <x:c r="E96" s="107" t="n">
        <x:v>0</x:v>
      </x:c>
      <x:c r="F96" s="107" t="n">
        <x:v>2.769454</x:v>
      </x:c>
      <x:c r="G96" s="107" t="n">
        <x:v>5.708958320000001</x:v>
      </x:c>
      <x:c r="H96" s="107" t="n">
        <x:v>0</x:v>
      </x:c>
      <x:c r="I96" s="107" t="n">
        <x:v>4.2496665600000005</x:v>
      </x:c>
      <x:c r="J96" s="107" t="n">
        <x:v>1.4802125600000005</x:v>
      </x:c>
      <x:c r="K96" s="107" t="n">
        <x:v>1.4802125600000005</x:v>
      </x:c>
      <x:c r="L96" s="107" t="n">
        <x:v>1.4802125600000005</x:v>
      </x:c>
      <x:c r="M96" s="107" t="n">
        <x:v>1.4802125600000005</x:v>
      </x:c>
      <x:c r="N96" s="108" t="n">
        <x:v>0.7443856342605073</x:v>
      </x:c>
      <x:c r="O96" s="108" t="n">
        <x:v>0.2592789221834782</x:v>
      </x:c>
      <x:c r="P96" s="108" t="n">
        <x:v>0.2592789221834782</x:v>
      </x:c>
      <x:c r="Q96" s="9" t="str">
        <x:v>Actual</x:v>
      </x:c>
      <x:c r="R96" s="9" t="n">
        <x:v>2024</x:v>
      </x:c>
      <x:c r="S96" s="9" t="str">
        <x:v>2024-04</x:v>
      </x:c>
    </x:row>
    <x:row r="97" ht="17" customHeight="1">
      <x:c r="A97" s="9" t="str">
        <x:v>2024-04-01</x:v>
      </x:c>
      <x:c r="B97" s="9" t="str">
        <x:v>Finance &amp; Corporate</x:v>
      </x:c>
      <x:c r="C97" s="107" t="n">
        <x:v>0</x:v>
      </x:c>
      <x:c r="D97" s="107" t="n">
        <x:v>0</x:v>
      </x:c>
      <x:c r="E97" s="107" t="n">
        <x:v>0.4452</x:v>
      </x:c>
      <x:c r="F97" s="107" t="n">
        <x:v>5.3354256399999995</x:v>
      </x:c>
      <x:c r="G97" s="107" t="n">
        <x:v>0</x:v>
      </x:c>
      <x:c r="H97" s="107" t="n">
        <x:v>2.09326971</x:v>
      </x:c>
      <x:c r="I97" s="107" t="n">
        <x:v>0</x:v>
      </x:c>
      <x:c r="J97" s="107" t="n">
        <x:v>-5.3354256399999995</x:v>
      </x:c>
      <x:c r="K97" s="107" t="n">
        <x:v>-5.3354256399999995</x:v>
      </x:c>
      <x:c r="L97" s="107" t="n">
        <x:v>-5.780625639999999</x:v>
      </x:c>
      <x:c r="M97" s="107" t="n">
        <x:v>-7.87389535</x:v>
      </x:c>
      <x:c r="N97" s="108"/>
      <x:c r="O97" s="108"/>
      <x:c r="P97" s="108"/>
      <x:c r="Q97" s="9" t="str">
        <x:v>Actual</x:v>
      </x:c>
      <x:c r="R97" s="9" t="n">
        <x:v>2024</x:v>
      </x:c>
      <x:c r="S97" s="9" t="str">
        <x:v>2024-04</x:v>
      </x:c>
    </x:row>
    <x:row r="98" ht="17" customHeight="1">
      <x:c r="A98" s="9" t="str">
        <x:v>2024-04-01</x:v>
      </x:c>
      <x:c r="B98" s="9" t="str">
        <x:v>Marketing</x:v>
      </x:c>
      <x:c r="C98" s="107" t="n">
        <x:v>0</x:v>
      </x:c>
      <x:c r="D98" s="107" t="n">
        <x:v>0</x:v>
      </x:c>
      <x:c r="E98" s="107" t="n">
        <x:v>0</x:v>
      </x:c>
      <x:c r="F98" s="107" t="n">
        <x:v>5.831254700000001</x:v>
      </x:c>
      <x:c r="G98" s="107" t="n">
        <x:v>0</x:v>
      </x:c>
      <x:c r="H98" s="107" t="n">
        <x:v>0</x:v>
      </x:c>
      <x:c r="I98" s="107" t="n">
        <x:v>0</x:v>
      </x:c>
      <x:c r="J98" s="107" t="n">
        <x:v>-5.831254700000001</x:v>
      </x:c>
      <x:c r="K98" s="107" t="n">
        <x:v>-5.831254700000001</x:v>
      </x:c>
      <x:c r="L98" s="107" t="n">
        <x:v>-5.831254700000001</x:v>
      </x:c>
      <x:c r="M98" s="107" t="n">
        <x:v>-5.831254700000001</x:v>
      </x:c>
      <x:c r="N98" s="108"/>
      <x:c r="O98" s="108"/>
      <x:c r="P98" s="108"/>
      <x:c r="Q98" s="9" t="str">
        <x:v>Actual</x:v>
      </x:c>
      <x:c r="R98" s="9" t="n">
        <x:v>2024</x:v>
      </x:c>
      <x:c r="S98" s="9" t="str">
        <x:v>2024-04</x:v>
      </x:c>
    </x:row>
    <x:row r="99" ht="17" customHeight="1">
      <x:c r="A99" s="9" t="str">
        <x:v>2024-04-01</x:v>
      </x:c>
      <x:c r="B99" s="9" t="str">
        <x:v>Operations</x:v>
      </x:c>
      <x:c r="C99" s="107" t="n">
        <x:v>0</x:v>
      </x:c>
      <x:c r="D99" s="107" t="n">
        <x:v>0</x:v>
      </x:c>
      <x:c r="E99" s="107" t="n">
        <x:v>0</x:v>
      </x:c>
      <x:c r="F99" s="107" t="n">
        <x:v>8.1715445</x:v>
      </x:c>
      <x:c r="G99" s="107" t="n">
        <x:v>0</x:v>
      </x:c>
      <x:c r="H99" s="107" t="n">
        <x:v>0</x:v>
      </x:c>
      <x:c r="I99" s="107" t="n">
        <x:v>0</x:v>
      </x:c>
      <x:c r="J99" s="107" t="n">
        <x:v>-8.1715445</x:v>
      </x:c>
      <x:c r="K99" s="107" t="n">
        <x:v>-8.1715445</x:v>
      </x:c>
      <x:c r="L99" s="107" t="n">
        <x:v>-8.1715445</x:v>
      </x:c>
      <x:c r="M99" s="107" t="n">
        <x:v>-8.1715445</x:v>
      </x:c>
      <x:c r="N99" s="108"/>
      <x:c r="O99" s="108"/>
      <x:c r="P99" s="108"/>
      <x:c r="Q99" s="9" t="str">
        <x:v>Actual</x:v>
      </x:c>
      <x:c r="R99" s="9" t="n">
        <x:v>2024</x:v>
      </x:c>
      <x:c r="S99" s="9" t="str">
        <x:v>2024-04</x:v>
      </x:c>
    </x:row>
    <x:row r="100" ht="17" customHeight="1">
      <x:c r="A100" s="9" t="str">
        <x:v>2024-04-01</x:v>
      </x:c>
      <x:c r="B100" s="9" t="str">
        <x:v>Sales</x:v>
      </x:c>
      <x:c r="C100" s="107" t="n">
        <x:v>56.33354625</x:v>
      </x:c>
      <x:c r="D100" s="107" t="n">
        <x:v>0.1075</x:v>
      </x:c>
      <x:c r="E100" s="107" t="n">
        <x:v>0</x:v>
      </x:c>
      <x:c r="F100" s="107" t="n">
        <x:v>18.30824209</x:v>
      </x:c>
      <x:c r="G100" s="107" t="n">
        <x:v>109.23367518</x:v>
      </x:c>
      <x:c r="H100" s="107" t="n">
        <x:v>0</x:v>
      </x:c>
      <x:c r="I100" s="107" t="n">
        <x:v>52.90012893000001</x:v>
      </x:c>
      <x:c r="J100" s="107" t="n">
        <x:v>34.59188684</x:v>
      </x:c>
      <x:c r="K100" s="107" t="n">
        <x:v>34.484386840000006</x:v>
      </x:c>
      <x:c r="L100" s="107" t="n">
        <x:v>34.484386840000006</x:v>
      </x:c>
      <x:c r="M100" s="107" t="n">
        <x:v>34.484386840000006</x:v>
      </x:c>
      <x:c r="N100" s="108" t="n">
        <x:v>0.4842840712154825</x:v>
      </x:c>
      <x:c r="O100" s="108" t="n">
        <x:v>0.316677863149784</x:v>
      </x:c>
      <x:c r="P100" s="108" t="n">
        <x:v>0.31569373440173215</x:v>
      </x:c>
      <x:c r="Q100" s="9" t="str">
        <x:v>Actual</x:v>
      </x:c>
      <x:c r="R100" s="9" t="n">
        <x:v>2024</x:v>
      </x:c>
      <x:c r="S100" s="9" t="str">
        <x:v>2024-04</x:v>
      </x:c>
    </x:row>
    <x:row r="101" ht="17" customHeight="1">
      <x:c r="A101" s="9" t="str">
        <x:v>2024-04-01</x:v>
      </x:c>
      <x:c r="B101" s="9" t="str">
        <x:v>Technology</x:v>
      </x:c>
      <x:c r="C101" s="107" t="n">
        <x:v>0</x:v>
      </x:c>
      <x:c r="D101" s="107" t="n">
        <x:v>0.16979167</x:v>
      </x:c>
      <x:c r="E101" s="107" t="n">
        <x:v>0</x:v>
      </x:c>
      <x:c r="F101" s="107" t="n">
        <x:v>7.6383040499999995</x:v>
      </x:c>
      <x:c r="G101" s="107" t="n">
        <x:v>0</x:v>
      </x:c>
      <x:c r="H101" s="107" t="n">
        <x:v>0</x:v>
      </x:c>
      <x:c r="I101" s="107" t="n">
        <x:v>0</x:v>
      </x:c>
      <x:c r="J101" s="107" t="n">
        <x:v>-7.6383040499999995</x:v>
      </x:c>
      <x:c r="K101" s="107" t="n">
        <x:v>-7.80809572</x:v>
      </x:c>
      <x:c r="L101" s="107" t="n">
        <x:v>-7.80809572</x:v>
      </x:c>
      <x:c r="M101" s="107" t="n">
        <x:v>-7.80809572</x:v>
      </x:c>
      <x:c r="N101" s="108"/>
      <x:c r="O101" s="108"/>
      <x:c r="P101" s="108"/>
      <x:c r="Q101" s="9" t="str">
        <x:v>Actual</x:v>
      </x:c>
      <x:c r="R101" s="9" t="n">
        <x:v>2024</x:v>
      </x:c>
      <x:c r="S101" s="9" t="str">
        <x:v>2024-04</x:v>
      </x:c>
    </x:row>
    <x:row r="102" ht="17" customHeight="1">
      <x:c r="A102" s="9" t="str">
        <x:v>2024-05-01</x:v>
      </x:c>
      <x:c r="B102" s="9" t="str">
        <x:v>Customer Success</x:v>
      </x:c>
      <x:c r="C102" s="107" t="n">
        <x:v>1.43129726</x:v>
      </x:c>
      <x:c r="D102" s="107" t="n">
        <x:v>0</x:v>
      </x:c>
      <x:c r="E102" s="107" t="n">
        <x:v>0</x:v>
      </x:c>
      <x:c r="F102" s="107" t="n">
        <x:v>2.7753776799999996</x:v>
      </x:c>
      <x:c r="G102" s="107" t="n">
        <x:v>5.7026110800000005</x:v>
      </x:c>
      <x:c r="H102" s="107" t="n">
        <x:v>0</x:v>
      </x:c>
      <x:c r="I102" s="107" t="n">
        <x:v>4.2713138200000005</x:v>
      </x:c>
      <x:c r="J102" s="107" t="n">
        <x:v>1.4959361400000006</x:v>
      </x:c>
      <x:c r="K102" s="107" t="n">
        <x:v>1.4959361400000006</x:v>
      </x:c>
      <x:c r="L102" s="107" t="n">
        <x:v>1.4959361400000006</x:v>
      </x:c>
      <x:c r="M102" s="107" t="n">
        <x:v>1.4959361400000006</x:v>
      </x:c>
      <x:c r="N102" s="108" t="n">
        <x:v>0.7490101920119021</x:v>
      </x:c>
      <x:c r="O102" s="108" t="n">
        <x:v>0.2623247700069352</x:v>
      </x:c>
      <x:c r="P102" s="108" t="n">
        <x:v>0.2623247700069352</x:v>
      </x:c>
      <x:c r="Q102" s="9" t="str">
        <x:v>Actual</x:v>
      </x:c>
      <x:c r="R102" s="9" t="n">
        <x:v>2024</x:v>
      </x:c>
      <x:c r="S102" s="9" t="str">
        <x:v>2024-05</x:v>
      </x:c>
    </x:row>
    <x:row r="103" ht="17" customHeight="1">
      <x:c r="A103" s="9" t="str">
        <x:v>2024-05-01</x:v>
      </x:c>
      <x:c r="B103" s="9" t="str">
        <x:v>Finance &amp; Corporate</x:v>
      </x:c>
      <x:c r="C103" s="107" t="n">
        <x:v>0</x:v>
      </x:c>
      <x:c r="D103" s="107" t="n">
        <x:v>0</x:v>
      </x:c>
      <x:c r="E103" s="107" t="n">
        <x:v>0.4452</x:v>
      </x:c>
      <x:c r="F103" s="107" t="n">
        <x:v>5.61930725</x:v>
      </x:c>
      <x:c r="G103" s="107" t="n">
        <x:v>0</x:v>
      </x:c>
      <x:c r="H103" s="107" t="n">
        <x:v>2.2385779300000004</x:v>
      </x:c>
      <x:c r="I103" s="107" t="n">
        <x:v>0</x:v>
      </x:c>
      <x:c r="J103" s="107" t="n">
        <x:v>-5.61930725</x:v>
      </x:c>
      <x:c r="K103" s="107" t="n">
        <x:v>-5.61930725</x:v>
      </x:c>
      <x:c r="L103" s="107" t="n">
        <x:v>-6.06450725</x:v>
      </x:c>
      <x:c r="M103" s="107" t="n">
        <x:v>-8.30308518</x:v>
      </x:c>
      <x:c r="N103" s="108"/>
      <x:c r="O103" s="108"/>
      <x:c r="P103" s="108"/>
      <x:c r="Q103" s="9" t="str">
        <x:v>Actual</x:v>
      </x:c>
      <x:c r="R103" s="9" t="n">
        <x:v>2024</x:v>
      </x:c>
      <x:c r="S103" s="9" t="str">
        <x:v>2024-05</x:v>
      </x:c>
    </x:row>
    <x:row r="104" ht="17" customHeight="1">
      <x:c r="A104" s="9" t="str">
        <x:v>2024-05-01</x:v>
      </x:c>
      <x:c r="B104" s="9" t="str">
        <x:v>Marketing</x:v>
      </x:c>
      <x:c r="C104" s="107" t="n">
        <x:v>0</x:v>
      </x:c>
      <x:c r="D104" s="107" t="n">
        <x:v>0</x:v>
      </x:c>
      <x:c r="E104" s="107" t="n">
        <x:v>0</x:v>
      </x:c>
      <x:c r="F104" s="107" t="n">
        <x:v>5.877951990000001</x:v>
      </x:c>
      <x:c r="G104" s="107" t="n">
        <x:v>0</x:v>
      </x:c>
      <x:c r="H104" s="107" t="n">
        <x:v>0</x:v>
      </x:c>
      <x:c r="I104" s="107" t="n">
        <x:v>0</x:v>
      </x:c>
      <x:c r="J104" s="107" t="n">
        <x:v>-5.877951990000001</x:v>
      </x:c>
      <x:c r="K104" s="107" t="n">
        <x:v>-5.877951990000001</x:v>
      </x:c>
      <x:c r="L104" s="107" t="n">
        <x:v>-5.877951990000001</x:v>
      </x:c>
      <x:c r="M104" s="107" t="n">
        <x:v>-5.877951990000001</x:v>
      </x:c>
      <x:c r="N104" s="108"/>
      <x:c r="O104" s="108"/>
      <x:c r="P104" s="108"/>
      <x:c r="Q104" s="9" t="str">
        <x:v>Actual</x:v>
      </x:c>
      <x:c r="R104" s="9" t="n">
        <x:v>2024</x:v>
      </x:c>
      <x:c r="S104" s="9" t="str">
        <x:v>2024-05</x:v>
      </x:c>
    </x:row>
    <x:row r="105" ht="17" customHeight="1">
      <x:c r="A105" s="9" t="str">
        <x:v>2024-05-01</x:v>
      </x:c>
      <x:c r="B105" s="9" t="str">
        <x:v>Operations</x:v>
      </x:c>
      <x:c r="C105" s="107" t="n">
        <x:v>0</x:v>
      </x:c>
      <x:c r="D105" s="107" t="n">
        <x:v>0</x:v>
      </x:c>
      <x:c r="E105" s="107" t="n">
        <x:v>0</x:v>
      </x:c>
      <x:c r="F105" s="107" t="n">
        <x:v>8.14195586</x:v>
      </x:c>
      <x:c r="G105" s="107" t="n">
        <x:v>0</x:v>
      </x:c>
      <x:c r="H105" s="107" t="n">
        <x:v>0</x:v>
      </x:c>
      <x:c r="I105" s="107" t="n">
        <x:v>0</x:v>
      </x:c>
      <x:c r="J105" s="107" t="n">
        <x:v>-8.14195586</x:v>
      </x:c>
      <x:c r="K105" s="107" t="n">
        <x:v>-8.14195586</x:v>
      </x:c>
      <x:c r="L105" s="107" t="n">
        <x:v>-8.14195586</x:v>
      </x:c>
      <x:c r="M105" s="107" t="n">
        <x:v>-8.14195586</x:v>
      </x:c>
      <x:c r="N105" s="108"/>
      <x:c r="O105" s="108"/>
      <x:c r="P105" s="108"/>
      <x:c r="Q105" s="9" t="str">
        <x:v>Actual</x:v>
      </x:c>
      <x:c r="R105" s="9" t="n">
        <x:v>2024</x:v>
      </x:c>
      <x:c r="S105" s="9" t="str">
        <x:v>2024-05</x:v>
      </x:c>
    </x:row>
    <x:row r="106" ht="17" customHeight="1">
      <x:c r="A106" s="9" t="str">
        <x:v>2024-05-01</x:v>
      </x:c>
      <x:c r="B106" s="9" t="str">
        <x:v>Sales</x:v>
      </x:c>
      <x:c r="C106" s="107" t="n">
        <x:v>56.375456660000005</x:v>
      </x:c>
      <x:c r="D106" s="107" t="n">
        <x:v>0.1075</x:v>
      </x:c>
      <x:c r="E106" s="107" t="n">
        <x:v>0</x:v>
      </x:c>
      <x:c r="F106" s="107" t="n">
        <x:v>18.206567399999997</x:v>
      </x:c>
      <x:c r="G106" s="107" t="n">
        <x:v>110.12019488</x:v>
      </x:c>
      <x:c r="H106" s="107" t="n">
        <x:v>0</x:v>
      </x:c>
      <x:c r="I106" s="107" t="n">
        <x:v>53.74473821999999</x:v>
      </x:c>
      <x:c r="J106" s="107" t="n">
        <x:v>35.53817081999999</x:v>
      </x:c>
      <x:c r="K106" s="107" t="n">
        <x:v>35.430670819999996</x:v>
      </x:c>
      <x:c r="L106" s="107" t="n">
        <x:v>35.430670819999996</x:v>
      </x:c>
      <x:c r="M106" s="107" t="n">
        <x:v>35.430670819999996</x:v>
      </x:c>
      <x:c r="N106" s="108" t="n">
        <x:v>0.4880552407173509</x:v>
      </x:c>
      <x:c r="O106" s="108" t="n">
        <x:v>0.32272164845627627</x:v>
      </x:c>
      <x:c r="P106" s="108" t="n">
        <x:v>0.3217454424105356</x:v>
      </x:c>
      <x:c r="Q106" s="9" t="str">
        <x:v>Actual</x:v>
      </x:c>
      <x:c r="R106" s="9" t="n">
        <x:v>2024</x:v>
      </x:c>
      <x:c r="S106" s="9" t="str">
        <x:v>2024-05</x:v>
      </x:c>
    </x:row>
    <x:row r="107" ht="17" customHeight="1">
      <x:c r="A107" s="9" t="str">
        <x:v>2024-05-01</x:v>
      </x:c>
      <x:c r="B107" s="9" t="str">
        <x:v>Technology</x:v>
      </x:c>
      <x:c r="C107" s="107" t="n">
        <x:v>0</x:v>
      </x:c>
      <x:c r="D107" s="107" t="n">
        <x:v>0.16979167</x:v>
      </x:c>
      <x:c r="E107" s="107" t="n">
        <x:v>0</x:v>
      </x:c>
      <x:c r="F107" s="107" t="n">
        <x:v>7.71808848</x:v>
      </x:c>
      <x:c r="G107" s="107" t="n">
        <x:v>0</x:v>
      </x:c>
      <x:c r="H107" s="107" t="n">
        <x:v>0</x:v>
      </x:c>
      <x:c r="I107" s="107" t="n">
        <x:v>0</x:v>
      </x:c>
      <x:c r="J107" s="107" t="n">
        <x:v>-7.71808848</x:v>
      </x:c>
      <x:c r="K107" s="107" t="n">
        <x:v>-7.887880149999999</x:v>
      </x:c>
      <x:c r="L107" s="107" t="n">
        <x:v>-7.887880149999999</x:v>
      </x:c>
      <x:c r="M107" s="107" t="n">
        <x:v>-7.887880149999999</x:v>
      </x:c>
      <x:c r="N107" s="108"/>
      <x:c r="O107" s="108"/>
      <x:c r="P107" s="108"/>
      <x:c r="Q107" s="9" t="str">
        <x:v>Actual</x:v>
      </x:c>
      <x:c r="R107" s="9" t="n">
        <x:v>2024</x:v>
      </x:c>
      <x:c r="S107" s="9" t="str">
        <x:v>2024-05</x:v>
      </x:c>
    </x:row>
    <x:row r="108" ht="17" customHeight="1">
      <x:c r="A108" s="9" t="str">
        <x:v>2024-06-01</x:v>
      </x:c>
      <x:c r="B108" s="9" t="str">
        <x:v>Customer Success</x:v>
      </x:c>
      <x:c r="C108" s="107" t="n">
        <x:v>1.51650027</x:v>
      </x:c>
      <x:c r="D108" s="107" t="n">
        <x:v>0</x:v>
      </x:c>
      <x:c r="E108" s="107" t="n">
        <x:v>0</x:v>
      </x:c>
      <x:c r="F108" s="107" t="n">
        <x:v>2.83782396</x:v>
      </x:c>
      <x:c r="G108" s="107" t="n">
        <x:v>5.9647555</x:v>
      </x:c>
      <x:c r="H108" s="107" t="n">
        <x:v>0</x:v>
      </x:c>
      <x:c r="I108" s="107" t="n">
        <x:v>4.44825523</x:v>
      </x:c>
      <x:c r="J108" s="107" t="n">
        <x:v>1.6104312700000005</x:v>
      </x:c>
      <x:c r="K108" s="107" t="n">
        <x:v>1.6104312700000005</x:v>
      </x:c>
      <x:c r="L108" s="107" t="n">
        <x:v>1.6104312700000005</x:v>
      </x:c>
      <x:c r="M108" s="107" t="n">
        <x:v>1.6104312700000005</x:v>
      </x:c>
      <x:c r="N108" s="108" t="n">
        <x:v>0.7457565075383225</x:v>
      </x:c>
      <x:c r="O108" s="108" t="n">
        <x:v>0.2699911622530044</x:v>
      </x:c>
      <x:c r="P108" s="108" t="n">
        <x:v>0.2699911622530044</x:v>
      </x:c>
      <x:c r="Q108" s="9" t="str">
        <x:v>Actual</x:v>
      </x:c>
      <x:c r="R108" s="9" t="n">
        <x:v>2024</x:v>
      </x:c>
      <x:c r="S108" s="9" t="str">
        <x:v>2024-06</x:v>
      </x:c>
    </x:row>
    <x:row r="109" ht="17" customHeight="1">
      <x:c r="A109" s="9" t="str">
        <x:v>2024-06-01</x:v>
      </x:c>
      <x:c r="B109" s="9" t="str">
        <x:v>Finance &amp; Corporate</x:v>
      </x:c>
      <x:c r="C109" s="107" t="n">
        <x:v>0</x:v>
      </x:c>
      <x:c r="D109" s="107" t="n">
        <x:v>0</x:v>
      </x:c>
      <x:c r="E109" s="107" t="n">
        <x:v>0.4452</x:v>
      </x:c>
      <x:c r="F109" s="107" t="n">
        <x:v>5.56442545</x:v>
      </x:c>
      <x:c r="G109" s="107" t="n">
        <x:v>0</x:v>
      </x:c>
      <x:c r="H109" s="107" t="n">
        <x:v>2.66403707</x:v>
      </x:c>
      <x:c r="I109" s="107" t="n">
        <x:v>0</x:v>
      </x:c>
      <x:c r="J109" s="107" t="n">
        <x:v>-5.56442545</x:v>
      </x:c>
      <x:c r="K109" s="107" t="n">
        <x:v>-5.56442545</x:v>
      </x:c>
      <x:c r="L109" s="107" t="n">
        <x:v>-6.009625450000001</x:v>
      </x:c>
      <x:c r="M109" s="107" t="n">
        <x:v>-8.673662519999999</x:v>
      </x:c>
      <x:c r="N109" s="108"/>
      <x:c r="O109" s="108"/>
      <x:c r="P109" s="108"/>
      <x:c r="Q109" s="9" t="str">
        <x:v>Actual</x:v>
      </x:c>
      <x:c r="R109" s="9" t="n">
        <x:v>2024</x:v>
      </x:c>
      <x:c r="S109" s="9" t="str">
        <x:v>2024-06</x:v>
      </x:c>
    </x:row>
    <x:row r="110" ht="17" customHeight="1">
      <x:c r="A110" s="9" t="str">
        <x:v>2024-06-01</x:v>
      </x:c>
      <x:c r="B110" s="9" t="str">
        <x:v>Marketing</x:v>
      </x:c>
      <x:c r="C110" s="107" t="n">
        <x:v>0</x:v>
      </x:c>
      <x:c r="D110" s="107" t="n">
        <x:v>0</x:v>
      </x:c>
      <x:c r="E110" s="107" t="n">
        <x:v>0</x:v>
      </x:c>
      <x:c r="F110" s="107" t="n">
        <x:v>5.8194998899999995</x:v>
      </x:c>
      <x:c r="G110" s="107" t="n">
        <x:v>0</x:v>
      </x:c>
      <x:c r="H110" s="107" t="n">
        <x:v>0</x:v>
      </x:c>
      <x:c r="I110" s="107" t="n">
        <x:v>0</x:v>
      </x:c>
      <x:c r="J110" s="107" t="n">
        <x:v>-5.8194998899999995</x:v>
      </x:c>
      <x:c r="K110" s="107" t="n">
        <x:v>-5.8194998899999995</x:v>
      </x:c>
      <x:c r="L110" s="107" t="n">
        <x:v>-5.8194998899999995</x:v>
      </x:c>
      <x:c r="M110" s="107" t="n">
        <x:v>-5.8194998899999995</x:v>
      </x:c>
      <x:c r="N110" s="108"/>
      <x:c r="O110" s="108"/>
      <x:c r="P110" s="108"/>
      <x:c r="Q110" s="9" t="str">
        <x:v>Actual</x:v>
      </x:c>
      <x:c r="R110" s="9" t="n">
        <x:v>2024</x:v>
      </x:c>
      <x:c r="S110" s="9" t="str">
        <x:v>2024-06</x:v>
      </x:c>
    </x:row>
    <x:row r="111" ht="17" customHeight="1">
      <x:c r="A111" s="9" t="str">
        <x:v>2024-06-01</x:v>
      </x:c>
      <x:c r="B111" s="9" t="str">
        <x:v>Operations</x:v>
      </x:c>
      <x:c r="C111" s="107" t="n">
        <x:v>0</x:v>
      </x:c>
      <x:c r="D111" s="107" t="n">
        <x:v>0</x:v>
      </x:c>
      <x:c r="E111" s="107" t="n">
        <x:v>0</x:v>
      </x:c>
      <x:c r="F111" s="107" t="n">
        <x:v>8.322370359999999</x:v>
      </x:c>
      <x:c r="G111" s="107" t="n">
        <x:v>0</x:v>
      </x:c>
      <x:c r="H111" s="107" t="n">
        <x:v>0</x:v>
      </x:c>
      <x:c r="I111" s="107" t="n">
        <x:v>0</x:v>
      </x:c>
      <x:c r="J111" s="107" t="n">
        <x:v>-8.322370359999999</x:v>
      </x:c>
      <x:c r="K111" s="107" t="n">
        <x:v>-8.322370359999999</x:v>
      </x:c>
      <x:c r="L111" s="107" t="n">
        <x:v>-8.322370359999999</x:v>
      </x:c>
      <x:c r="M111" s="107" t="n">
        <x:v>-8.322370359999999</x:v>
      </x:c>
      <x:c r="N111" s="108"/>
      <x:c r="O111" s="108"/>
      <x:c r="P111" s="108"/>
      <x:c r="Q111" s="9" t="str">
        <x:v>Actual</x:v>
      </x:c>
      <x:c r="R111" s="9" t="n">
        <x:v>2024</x:v>
      </x:c>
      <x:c r="S111" s="9" t="str">
        <x:v>2024-06</x:v>
      </x:c>
    </x:row>
    <x:row r="112" ht="17" customHeight="1">
      <x:c r="A112" s="9" t="str">
        <x:v>2024-06-01</x:v>
      </x:c>
      <x:c r="B112" s="9" t="str">
        <x:v>Sales</x:v>
      </x:c>
      <x:c r="C112" s="107" t="n">
        <x:v>58.34651165</x:v>
      </x:c>
      <x:c r="D112" s="107" t="n">
        <x:v>0.1075</x:v>
      </x:c>
      <x:c r="E112" s="107" t="n">
        <x:v>0</x:v>
      </x:c>
      <x:c r="F112" s="107" t="n">
        <x:v>18.704014949999998</x:v>
      </x:c>
      <x:c r="G112" s="107" t="n">
        <x:v>114.35723422999999</x:v>
      </x:c>
      <x:c r="H112" s="107" t="n">
        <x:v>0</x:v>
      </x:c>
      <x:c r="I112" s="107" t="n">
        <x:v>56.01072257999999</x:v>
      </x:c>
      <x:c r="J112" s="107" t="n">
        <x:v>37.30670763</x:v>
      </x:c>
      <x:c r="K112" s="107" t="n">
        <x:v>37.19920763</x:v>
      </x:c>
      <x:c r="L112" s="107" t="n">
        <x:v>37.19920763</x:v>
      </x:c>
      <x:c r="M112" s="107" t="n">
        <x:v>37.19920763</x:v>
      </x:c>
      <x:c r="N112" s="108" t="n">
        <x:v>0.4897873139127247</x:v>
      </x:c>
      <x:c r="O112" s="108" t="n">
        <x:v>0.3262295374769838</x:v>
      </x:c>
      <x:c r="P112" s="108" t="n">
        <x:v>0.3252895007515083</x:v>
      </x:c>
      <x:c r="Q112" s="9" t="str">
        <x:v>Actual</x:v>
      </x:c>
      <x:c r="R112" s="9" t="n">
        <x:v>2024</x:v>
      </x:c>
      <x:c r="S112" s="9" t="str">
        <x:v>2024-06</x:v>
      </x:c>
    </x:row>
    <x:row r="113" ht="17" customHeight="1">
      <x:c r="A113" s="9" t="str">
        <x:v>2024-06-01</x:v>
      </x:c>
      <x:c r="B113" s="9" t="str">
        <x:v>Technology</x:v>
      </x:c>
      <x:c r="C113" s="107" t="n">
        <x:v>0</x:v>
      </x:c>
      <x:c r="D113" s="107" t="n">
        <x:v>0.16979167</x:v>
      </x:c>
      <x:c r="E113" s="107" t="n">
        <x:v>0</x:v>
      </x:c>
      <x:c r="F113" s="107" t="n">
        <x:v>7.83220326</x:v>
      </x:c>
      <x:c r="G113" s="107" t="n">
        <x:v>0</x:v>
      </x:c>
      <x:c r="H113" s="107" t="n">
        <x:v>0</x:v>
      </x:c>
      <x:c r="I113" s="107" t="n">
        <x:v>0</x:v>
      </x:c>
      <x:c r="J113" s="107" t="n">
        <x:v>-7.83220326</x:v>
      </x:c>
      <x:c r="K113" s="107" t="n">
        <x:v>-8.00199493</x:v>
      </x:c>
      <x:c r="L113" s="107" t="n">
        <x:v>-8.00199493</x:v>
      </x:c>
      <x:c r="M113" s="107" t="n">
        <x:v>-8.00199493</x:v>
      </x:c>
      <x:c r="N113" s="108"/>
      <x:c r="O113" s="108"/>
      <x:c r="P113" s="108"/>
      <x:c r="Q113" s="9" t="str">
        <x:v>Actual</x:v>
      </x:c>
      <x:c r="R113" s="9" t="n">
        <x:v>2024</x:v>
      </x:c>
      <x:c r="S113" s="9" t="str">
        <x:v>2024-06</x:v>
      </x:c>
    </x:row>
    <x:row r="114" ht="17" customHeight="1">
      <x:c r="A114" s="9" t="str">
        <x:v>2024-07-01</x:v>
      </x:c>
      <x:c r="B114" s="9" t="str">
        <x:v>Customer Success</x:v>
      </x:c>
      <x:c r="C114" s="107" t="n">
        <x:v>1.5149915</x:v>
      </x:c>
      <x:c r="D114" s="107" t="n">
        <x:v>0</x:v>
      </x:c>
      <x:c r="E114" s="107" t="n">
        <x:v>0</x:v>
      </x:c>
      <x:c r="F114" s="107" t="n">
        <x:v>2.8129625299999996</x:v>
      </x:c>
      <x:c r="G114" s="107" t="n">
        <x:v>6.03257653</x:v>
      </x:c>
      <x:c r="H114" s="107" t="n">
        <x:v>0</x:v>
      </x:c>
      <x:c r="I114" s="107" t="n">
        <x:v>4.51758503</x:v>
      </x:c>
      <x:c r="J114" s="107" t="n">
        <x:v>1.7046225000000004</x:v>
      </x:c>
      <x:c r="K114" s="107" t="n">
        <x:v>1.7046225000000004</x:v>
      </x:c>
      <x:c r="L114" s="107" t="n">
        <x:v>1.7046225000000004</x:v>
      </x:c>
      <x:c r="M114" s="107" t="n">
        <x:v>1.7046225000000004</x:v>
      </x:c>
      <x:c r="N114" s="108" t="n">
        <x:v>0.7488649348307563</x:v>
      </x:c>
      <x:c r="O114" s="108" t="n">
        <x:v>0.28256956070476913</x:v>
      </x:c>
      <x:c r="P114" s="108" t="n">
        <x:v>0.28256956070476913</x:v>
      </x:c>
      <x:c r="Q114" s="9" t="str">
        <x:v>Actual</x:v>
      </x:c>
      <x:c r="R114" s="9" t="n">
        <x:v>2024</x:v>
      </x:c>
      <x:c r="S114" s="9" t="str">
        <x:v>2024-07</x:v>
      </x:c>
    </x:row>
    <x:row r="115" ht="17" customHeight="1">
      <x:c r="A115" s="9" t="str">
        <x:v>2024-07-01</x:v>
      </x:c>
      <x:c r="B115" s="9" t="str">
        <x:v>Finance &amp; Corporate</x:v>
      </x:c>
      <x:c r="C115" s="107" t="n">
        <x:v>0</x:v>
      </x:c>
      <x:c r="D115" s="107" t="n">
        <x:v>0</x:v>
      </x:c>
      <x:c r="E115" s="107" t="n">
        <x:v>0.4452</x:v>
      </x:c>
      <x:c r="F115" s="107" t="n">
        <x:v>5.601058549999999</x:v>
      </x:c>
      <x:c r="G115" s="107" t="n">
        <x:v>0</x:v>
      </x:c>
      <x:c r="H115" s="107" t="n">
        <x:v>1.76016928</x:v>
      </x:c>
      <x:c r="I115" s="107" t="n">
        <x:v>0</x:v>
      </x:c>
      <x:c r="J115" s="107" t="n">
        <x:v>-5.601058549999999</x:v>
      </x:c>
      <x:c r="K115" s="107" t="n">
        <x:v>-5.601058549999999</x:v>
      </x:c>
      <x:c r="L115" s="107" t="n">
        <x:v>-6.04625855</x:v>
      </x:c>
      <x:c r="M115" s="107" t="n">
        <x:v>-7.8064278300000005</x:v>
      </x:c>
      <x:c r="N115" s="108"/>
      <x:c r="O115" s="108"/>
      <x:c r="P115" s="108"/>
      <x:c r="Q115" s="9" t="str">
        <x:v>Actual</x:v>
      </x:c>
      <x:c r="R115" s="9" t="n">
        <x:v>2024</x:v>
      </x:c>
      <x:c r="S115" s="9" t="str">
        <x:v>2024-07</x:v>
      </x:c>
    </x:row>
    <x:row r="116" ht="17" customHeight="1">
      <x:c r="A116" s="9" t="str">
        <x:v>2024-07-01</x:v>
      </x:c>
      <x:c r="B116" s="9" t="str">
        <x:v>Marketing</x:v>
      </x:c>
      <x:c r="C116" s="107" t="n">
        <x:v>0</x:v>
      </x:c>
      <x:c r="D116" s="107" t="n">
        <x:v>0</x:v>
      </x:c>
      <x:c r="E116" s="107" t="n">
        <x:v>0</x:v>
      </x:c>
      <x:c r="F116" s="107" t="n">
        <x:v>5.91445658</x:v>
      </x:c>
      <x:c r="G116" s="107" t="n">
        <x:v>0</x:v>
      </x:c>
      <x:c r="H116" s="107" t="n">
        <x:v>0</x:v>
      </x:c>
      <x:c r="I116" s="107" t="n">
        <x:v>0</x:v>
      </x:c>
      <x:c r="J116" s="107" t="n">
        <x:v>-5.91445658</x:v>
      </x:c>
      <x:c r="K116" s="107" t="n">
        <x:v>-5.91445658</x:v>
      </x:c>
      <x:c r="L116" s="107" t="n">
        <x:v>-5.91445658</x:v>
      </x:c>
      <x:c r="M116" s="107" t="n">
        <x:v>-5.91445658</x:v>
      </x:c>
      <x:c r="N116" s="108"/>
      <x:c r="O116" s="108"/>
      <x:c r="P116" s="108"/>
      <x:c r="Q116" s="9" t="str">
        <x:v>Actual</x:v>
      </x:c>
      <x:c r="R116" s="9" t="n">
        <x:v>2024</x:v>
      </x:c>
      <x:c r="S116" s="9" t="str">
        <x:v>2024-07</x:v>
      </x:c>
    </x:row>
    <x:row r="117" ht="17" customHeight="1">
      <x:c r="A117" s="9" t="str">
        <x:v>2024-07-01</x:v>
      </x:c>
      <x:c r="B117" s="9" t="str">
        <x:v>Operations</x:v>
      </x:c>
      <x:c r="C117" s="107" t="n">
        <x:v>0</x:v>
      </x:c>
      <x:c r="D117" s="107" t="n">
        <x:v>0</x:v>
      </x:c>
      <x:c r="E117" s="107" t="n">
        <x:v>0</x:v>
      </x:c>
      <x:c r="F117" s="107" t="n">
        <x:v>8.333843009999999</x:v>
      </x:c>
      <x:c r="G117" s="107" t="n">
        <x:v>0</x:v>
      </x:c>
      <x:c r="H117" s="107" t="n">
        <x:v>0</x:v>
      </x:c>
      <x:c r="I117" s="107" t="n">
        <x:v>0</x:v>
      </x:c>
      <x:c r="J117" s="107" t="n">
        <x:v>-8.333843009999999</x:v>
      </x:c>
      <x:c r="K117" s="107" t="n">
        <x:v>-8.333843009999999</x:v>
      </x:c>
      <x:c r="L117" s="107" t="n">
        <x:v>-8.333843009999999</x:v>
      </x:c>
      <x:c r="M117" s="107" t="n">
        <x:v>-8.333843009999999</x:v>
      </x:c>
      <x:c r="N117" s="108"/>
      <x:c r="O117" s="108"/>
      <x:c r="P117" s="108"/>
      <x:c r="Q117" s="9" t="str">
        <x:v>Actual</x:v>
      </x:c>
      <x:c r="R117" s="9" t="n">
        <x:v>2024</x:v>
      </x:c>
      <x:c r="S117" s="9" t="str">
        <x:v>2024-07</x:v>
      </x:c>
    </x:row>
    <x:row r="118" ht="17" customHeight="1">
      <x:c r="A118" s="9" t="str">
        <x:v>2024-07-01</x:v>
      </x:c>
      <x:c r="B118" s="9" t="str">
        <x:v>Sales</x:v>
      </x:c>
      <x:c r="C118" s="107" t="n">
        <x:v>54.61014803</x:v>
      </x:c>
      <x:c r="D118" s="107" t="n">
        <x:v>0.1075</x:v>
      </x:c>
      <x:c r="E118" s="107" t="n">
        <x:v>0</x:v>
      </x:c>
      <x:c r="F118" s="107" t="n">
        <x:v>18.54926009</x:v>
      </x:c>
      <x:c r="G118" s="107" t="n">
        <x:v>107.06060783</x:v>
      </x:c>
      <x:c r="H118" s="107" t="n">
        <x:v>0</x:v>
      </x:c>
      <x:c r="I118" s="107" t="n">
        <x:v>52.4504598</x:v>
      </x:c>
      <x:c r="J118" s="107" t="n">
        <x:v>33.90119970999999</x:v>
      </x:c>
      <x:c r="K118" s="107" t="n">
        <x:v>33.79369970999999</x:v>
      </x:c>
      <x:c r="L118" s="107" t="n">
        <x:v>33.79369970999999</x:v>
      </x:c>
      <x:c r="M118" s="107" t="n">
        <x:v>33.79369970999999</x:v>
      </x:c>
      <x:c r="N118" s="108" t="n">
        <x:v>0.4899137120843301</x:v>
      </x:c>
      <x:c r="O118" s="108" t="n">
        <x:v>0.3166542801982894</x:v>
      </x:c>
      <x:c r="P118" s="108" t="n">
        <x:v>0.3156501760541144</x:v>
      </x:c>
      <x:c r="Q118" s="9" t="str">
        <x:v>Actual</x:v>
      </x:c>
      <x:c r="R118" s="9" t="n">
        <x:v>2024</x:v>
      </x:c>
      <x:c r="S118" s="9" t="str">
        <x:v>2024-07</x:v>
      </x:c>
    </x:row>
    <x:row r="119" ht="17" customHeight="1">
      <x:c r="A119" s="9" t="str">
        <x:v>2024-07-01</x:v>
      </x:c>
      <x:c r="B119" s="9" t="str">
        <x:v>Technology</x:v>
      </x:c>
      <x:c r="C119" s="107" t="n">
        <x:v>0</x:v>
      </x:c>
      <x:c r="D119" s="107" t="n">
        <x:v>0.42604167</x:v>
      </x:c>
      <x:c r="E119" s="107" t="n">
        <x:v>0</x:v>
      </x:c>
      <x:c r="F119" s="107" t="n">
        <x:v>7.73704527</x:v>
      </x:c>
      <x:c r="G119" s="107" t="n">
        <x:v>0</x:v>
      </x:c>
      <x:c r="H119" s="107" t="n">
        <x:v>0</x:v>
      </x:c>
      <x:c r="I119" s="107" t="n">
        <x:v>0</x:v>
      </x:c>
      <x:c r="J119" s="107" t="n">
        <x:v>-7.73704527</x:v>
      </x:c>
      <x:c r="K119" s="107" t="n">
        <x:v>-8.163086940000001</x:v>
      </x:c>
      <x:c r="L119" s="107" t="n">
        <x:v>-8.163086940000001</x:v>
      </x:c>
      <x:c r="M119" s="107" t="n">
        <x:v>-8.163086940000001</x:v>
      </x:c>
      <x:c r="N119" s="108"/>
      <x:c r="O119" s="108"/>
      <x:c r="P119" s="108"/>
      <x:c r="Q119" s="9" t="str">
        <x:v>Actual</x:v>
      </x:c>
      <x:c r="R119" s="9" t="n">
        <x:v>2024</x:v>
      </x:c>
      <x:c r="S119" s="9" t="str">
        <x:v>2024-07</x:v>
      </x:c>
    </x:row>
    <x:row r="120" ht="17" customHeight="1">
      <x:c r="A120" s="9" t="str">
        <x:v>2024-08-01</x:v>
      </x:c>
      <x:c r="B120" s="9" t="str">
        <x:v>Customer Success</x:v>
      </x:c>
      <x:c r="C120" s="107" t="n">
        <x:v>1.58332498</x:v>
      </x:c>
      <x:c r="D120" s="107" t="n">
        <x:v>0</x:v>
      </x:c>
      <x:c r="E120" s="107" t="n">
        <x:v>0</x:v>
      </x:c>
      <x:c r="F120" s="107" t="n">
        <x:v>2.81770479</x:v>
      </x:c>
      <x:c r="G120" s="107" t="n">
        <x:v>6.26227045</x:v>
      </x:c>
      <x:c r="H120" s="107" t="n">
        <x:v>0</x:v>
      </x:c>
      <x:c r="I120" s="107" t="n">
        <x:v>4.67894547</x:v>
      </x:c>
      <x:c r="J120" s="107" t="n">
        <x:v>1.8612406800000005</x:v>
      </x:c>
      <x:c r="K120" s="107" t="n">
        <x:v>1.8612406800000005</x:v>
      </x:c>
      <x:c r="L120" s="107" t="n">
        <x:v>1.8612406800000005</x:v>
      </x:c>
      <x:c r="M120" s="107" t="n">
        <x:v>1.8612406800000005</x:v>
      </x:c>
      <x:c r="N120" s="108" t="n">
        <x:v>0.7471643882770985</x:v>
      </x:c>
      <x:c r="O120" s="108" t="n">
        <x:v>0.29721499492248865</x:v>
      </x:c>
      <x:c r="P120" s="108" t="n">
        <x:v>0.29721499492248865</x:v>
      </x:c>
      <x:c r="Q120" s="9" t="str">
        <x:v>Actual</x:v>
      </x:c>
      <x:c r="R120" s="9" t="n">
        <x:v>2024</x:v>
      </x:c>
      <x:c r="S120" s="9" t="str">
        <x:v>2024-08</x:v>
      </x:c>
    </x:row>
    <x:row r="121" ht="17" customHeight="1">
      <x:c r="A121" s="9" t="str">
        <x:v>2024-08-01</x:v>
      </x:c>
      <x:c r="B121" s="9" t="str">
        <x:v>Finance &amp; Corporate</x:v>
      </x:c>
      <x:c r="C121" s="107" t="n">
        <x:v>0</x:v>
      </x:c>
      <x:c r="D121" s="107" t="n">
        <x:v>0</x:v>
      </x:c>
      <x:c r="E121" s="107" t="n">
        <x:v>0.4452</x:v>
      </x:c>
      <x:c r="F121" s="107" t="n">
        <x:v>5.604159950000001</x:v>
      </x:c>
      <x:c r="G121" s="107" t="n">
        <x:v>0</x:v>
      </x:c>
      <x:c r="H121" s="107" t="n">
        <x:v>1.0201244200000001</x:v>
      </x:c>
      <x:c r="I121" s="107" t="n">
        <x:v>0</x:v>
      </x:c>
      <x:c r="J121" s="107" t="n">
        <x:v>-5.604159950000001</x:v>
      </x:c>
      <x:c r="K121" s="107" t="n">
        <x:v>-5.604159950000001</x:v>
      </x:c>
      <x:c r="L121" s="107" t="n">
        <x:v>-6.04935995</x:v>
      </x:c>
      <x:c r="M121" s="107" t="n">
        <x:v>-7.0694843700000005</x:v>
      </x:c>
      <x:c r="N121" s="108"/>
      <x:c r="O121" s="108"/>
      <x:c r="P121" s="108"/>
      <x:c r="Q121" s="9" t="str">
        <x:v>Actual</x:v>
      </x:c>
      <x:c r="R121" s="9" t="n">
        <x:v>2024</x:v>
      </x:c>
      <x:c r="S121" s="9" t="str">
        <x:v>2024-08</x:v>
      </x:c>
    </x:row>
    <x:row r="122" ht="17" customHeight="1">
      <x:c r="A122" s="9" t="str">
        <x:v>2024-08-01</x:v>
      </x:c>
      <x:c r="B122" s="9" t="str">
        <x:v>Marketing</x:v>
      </x:c>
      <x:c r="C122" s="107" t="n">
        <x:v>0</x:v>
      </x:c>
      <x:c r="D122" s="107" t="n">
        <x:v>0</x:v>
      </x:c>
      <x:c r="E122" s="107" t="n">
        <x:v>0</x:v>
      </x:c>
      <x:c r="F122" s="107" t="n">
        <x:v>6.02932282</x:v>
      </x:c>
      <x:c r="G122" s="107" t="n">
        <x:v>0</x:v>
      </x:c>
      <x:c r="H122" s="107" t="n">
        <x:v>0</x:v>
      </x:c>
      <x:c r="I122" s="107" t="n">
        <x:v>0</x:v>
      </x:c>
      <x:c r="J122" s="107" t="n">
        <x:v>-6.02932282</x:v>
      </x:c>
      <x:c r="K122" s="107" t="n">
        <x:v>-6.02932282</x:v>
      </x:c>
      <x:c r="L122" s="107" t="n">
        <x:v>-6.02932282</x:v>
      </x:c>
      <x:c r="M122" s="107" t="n">
        <x:v>-6.02932282</x:v>
      </x:c>
      <x:c r="N122" s="108"/>
      <x:c r="O122" s="108"/>
      <x:c r="P122" s="108"/>
      <x:c r="Q122" s="9" t="str">
        <x:v>Actual</x:v>
      </x:c>
      <x:c r="R122" s="9" t="n">
        <x:v>2024</x:v>
      </x:c>
      <x:c r="S122" s="9" t="str">
        <x:v>2024-08</x:v>
      </x:c>
    </x:row>
    <x:row r="123" ht="17" customHeight="1">
      <x:c r="A123" s="9" t="str">
        <x:v>2024-08-01</x:v>
      </x:c>
      <x:c r="B123" s="9" t="str">
        <x:v>Operations</x:v>
      </x:c>
      <x:c r="C123" s="107" t="n">
        <x:v>0</x:v>
      </x:c>
      <x:c r="D123" s="107" t="n">
        <x:v>0</x:v>
      </x:c>
      <x:c r="E123" s="107" t="n">
        <x:v>0</x:v>
      </x:c>
      <x:c r="F123" s="107" t="n">
        <x:v>8.63423244</x:v>
      </x:c>
      <x:c r="G123" s="107" t="n">
        <x:v>0</x:v>
      </x:c>
      <x:c r="H123" s="107" t="n">
        <x:v>0</x:v>
      </x:c>
      <x:c r="I123" s="107" t="n">
        <x:v>0</x:v>
      </x:c>
      <x:c r="J123" s="107" t="n">
        <x:v>-8.63423244</x:v>
      </x:c>
      <x:c r="K123" s="107" t="n">
        <x:v>-8.63423244</x:v>
      </x:c>
      <x:c r="L123" s="107" t="n">
        <x:v>-8.63423244</x:v>
      </x:c>
      <x:c r="M123" s="107" t="n">
        <x:v>-8.63423244</x:v>
      </x:c>
      <x:c r="N123" s="108"/>
      <x:c r="O123" s="108"/>
      <x:c r="P123" s="108"/>
      <x:c r="Q123" s="9" t="str">
        <x:v>Actual</x:v>
      </x:c>
      <x:c r="R123" s="9" t="n">
        <x:v>2024</x:v>
      </x:c>
      <x:c r="S123" s="9" t="str">
        <x:v>2024-08</x:v>
      </x:c>
    </x:row>
    <x:row r="124" ht="17" customHeight="1">
      <x:c r="A124" s="9" t="str">
        <x:v>2024-08-01</x:v>
      </x:c>
      <x:c r="B124" s="9" t="str">
        <x:v>Sales</x:v>
      </x:c>
      <x:c r="C124" s="107" t="n">
        <x:v>52.11766268</x:v>
      </x:c>
      <x:c r="D124" s="107" t="n">
        <x:v>0.1075</x:v>
      </x:c>
      <x:c r="E124" s="107" t="n">
        <x:v>0</x:v>
      </x:c>
      <x:c r="F124" s="107" t="n">
        <x:v>18.533679080000002</x:v>
      </x:c>
      <x:c r="G124" s="107" t="n">
        <x:v>102.02166250999998</x:v>
      </x:c>
      <x:c r="H124" s="107" t="n">
        <x:v>0</x:v>
      </x:c>
      <x:c r="I124" s="107" t="n">
        <x:v>49.90399982999999</x:v>
      </x:c>
      <x:c r="J124" s="107" t="n">
        <x:v>31.37032074999999</x:v>
      </x:c>
      <x:c r="K124" s="107" t="n">
        <x:v>31.26282074999999</x:v>
      </x:c>
      <x:c r="L124" s="107" t="n">
        <x:v>31.26282074999999</x:v>
      </x:c>
      <x:c r="M124" s="107" t="n">
        <x:v>31.26282074999999</x:v>
      </x:c>
      <x:c r="N124" s="108" t="n">
        <x:v>0.489151015600324</x:v>
      </x:c>
      <x:c r="O124" s="108" t="n">
        <x:v>0.3074868609098104</x:v>
      </x:c>
      <x:c r="P124" s="108" t="n">
        <x:v>0.3064331631229364</x:v>
      </x:c>
      <x:c r="Q124" s="9" t="str">
        <x:v>Actual</x:v>
      </x:c>
      <x:c r="R124" s="9" t="n">
        <x:v>2024</x:v>
      </x:c>
      <x:c r="S124" s="9" t="str">
        <x:v>2024-08</x:v>
      </x:c>
    </x:row>
    <x:row r="125" ht="17" customHeight="1">
      <x:c r="A125" s="9" t="str">
        <x:v>2024-08-01</x:v>
      </x:c>
      <x:c r="B125" s="9" t="str">
        <x:v>Technology</x:v>
      </x:c>
      <x:c r="C125" s="107" t="n">
        <x:v>0</x:v>
      </x:c>
      <x:c r="D125" s="107" t="n">
        <x:v>0.42604167</x:v>
      </x:c>
      <x:c r="E125" s="107" t="n">
        <x:v>0</x:v>
      </x:c>
      <x:c r="F125" s="107" t="n">
        <x:v>7.904606889999999</x:v>
      </x:c>
      <x:c r="G125" s="107" t="n">
        <x:v>0</x:v>
      </x:c>
      <x:c r="H125" s="107" t="n">
        <x:v>0</x:v>
      </x:c>
      <x:c r="I125" s="107" t="n">
        <x:v>0</x:v>
      </x:c>
      <x:c r="J125" s="107" t="n">
        <x:v>-7.904606889999999</x:v>
      </x:c>
      <x:c r="K125" s="107" t="n">
        <x:v>-8.33064856</x:v>
      </x:c>
      <x:c r="L125" s="107" t="n">
        <x:v>-8.33064856</x:v>
      </x:c>
      <x:c r="M125" s="107" t="n">
        <x:v>-8.33064856</x:v>
      </x:c>
      <x:c r="N125" s="108"/>
      <x:c r="O125" s="108"/>
      <x:c r="P125" s="108"/>
      <x:c r="Q125" s="9" t="str">
        <x:v>Actual</x:v>
      </x:c>
      <x:c r="R125" s="9" t="n">
        <x:v>2024</x:v>
      </x:c>
      <x:c r="S125" s="9" t="str">
        <x:v>2024-08</x:v>
      </x:c>
    </x:row>
    <x:row r="126" ht="17" customHeight="1">
      <x:c r="A126" s="9" t="str">
        <x:v>2024-09-01</x:v>
      </x:c>
      <x:c r="B126" s="9" t="str">
        <x:v>Customer Success</x:v>
      </x:c>
      <x:c r="C126" s="107" t="n">
        <x:v>1.62003426</x:v>
      </x:c>
      <x:c r="D126" s="107" t="n">
        <x:v>0</x:v>
      </x:c>
      <x:c r="E126" s="107" t="n">
        <x:v>0</x:v>
      </x:c>
      <x:c r="F126" s="107" t="n">
        <x:v>2.84360944</x:v>
      </x:c>
      <x:c r="G126" s="107" t="n">
        <x:v>6.39114262</x:v>
      </x:c>
      <x:c r="H126" s="107" t="n">
        <x:v>0</x:v>
      </x:c>
      <x:c r="I126" s="107" t="n">
        <x:v>4.77110836</x:v>
      </x:c>
      <x:c r="J126" s="107" t="n">
        <x:v>1.9274989200000003</x:v>
      </x:c>
      <x:c r="K126" s="107" t="n">
        <x:v>1.9274989200000003</x:v>
      </x:c>
      <x:c r="L126" s="107" t="n">
        <x:v>1.9274989200000003</x:v>
      </x:c>
      <x:c r="M126" s="107" t="n">
        <x:v>1.9274989200000003</x:v>
      </x:c>
      <x:c r="N126" s="108" t="n">
        <x:v>0.746518837659736</x:v>
      </x:c>
      <x:c r="O126" s="108" t="n">
        <x:v>0.3015890951906187</x:v>
      </x:c>
      <x:c r="P126" s="108" t="n">
        <x:v>0.3015890951906187</x:v>
      </x:c>
      <x:c r="Q126" s="9" t="str">
        <x:v>Actual</x:v>
      </x:c>
      <x:c r="R126" s="9" t="n">
        <x:v>2024</x:v>
      </x:c>
      <x:c r="S126" s="9" t="str">
        <x:v>2024-09</x:v>
      </x:c>
    </x:row>
    <x:row r="127" ht="17" customHeight="1">
      <x:c r="A127" s="9" t="str">
        <x:v>2024-09-01</x:v>
      </x:c>
      <x:c r="B127" s="9" t="str">
        <x:v>Finance &amp; Corporate</x:v>
      </x:c>
      <x:c r="C127" s="107" t="n">
        <x:v>0</x:v>
      </x:c>
      <x:c r="D127" s="107" t="n">
        <x:v>0</x:v>
      </x:c>
      <x:c r="E127" s="107" t="n">
        <x:v>0.4452</x:v>
      </x:c>
      <x:c r="F127" s="107" t="n">
        <x:v>5.81108509</x:v>
      </x:c>
      <x:c r="G127" s="107" t="n">
        <x:v>0</x:v>
      </x:c>
      <x:c r="H127" s="107" t="n">
        <x:v>2.8646115</x:v>
      </x:c>
      <x:c r="I127" s="107" t="n">
        <x:v>0</x:v>
      </x:c>
      <x:c r="J127" s="107" t="n">
        <x:v>-5.81108509</x:v>
      </x:c>
      <x:c r="K127" s="107" t="n">
        <x:v>-5.81108509</x:v>
      </x:c>
      <x:c r="L127" s="107" t="n">
        <x:v>-6.2562850899999995</x:v>
      </x:c>
      <x:c r="M127" s="107" t="n">
        <x:v>-9.12089659</x:v>
      </x:c>
      <x:c r="N127" s="108"/>
      <x:c r="O127" s="108"/>
      <x:c r="P127" s="108"/>
      <x:c r="Q127" s="9" t="str">
        <x:v>Actual</x:v>
      </x:c>
      <x:c r="R127" s="9" t="n">
        <x:v>2024</x:v>
      </x:c>
      <x:c r="S127" s="9" t="str">
        <x:v>2024-09</x:v>
      </x:c>
    </x:row>
    <x:row r="128" ht="17" customHeight="1">
      <x:c r="A128" s="9" t="str">
        <x:v>2024-09-01</x:v>
      </x:c>
      <x:c r="B128" s="9" t="str">
        <x:v>Marketing</x:v>
      </x:c>
      <x:c r="C128" s="107" t="n">
        <x:v>0</x:v>
      </x:c>
      <x:c r="D128" s="107" t="n">
        <x:v>0</x:v>
      </x:c>
      <x:c r="E128" s="107" t="n">
        <x:v>0</x:v>
      </x:c>
      <x:c r="F128" s="107" t="n">
        <x:v>6.16957236</x:v>
      </x:c>
      <x:c r="G128" s="107" t="n">
        <x:v>0</x:v>
      </x:c>
      <x:c r="H128" s="107" t="n">
        <x:v>0</x:v>
      </x:c>
      <x:c r="I128" s="107" t="n">
        <x:v>0</x:v>
      </x:c>
      <x:c r="J128" s="107" t="n">
        <x:v>-6.16957236</x:v>
      </x:c>
      <x:c r="K128" s="107" t="n">
        <x:v>-6.16957236</x:v>
      </x:c>
      <x:c r="L128" s="107" t="n">
        <x:v>-6.16957236</x:v>
      </x:c>
      <x:c r="M128" s="107" t="n">
        <x:v>-6.16957236</x:v>
      </x:c>
      <x:c r="N128" s="108"/>
      <x:c r="O128" s="108"/>
      <x:c r="P128" s="108"/>
      <x:c r="Q128" s="9" t="str">
        <x:v>Actual</x:v>
      </x:c>
      <x:c r="R128" s="9" t="n">
        <x:v>2024</x:v>
      </x:c>
      <x:c r="S128" s="9" t="str">
        <x:v>2024-09</x:v>
      </x:c>
    </x:row>
    <x:row r="129" ht="17" customHeight="1">
      <x:c r="A129" s="9" t="str">
        <x:v>2024-09-01</x:v>
      </x:c>
      <x:c r="B129" s="9" t="str">
        <x:v>Operations</x:v>
      </x:c>
      <x:c r="C129" s="107" t="n">
        <x:v>0</x:v>
      </x:c>
      <x:c r="D129" s="107" t="n">
        <x:v>0</x:v>
      </x:c>
      <x:c r="E129" s="107" t="n">
        <x:v>0</x:v>
      </x:c>
      <x:c r="F129" s="107" t="n">
        <x:v>8.150485739999999</x:v>
      </x:c>
      <x:c r="G129" s="107" t="n">
        <x:v>0</x:v>
      </x:c>
      <x:c r="H129" s="107" t="n">
        <x:v>0</x:v>
      </x:c>
      <x:c r="I129" s="107" t="n">
        <x:v>0</x:v>
      </x:c>
      <x:c r="J129" s="107" t="n">
        <x:v>-8.150485739999999</x:v>
      </x:c>
      <x:c r="K129" s="107" t="n">
        <x:v>-8.150485739999999</x:v>
      </x:c>
      <x:c r="L129" s="107" t="n">
        <x:v>-8.150485739999999</x:v>
      </x:c>
      <x:c r="M129" s="107" t="n">
        <x:v>-8.150485739999999</x:v>
      </x:c>
      <x:c r="N129" s="108"/>
      <x:c r="O129" s="108"/>
      <x:c r="P129" s="108"/>
      <x:c r="Q129" s="9" t="str">
        <x:v>Actual</x:v>
      </x:c>
      <x:c r="R129" s="9" t="n">
        <x:v>2024</x:v>
      </x:c>
      <x:c r="S129" s="9" t="str">
        <x:v>2024-09</x:v>
      </x:c>
    </x:row>
    <x:row r="130" ht="17" customHeight="1">
      <x:c r="A130" s="9" t="str">
        <x:v>2024-09-01</x:v>
      </x:c>
      <x:c r="B130" s="9" t="str">
        <x:v>Sales</x:v>
      </x:c>
      <x:c r="C130" s="107" t="n">
        <x:v>61.55202056</x:v>
      </x:c>
      <x:c r="D130" s="107" t="n">
        <x:v>0.1075</x:v>
      </x:c>
      <x:c r="E130" s="107" t="n">
        <x:v>0</x:v>
      </x:c>
      <x:c r="F130" s="107" t="n">
        <x:v>19.35688519</x:v>
      </x:c>
      <x:c r="G130" s="107" t="n">
        <x:v>119.27531111</x:v>
      </x:c>
      <x:c r="H130" s="107" t="n">
        <x:v>0</x:v>
      </x:c>
      <x:c r="I130" s="107" t="n">
        <x:v>57.723290549999994</x:v>
      </x:c>
      <x:c r="J130" s="107" t="n">
        <x:v>38.36640536</x:v>
      </x:c>
      <x:c r="K130" s="107" t="n">
        <x:v>38.25890536</x:v>
      </x:c>
      <x:c r="L130" s="107" t="n">
        <x:v>38.25890536</x:v>
      </x:c>
      <x:c r="M130" s="107" t="n">
        <x:v>38.25890536</x:v>
      </x:c>
      <x:c r="N130" s="108" t="n">
        <x:v>0.48395003134190523</x:v>
      </x:c>
      <x:c r="O130" s="108" t="n">
        <x:v>0.3216625888706936</x:v>
      </x:c>
      <x:c r="P130" s="108" t="n">
        <x:v>0.32076131266357594</x:v>
      </x:c>
      <x:c r="Q130" s="9" t="str">
        <x:v>Actual</x:v>
      </x:c>
      <x:c r="R130" s="9" t="n">
        <x:v>2024</x:v>
      </x:c>
      <x:c r="S130" s="9" t="str">
        <x:v>2024-09</x:v>
      </x:c>
    </x:row>
    <x:row r="131" ht="17" customHeight="1">
      <x:c r="A131" s="9" t="str">
        <x:v>2024-09-01</x:v>
      </x:c>
      <x:c r="B131" s="9" t="str">
        <x:v>Technology</x:v>
      </x:c>
      <x:c r="C131" s="107" t="n">
        <x:v>0</x:v>
      </x:c>
      <x:c r="D131" s="107" t="n">
        <x:v>0.42604167</x:v>
      </x:c>
      <x:c r="E131" s="107" t="n">
        <x:v>0</x:v>
      </x:c>
      <x:c r="F131" s="107" t="n">
        <x:v>7.72557342</x:v>
      </x:c>
      <x:c r="G131" s="107" t="n">
        <x:v>0</x:v>
      </x:c>
      <x:c r="H131" s="107" t="n">
        <x:v>0</x:v>
      </x:c>
      <x:c r="I131" s="107" t="n">
        <x:v>0</x:v>
      </x:c>
      <x:c r="J131" s="107" t="n">
        <x:v>-7.72557342</x:v>
      </x:c>
      <x:c r="K131" s="107" t="n">
        <x:v>-8.15161509</x:v>
      </x:c>
      <x:c r="L131" s="107" t="n">
        <x:v>-8.15161509</x:v>
      </x:c>
      <x:c r="M131" s="107" t="n">
        <x:v>-8.15161509</x:v>
      </x:c>
      <x:c r="N131" s="108"/>
      <x:c r="O131" s="108"/>
      <x:c r="P131" s="108"/>
      <x:c r="Q131" s="9" t="str">
        <x:v>Actual</x:v>
      </x:c>
      <x:c r="R131" s="9" t="n">
        <x:v>2024</x:v>
      </x:c>
      <x:c r="S131" s="9" t="str">
        <x:v>2024-09</x:v>
      </x:c>
    </x:row>
    <x:row r="132" ht="17" customHeight="1">
      <x:c r="A132" s="9" t="str">
        <x:v>2024-10-01</x:v>
      </x:c>
      <x:c r="B132" s="9" t="str">
        <x:v>Customer Success</x:v>
      </x:c>
      <x:c r="C132" s="107" t="n">
        <x:v>1.6377198</x:v>
      </x:c>
      <x:c r="D132" s="107" t="n">
        <x:v>0</x:v>
      </x:c>
      <x:c r="E132" s="107" t="n">
        <x:v>0</x:v>
      </x:c>
      <x:c r="F132" s="107" t="n">
        <x:v>2.84612294</x:v>
      </x:c>
      <x:c r="G132" s="107" t="n">
        <x:v>6.50484659</x:v>
      </x:c>
      <x:c r="H132" s="107" t="n">
        <x:v>0</x:v>
      </x:c>
      <x:c r="I132" s="107" t="n">
        <x:v>4.86712679</x:v>
      </x:c>
      <x:c r="J132" s="107" t="n">
        <x:v>2.02100385</x:v>
      </x:c>
      <x:c r="K132" s="107" t="n">
        <x:v>2.02100385</x:v>
      </x:c>
      <x:c r="L132" s="107" t="n">
        <x:v>2.02100385</x:v>
      </x:c>
      <x:c r="M132" s="107" t="n">
        <x:v>2.02100385</x:v>
      </x:c>
      <x:c r="N132" s="108" t="n">
        <x:v>0.748230834141778</x:v>
      </x:c>
      <x:c r="O132" s="108" t="n">
        <x:v>0.3106920081876981</x:v>
      </x:c>
      <x:c r="P132" s="108" t="n">
        <x:v>0.3106920081876981</x:v>
      </x:c>
      <x:c r="Q132" s="9" t="str">
        <x:v>Actual</x:v>
      </x:c>
      <x:c r="R132" s="9" t="n">
        <x:v>2024</x:v>
      </x:c>
      <x:c r="S132" s="9" t="str">
        <x:v>2024-10</x:v>
      </x:c>
    </x:row>
    <x:row r="133" ht="17" customHeight="1">
      <x:c r="A133" s="9" t="str">
        <x:v>2024-10-01</x:v>
      </x:c>
      <x:c r="B133" s="9" t="str">
        <x:v>Finance &amp; Corporate</x:v>
      </x:c>
      <x:c r="C133" s="107" t="n">
        <x:v>0</x:v>
      </x:c>
      <x:c r="D133" s="107" t="n">
        <x:v>0</x:v>
      </x:c>
      <x:c r="E133" s="107" t="n">
        <x:v>0.4452</x:v>
      </x:c>
      <x:c r="F133" s="107" t="n">
        <x:v>5.66556293</x:v>
      </x:c>
      <x:c r="G133" s="107" t="n">
        <x:v>0</x:v>
      </x:c>
      <x:c r="H133" s="107" t="n">
        <x:v>3.2055512999999998</x:v>
      </x:c>
      <x:c r="I133" s="107" t="n">
        <x:v>0</x:v>
      </x:c>
      <x:c r="J133" s="107" t="n">
        <x:v>-5.66556293</x:v>
      </x:c>
      <x:c r="K133" s="107" t="n">
        <x:v>-5.66556293</x:v>
      </x:c>
      <x:c r="L133" s="107" t="n">
        <x:v>-6.11076293</x:v>
      </x:c>
      <x:c r="M133" s="107" t="n">
        <x:v>-9.31631423</x:v>
      </x:c>
      <x:c r="N133" s="108"/>
      <x:c r="O133" s="108"/>
      <x:c r="P133" s="108"/>
      <x:c r="Q133" s="9" t="str">
        <x:v>Actual</x:v>
      </x:c>
      <x:c r="R133" s="9" t="n">
        <x:v>2024</x:v>
      </x:c>
      <x:c r="S133" s="9" t="str">
        <x:v>2024-10</x:v>
      </x:c>
    </x:row>
    <x:row r="134" ht="17" customHeight="1">
      <x:c r="A134" s="9" t="str">
        <x:v>2024-10-01</x:v>
      </x:c>
      <x:c r="B134" s="9" t="str">
        <x:v>Marketing</x:v>
      </x:c>
      <x:c r="C134" s="107" t="n">
        <x:v>0</x:v>
      </x:c>
      <x:c r="D134" s="107" t="n">
        <x:v>0</x:v>
      </x:c>
      <x:c r="E134" s="107" t="n">
        <x:v>0</x:v>
      </x:c>
      <x:c r="F134" s="107" t="n">
        <x:v>6.173026930000001</x:v>
      </x:c>
      <x:c r="G134" s="107" t="n">
        <x:v>0</x:v>
      </x:c>
      <x:c r="H134" s="107" t="n">
        <x:v>0</x:v>
      </x:c>
      <x:c r="I134" s="107" t="n">
        <x:v>0</x:v>
      </x:c>
      <x:c r="J134" s="107" t="n">
        <x:v>-6.173026930000001</x:v>
      </x:c>
      <x:c r="K134" s="107" t="n">
        <x:v>-6.173026930000001</x:v>
      </x:c>
      <x:c r="L134" s="107" t="n">
        <x:v>-6.173026930000001</x:v>
      </x:c>
      <x:c r="M134" s="107" t="n">
        <x:v>-6.173026930000001</x:v>
      </x:c>
      <x:c r="N134" s="108"/>
      <x:c r="O134" s="108"/>
      <x:c r="P134" s="108"/>
      <x:c r="Q134" s="9" t="str">
        <x:v>Actual</x:v>
      </x:c>
      <x:c r="R134" s="9" t="n">
        <x:v>2024</x:v>
      </x:c>
      <x:c r="S134" s="9" t="str">
        <x:v>2024-10</x:v>
      </x:c>
    </x:row>
    <x:row r="135" ht="17" customHeight="1">
      <x:c r="A135" s="9" t="str">
        <x:v>2024-10-01</x:v>
      </x:c>
      <x:c r="B135" s="9" t="str">
        <x:v>Operations</x:v>
      </x:c>
      <x:c r="C135" s="107" t="n">
        <x:v>0</x:v>
      </x:c>
      <x:c r="D135" s="107" t="n">
        <x:v>0</x:v>
      </x:c>
      <x:c r="E135" s="107" t="n">
        <x:v>0</x:v>
      </x:c>
      <x:c r="F135" s="107" t="n">
        <x:v>8.459173230000001</x:v>
      </x:c>
      <x:c r="G135" s="107" t="n">
        <x:v>0</x:v>
      </x:c>
      <x:c r="H135" s="107" t="n">
        <x:v>0</x:v>
      </x:c>
      <x:c r="I135" s="107" t="n">
        <x:v>0</x:v>
      </x:c>
      <x:c r="J135" s="107" t="n">
        <x:v>-8.459173230000001</x:v>
      </x:c>
      <x:c r="K135" s="107" t="n">
        <x:v>-8.459173230000001</x:v>
      </x:c>
      <x:c r="L135" s="107" t="n">
        <x:v>-8.459173230000001</x:v>
      </x:c>
      <x:c r="M135" s="107" t="n">
        <x:v>-8.459173230000001</x:v>
      </x:c>
      <x:c r="N135" s="108"/>
      <x:c r="O135" s="108"/>
      <x:c r="P135" s="108"/>
      <x:c r="Q135" s="9" t="str">
        <x:v>Actual</x:v>
      </x:c>
      <x:c r="R135" s="9" t="n">
        <x:v>2024</x:v>
      </x:c>
      <x:c r="S135" s="9" t="str">
        <x:v>2024-10</x:v>
      </x:c>
    </x:row>
    <x:row r="136" ht="17" customHeight="1">
      <x:c r="A136" s="9" t="str">
        <x:v>2024-10-01</x:v>
      </x:c>
      <x:c r="B136" s="9" t="str">
        <x:v>Sales</x:v>
      </x:c>
      <x:c r="C136" s="107" t="n">
        <x:v>63.1279297</x:v>
      </x:c>
      <x:c r="D136" s="107" t="n">
        <x:v>0.1075</x:v>
      </x:c>
      <x:c r="E136" s="107" t="n">
        <x:v>0</x:v>
      </x:c>
      <x:c r="F136" s="107" t="n">
        <x:v>19.75951625</x:v>
      </x:c>
      <x:c r="G136" s="107" t="n">
        <x:v>122.94443402</x:v>
      </x:c>
      <x:c r="H136" s="107" t="n">
        <x:v>0</x:v>
      </x:c>
      <x:c r="I136" s="107" t="n">
        <x:v>59.81650431999999</x:v>
      </x:c>
      <x:c r="J136" s="107" t="n">
        <x:v>40.056988069999996</x:v>
      </x:c>
      <x:c r="K136" s="107" t="n">
        <x:v>39.949488069999994</x:v>
      </x:c>
      <x:c r="L136" s="107" t="n">
        <x:v>39.949488069999994</x:v>
      </x:c>
      <x:c r="M136" s="107" t="n">
        <x:v>39.949488069999994</x:v>
      </x:c>
      <x:c r="N136" s="108" t="n">
        <x:v>0.48653283734885744</x:v>
      </x:c>
      <x:c r="O136" s="108" t="n">
        <x:v>0.3258137579736527</x:v>
      </x:c>
      <x:c r="P136" s="108" t="n">
        <x:v>0.32493937922802757</x:v>
      </x:c>
      <x:c r="Q136" s="9" t="str">
        <x:v>Actual</x:v>
      </x:c>
      <x:c r="R136" s="9" t="n">
        <x:v>2024</x:v>
      </x:c>
      <x:c r="S136" s="9" t="str">
        <x:v>2024-10</x:v>
      </x:c>
    </x:row>
    <x:row r="137" ht="17" customHeight="1">
      <x:c r="A137" s="9" t="str">
        <x:v>2024-10-01</x:v>
      </x:c>
      <x:c r="B137" s="9" t="str">
        <x:v>Technology</x:v>
      </x:c>
      <x:c r="C137" s="107" t="n">
        <x:v>0</x:v>
      </x:c>
      <x:c r="D137" s="107" t="n">
        <x:v>0.42604167</x:v>
      </x:c>
      <x:c r="E137" s="107" t="n">
        <x:v>0</x:v>
      </x:c>
      <x:c r="F137" s="107" t="n">
        <x:v>7.979281960000001</x:v>
      </x:c>
      <x:c r="G137" s="107" t="n">
        <x:v>0</x:v>
      </x:c>
      <x:c r="H137" s="107" t="n">
        <x:v>0</x:v>
      </x:c>
      <x:c r="I137" s="107" t="n">
        <x:v>0</x:v>
      </x:c>
      <x:c r="J137" s="107" t="n">
        <x:v>-7.979281960000001</x:v>
      </x:c>
      <x:c r="K137" s="107" t="n">
        <x:v>-8.405323630000002</x:v>
      </x:c>
      <x:c r="L137" s="107" t="n">
        <x:v>-8.405323630000002</x:v>
      </x:c>
      <x:c r="M137" s="107" t="n">
        <x:v>-8.405323630000002</x:v>
      </x:c>
      <x:c r="N137" s="108"/>
      <x:c r="O137" s="108"/>
      <x:c r="P137" s="108"/>
      <x:c r="Q137" s="9" t="str">
        <x:v>Actual</x:v>
      </x:c>
      <x:c r="R137" s="9" t="n">
        <x:v>2024</x:v>
      </x:c>
      <x:c r="S137" s="9" t="str">
        <x:v>2024-10</x:v>
      </x:c>
    </x:row>
    <x:row r="138" ht="17" customHeight="1">
      <x:c r="A138" s="9" t="str">
        <x:v>2024-11-01</x:v>
      </x:c>
      <x:c r="B138" s="9" t="str">
        <x:v>Customer Success</x:v>
      </x:c>
      <x:c r="C138" s="107" t="n">
        <x:v>1.6109914</x:v>
      </x:c>
      <x:c r="D138" s="107" t="n">
        <x:v>0</x:v>
      </x:c>
      <x:c r="E138" s="107" t="n">
        <x:v>0</x:v>
      </x:c>
      <x:c r="F138" s="107" t="n">
        <x:v>2.86401364</x:v>
      </x:c>
      <x:c r="G138" s="107" t="n">
        <x:v>6.35196655</x:v>
      </x:c>
      <x:c r="H138" s="107" t="n">
        <x:v>0</x:v>
      </x:c>
      <x:c r="I138" s="107" t="n">
        <x:v>4.74097515</x:v>
      </x:c>
      <x:c r="J138" s="107" t="n">
        <x:v>1.8769615099999992</x:v>
      </x:c>
      <x:c r="K138" s="107" t="n">
        <x:v>1.8769615099999992</x:v>
      </x:c>
      <x:c r="L138" s="107" t="n">
        <x:v>1.8769615099999992</x:v>
      </x:c>
      <x:c r="M138" s="107" t="n">
        <x:v>1.8769615099999992</x:v>
      </x:c>
      <x:c r="N138" s="108" t="n">
        <x:v>0.7463791115209824</x:v>
      </x:c>
      <x:c r="O138" s="108" t="n">
        <x:v>0.2954929776826358</x:v>
      </x:c>
      <x:c r="P138" s="108" t="n">
        <x:v>0.2954929776826358</x:v>
      </x:c>
      <x:c r="Q138" s="9" t="str">
        <x:v>Actual</x:v>
      </x:c>
      <x:c r="R138" s="9" t="n">
        <x:v>2024</x:v>
      </x:c>
      <x:c r="S138" s="9" t="str">
        <x:v>2024-11</x:v>
      </x:c>
    </x:row>
    <x:row r="139" ht="17" customHeight="1">
      <x:c r="A139" s="9" t="str">
        <x:v>2024-11-01</x:v>
      </x:c>
      <x:c r="B139" s="9" t="str">
        <x:v>Finance &amp; Corporate</x:v>
      </x:c>
      <x:c r="C139" s="107" t="n">
        <x:v>0</x:v>
      </x:c>
      <x:c r="D139" s="107" t="n">
        <x:v>0</x:v>
      </x:c>
      <x:c r="E139" s="107" t="n">
        <x:v>0.4452</x:v>
      </x:c>
      <x:c r="F139" s="107" t="n">
        <x:v>5.8010325400000005</x:v>
      </x:c>
      <x:c r="G139" s="107" t="n">
        <x:v>0</x:v>
      </x:c>
      <x:c r="H139" s="107" t="n">
        <x:v>3.76625391</x:v>
      </x:c>
      <x:c r="I139" s="107" t="n">
        <x:v>0</x:v>
      </x:c>
      <x:c r="J139" s="107" t="n">
        <x:v>-5.8010325400000005</x:v>
      </x:c>
      <x:c r="K139" s="107" t="n">
        <x:v>-5.8010325400000005</x:v>
      </x:c>
      <x:c r="L139" s="107" t="n">
        <x:v>-6.24623254</x:v>
      </x:c>
      <x:c r="M139" s="107" t="n">
        <x:v>-10.012486449999999</x:v>
      </x:c>
      <x:c r="N139" s="108"/>
      <x:c r="O139" s="108"/>
      <x:c r="P139" s="108"/>
      <x:c r="Q139" s="9" t="str">
        <x:v>Actual</x:v>
      </x:c>
      <x:c r="R139" s="9" t="n">
        <x:v>2024</x:v>
      </x:c>
      <x:c r="S139" s="9" t="str">
        <x:v>2024-11</x:v>
      </x:c>
    </x:row>
    <x:row r="140" ht="17" customHeight="1">
      <x:c r="A140" s="9" t="str">
        <x:v>2024-11-01</x:v>
      </x:c>
      <x:c r="B140" s="9" t="str">
        <x:v>Marketing</x:v>
      </x:c>
      <x:c r="C140" s="107" t="n">
        <x:v>0</x:v>
      </x:c>
      <x:c r="D140" s="107" t="n">
        <x:v>0</x:v>
      </x:c>
      <x:c r="E140" s="107" t="n">
        <x:v>0</x:v>
      </x:c>
      <x:c r="F140" s="107" t="n">
        <x:v>6.15660617</x:v>
      </x:c>
      <x:c r="G140" s="107" t="n">
        <x:v>0</x:v>
      </x:c>
      <x:c r="H140" s="107" t="n">
        <x:v>0</x:v>
      </x:c>
      <x:c r="I140" s="107" t="n">
        <x:v>0</x:v>
      </x:c>
      <x:c r="J140" s="107" t="n">
        <x:v>-6.15660617</x:v>
      </x:c>
      <x:c r="K140" s="107" t="n">
        <x:v>-6.15660617</x:v>
      </x:c>
      <x:c r="L140" s="107" t="n">
        <x:v>-6.15660617</x:v>
      </x:c>
      <x:c r="M140" s="107" t="n">
        <x:v>-6.15660617</x:v>
      </x:c>
      <x:c r="N140" s="108"/>
      <x:c r="O140" s="108"/>
      <x:c r="P140" s="108"/>
      <x:c r="Q140" s="9" t="str">
        <x:v>Actual</x:v>
      </x:c>
      <x:c r="R140" s="9" t="n">
        <x:v>2024</x:v>
      </x:c>
      <x:c r="S140" s="9" t="str">
        <x:v>2024-11</x:v>
      </x:c>
    </x:row>
    <x:row r="141" ht="17" customHeight="1">
      <x:c r="A141" s="9" t="str">
        <x:v>2024-11-01</x:v>
      </x:c>
      <x:c r="B141" s="9" t="str">
        <x:v>Operations</x:v>
      </x:c>
      <x:c r="C141" s="107" t="n">
        <x:v>0</x:v>
      </x:c>
      <x:c r="D141" s="107" t="n">
        <x:v>0.22083333</x:v>
      </x:c>
      <x:c r="E141" s="107" t="n">
        <x:v>0</x:v>
      </x:c>
      <x:c r="F141" s="107" t="n">
        <x:v>8.661698869999999</x:v>
      </x:c>
      <x:c r="G141" s="107" t="n">
        <x:v>0</x:v>
      </x:c>
      <x:c r="H141" s="107" t="n">
        <x:v>0</x:v>
      </x:c>
      <x:c r="I141" s="107" t="n">
        <x:v>0</x:v>
      </x:c>
      <x:c r="J141" s="107" t="n">
        <x:v>-8.661698869999999</x:v>
      </x:c>
      <x:c r="K141" s="107" t="n">
        <x:v>-8.8825322</x:v>
      </x:c>
      <x:c r="L141" s="107" t="n">
        <x:v>-8.8825322</x:v>
      </x:c>
      <x:c r="M141" s="107" t="n">
        <x:v>-8.8825322</x:v>
      </x:c>
      <x:c r="N141" s="108"/>
      <x:c r="O141" s="108"/>
      <x:c r="P141" s="108"/>
      <x:c r="Q141" s="9" t="str">
        <x:v>Actual</x:v>
      </x:c>
      <x:c r="R141" s="9" t="n">
        <x:v>2024</x:v>
      </x:c>
      <x:c r="S141" s="9" t="str">
        <x:v>2024-11</x:v>
      </x:c>
    </x:row>
    <x:row r="142" ht="17" customHeight="1">
      <x:c r="A142" s="9" t="str">
        <x:v>2024-11-01</x:v>
      </x:c>
      <x:c r="B142" s="9" t="str">
        <x:v>Sales</x:v>
      </x:c>
      <x:c r="C142" s="107" t="n">
        <x:v>65.72208796</x:v>
      </x:c>
      <x:c r="D142" s="107" t="n">
        <x:v>0.1075</x:v>
      </x:c>
      <x:c r="E142" s="107" t="n">
        <x:v>0</x:v>
      </x:c>
      <x:c r="F142" s="107" t="n">
        <x:v>20.386425640000002</x:v>
      </x:c>
      <x:c r="G142" s="107" t="n">
        <x:v>128.89761404</x:v>
      </x:c>
      <x:c r="H142" s="107" t="n">
        <x:v>0</x:v>
      </x:c>
      <x:c r="I142" s="107" t="n">
        <x:v>63.175526080000004</x:v>
      </x:c>
      <x:c r="J142" s="107" t="n">
        <x:v>42.789100440000006</x:v>
      </x:c>
      <x:c r="K142" s="107" t="n">
        <x:v>42.681600440000004</x:v>
      </x:c>
      <x:c r="L142" s="107" t="n">
        <x:v>42.681600440000004</x:v>
      </x:c>
      <x:c r="M142" s="107" t="n">
        <x:v>42.681600440000004</x:v>
      </x:c>
      <x:c r="N142" s="108" t="n">
        <x:v>0.4901217648636625</x:v>
      </x:c>
      <x:c r="O142" s="108" t="n">
        <x:v>0.3319619277570299</x:v>
      </x:c>
      <x:c r="P142" s="108" t="n">
        <x:v>0.3311279324903166</x:v>
      </x:c>
      <x:c r="Q142" s="9" t="str">
        <x:v>Actual</x:v>
      </x:c>
      <x:c r="R142" s="9" t="n">
        <x:v>2024</x:v>
      </x:c>
      <x:c r="S142" s="9" t="str">
        <x:v>2024-11</x:v>
      </x:c>
    </x:row>
    <x:row r="143" ht="17" customHeight="1">
      <x:c r="A143" s="9" t="str">
        <x:v>2024-11-01</x:v>
      </x:c>
      <x:c r="B143" s="9" t="str">
        <x:v>Technology</x:v>
      </x:c>
      <x:c r="C143" s="107" t="n">
        <x:v>0</x:v>
      </x:c>
      <x:c r="D143" s="107" t="n">
        <x:v>0.42604167</x:v>
      </x:c>
      <x:c r="E143" s="107" t="n">
        <x:v>0</x:v>
      </x:c>
      <x:c r="F143" s="107" t="n">
        <x:v>7.78213372</x:v>
      </x:c>
      <x:c r="G143" s="107" t="n">
        <x:v>0</x:v>
      </x:c>
      <x:c r="H143" s="107" t="n">
        <x:v>0</x:v>
      </x:c>
      <x:c r="I143" s="107" t="n">
        <x:v>0</x:v>
      </x:c>
      <x:c r="J143" s="107" t="n">
        <x:v>-7.78213372</x:v>
      </x:c>
      <x:c r="K143" s="107" t="n">
        <x:v>-8.20817539</x:v>
      </x:c>
      <x:c r="L143" s="107" t="n">
        <x:v>-8.20817539</x:v>
      </x:c>
      <x:c r="M143" s="107" t="n">
        <x:v>-8.20817539</x:v>
      </x:c>
      <x:c r="N143" s="108"/>
      <x:c r="O143" s="108"/>
      <x:c r="P143" s="108"/>
      <x:c r="Q143" s="9" t="str">
        <x:v>Actual</x:v>
      </x:c>
      <x:c r="R143" s="9" t="n">
        <x:v>2024</x:v>
      </x:c>
      <x:c r="S143" s="9" t="str">
        <x:v>2024-11</x:v>
      </x:c>
    </x:row>
    <x:row r="144" ht="17" customHeight="1">
      <x:c r="A144" s="9" t="str">
        <x:v>2024-12-01</x:v>
      </x:c>
      <x:c r="B144" s="9" t="str">
        <x:v>Customer Success</x:v>
      </x:c>
      <x:c r="C144" s="107" t="n">
        <x:v>1.68121205</x:v>
      </x:c>
      <x:c r="D144" s="107" t="n">
        <x:v>0</x:v>
      </x:c>
      <x:c r="E144" s="107" t="n">
        <x:v>0</x:v>
      </x:c>
      <x:c r="F144" s="107" t="n">
        <x:v>2.8695900699999997</x:v>
      </x:c>
      <x:c r="G144" s="107" t="n">
        <x:v>6.669692469999999</x:v>
      </x:c>
      <x:c r="H144" s="107" t="n">
        <x:v>0</x:v>
      </x:c>
      <x:c r="I144" s="107" t="n">
        <x:v>4.98848042</x:v>
      </x:c>
      <x:c r="J144" s="107" t="n">
        <x:v>2.11889035</x:v>
      </x:c>
      <x:c r="K144" s="107" t="n">
        <x:v>2.11889035</x:v>
      </x:c>
      <x:c r="L144" s="107" t="n">
        <x:v>2.11889035</x:v>
      </x:c>
      <x:c r="M144" s="107" t="n">
        <x:v>2.11889035</x:v>
      </x:c>
      <x:c r="N144" s="108" t="n">
        <x:v>0.7479325984575718</x:v>
      </x:c>
      <x:c r="O144" s="108" t="n">
        <x:v>0.31768936267012027</x:v>
      </x:c>
      <x:c r="P144" s="108" t="n">
        <x:v>0.31768936267012027</x:v>
      </x:c>
      <x:c r="Q144" s="9" t="str">
        <x:v>Actual</x:v>
      </x:c>
      <x:c r="R144" s="9" t="n">
        <x:v>2024</x:v>
      </x:c>
      <x:c r="S144" s="9" t="str">
        <x:v>2024-12</x:v>
      </x:c>
    </x:row>
    <x:row r="145" ht="17" customHeight="1">
      <x:c r="A145" s="9" t="str">
        <x:v>2024-12-01</x:v>
      </x:c>
      <x:c r="B145" s="9" t="str">
        <x:v>Finance &amp; Corporate</x:v>
      </x:c>
      <x:c r="C145" s="107" t="n">
        <x:v>0</x:v>
      </x:c>
      <x:c r="D145" s="107" t="n">
        <x:v>0</x:v>
      </x:c>
      <x:c r="E145" s="107" t="n">
        <x:v>0.4452</x:v>
      </x:c>
      <x:c r="F145" s="107" t="n">
        <x:v>5.9365707599999995</x:v>
      </x:c>
      <x:c r="G145" s="107" t="n">
        <x:v>0</x:v>
      </x:c>
      <x:c r="H145" s="107" t="n">
        <x:v>5.198952429999999</x:v>
      </x:c>
      <x:c r="I145" s="107" t="n">
        <x:v>0</x:v>
      </x:c>
      <x:c r="J145" s="107" t="n">
        <x:v>-5.9365707599999995</x:v>
      </x:c>
      <x:c r="K145" s="107" t="n">
        <x:v>-5.9365707599999995</x:v>
      </x:c>
      <x:c r="L145" s="107" t="n">
        <x:v>-6.38177076</x:v>
      </x:c>
      <x:c r="M145" s="107" t="n">
        <x:v>-11.580723189999999</x:v>
      </x:c>
      <x:c r="N145" s="108"/>
      <x:c r="O145" s="108"/>
      <x:c r="P145" s="108"/>
      <x:c r="Q145" s="9" t="str">
        <x:v>Actual</x:v>
      </x:c>
      <x:c r="R145" s="9" t="n">
        <x:v>2024</x:v>
      </x:c>
      <x:c r="S145" s="9" t="str">
        <x:v>2024-12</x:v>
      </x:c>
    </x:row>
    <x:row r="146" ht="17" customHeight="1">
      <x:c r="A146" s="9" t="str">
        <x:v>2024-12-01</x:v>
      </x:c>
      <x:c r="B146" s="9" t="str">
        <x:v>Marketing</x:v>
      </x:c>
      <x:c r="C146" s="107" t="n">
        <x:v>0</x:v>
      </x:c>
      <x:c r="D146" s="107" t="n">
        <x:v>0</x:v>
      </x:c>
      <x:c r="E146" s="107" t="n">
        <x:v>0</x:v>
      </x:c>
      <x:c r="F146" s="107" t="n">
        <x:v>6.21682221</x:v>
      </x:c>
      <x:c r="G146" s="107" t="n">
        <x:v>0</x:v>
      </x:c>
      <x:c r="H146" s="107" t="n">
        <x:v>0</x:v>
      </x:c>
      <x:c r="I146" s="107" t="n">
        <x:v>0</x:v>
      </x:c>
      <x:c r="J146" s="107" t="n">
        <x:v>-6.21682221</x:v>
      </x:c>
      <x:c r="K146" s="107" t="n">
        <x:v>-6.21682221</x:v>
      </x:c>
      <x:c r="L146" s="107" t="n">
        <x:v>-6.21682221</x:v>
      </x:c>
      <x:c r="M146" s="107" t="n">
        <x:v>-6.21682221</x:v>
      </x:c>
      <x:c r="N146" s="108"/>
      <x:c r="O146" s="108"/>
      <x:c r="P146" s="108"/>
      <x:c r="Q146" s="9" t="str">
        <x:v>Actual</x:v>
      </x:c>
      <x:c r="R146" s="9" t="n">
        <x:v>2024</x:v>
      </x:c>
      <x:c r="S146" s="9" t="str">
        <x:v>2024-12</x:v>
      </x:c>
    </x:row>
    <x:row r="147" ht="17" customHeight="1">
      <x:c r="A147" s="9" t="str">
        <x:v>2024-12-01</x:v>
      </x:c>
      <x:c r="B147" s="9" t="str">
        <x:v>Operations</x:v>
      </x:c>
      <x:c r="C147" s="107" t="n">
        <x:v>0</x:v>
      </x:c>
      <x:c r="D147" s="107" t="n">
        <x:v>0.22083333</x:v>
      </x:c>
      <x:c r="E147" s="107" t="n">
        <x:v>0</x:v>
      </x:c>
      <x:c r="F147" s="107" t="n">
        <x:v>8.67818517</x:v>
      </x:c>
      <x:c r="G147" s="107" t="n">
        <x:v>0</x:v>
      </x:c>
      <x:c r="H147" s="107" t="n">
        <x:v>0</x:v>
      </x:c>
      <x:c r="I147" s="107" t="n">
        <x:v>0</x:v>
      </x:c>
      <x:c r="J147" s="107" t="n">
        <x:v>-8.67818517</x:v>
      </x:c>
      <x:c r="K147" s="107" t="n">
        <x:v>-8.8990185</x:v>
      </x:c>
      <x:c r="L147" s="107" t="n">
        <x:v>-8.8990185</x:v>
      </x:c>
      <x:c r="M147" s="107" t="n">
        <x:v>-8.8990185</x:v>
      </x:c>
      <x:c r="N147" s="108"/>
      <x:c r="O147" s="108"/>
      <x:c r="P147" s="108"/>
      <x:c r="Q147" s="9" t="str">
        <x:v>Actual</x:v>
      </x:c>
      <x:c r="R147" s="9" t="n">
        <x:v>2024</x:v>
      </x:c>
      <x:c r="S147" s="9" t="str">
        <x:v>2024-12</x:v>
      </x:c>
    </x:row>
    <x:row r="148" ht="17" customHeight="1">
      <x:c r="A148" s="9" t="str">
        <x:v>2024-12-01</x:v>
      </x:c>
      <x:c r="B148" s="9" t="str">
        <x:v>Sales</x:v>
      </x:c>
      <x:c r="C148" s="107" t="n">
        <x:v>71.01685272</x:v>
      </x:c>
      <x:c r="D148" s="107" t="n">
        <x:v>0.1075</x:v>
      </x:c>
      <x:c r="E148" s="107" t="n">
        <x:v>0</x:v>
      </x:c>
      <x:c r="F148" s="107" t="n">
        <x:v>21.4297397</x:v>
      </x:c>
      <x:c r="G148" s="107" t="n">
        <x:v>141.33461944</x:v>
      </x:c>
      <x:c r="H148" s="107" t="n">
        <x:v>0</x:v>
      </x:c>
      <x:c r="I148" s="107" t="n">
        <x:v>70.31776672</x:v>
      </x:c>
      <x:c r="J148" s="107" t="n">
        <x:v>48.888027019999996</x:v>
      </x:c>
      <x:c r="K148" s="107" t="n">
        <x:v>48.780527019999994</x:v>
      </x:c>
      <x:c r="L148" s="107" t="n">
        <x:v>48.780527019999994</x:v>
      </x:c>
      <x:c r="M148" s="107" t="n">
        <x:v>48.780527019999994</x:v>
      </x:c>
      <x:c r="N148" s="108" t="n">
        <x:v>0.49752684090150756</x:v>
      </x:c>
      <x:c r="O148" s="108" t="n">
        <x:v>0.34590270390726285</x:v>
      </x:c>
      <x:c r="P148" s="108" t="n">
        <x:v>0.3451420976210894</x:v>
      </x:c>
      <x:c r="Q148" s="9" t="str">
        <x:v>Actual</x:v>
      </x:c>
      <x:c r="R148" s="9" t="n">
        <x:v>2024</x:v>
      </x:c>
      <x:c r="S148" s="9" t="str">
        <x:v>2024-12</x:v>
      </x:c>
    </x:row>
    <x:row r="149" ht="17" customHeight="1">
      <x:c r="A149" s="9" t="str">
        <x:v>2024-12-01</x:v>
      </x:c>
      <x:c r="B149" s="9" t="str">
        <x:v>Technology</x:v>
      </x:c>
      <x:c r="C149" s="107" t="n">
        <x:v>0</x:v>
      </x:c>
      <x:c r="D149" s="107" t="n">
        <x:v>0.42604167</x:v>
      </x:c>
      <x:c r="E149" s="107" t="n">
        <x:v>0</x:v>
      </x:c>
      <x:c r="F149" s="107" t="n">
        <x:v>8.1799545</x:v>
      </x:c>
      <x:c r="G149" s="107" t="n">
        <x:v>0</x:v>
      </x:c>
      <x:c r="H149" s="107" t="n">
        <x:v>0</x:v>
      </x:c>
      <x:c r="I149" s="107" t="n">
        <x:v>0</x:v>
      </x:c>
      <x:c r="J149" s="107" t="n">
        <x:v>-8.1799545</x:v>
      </x:c>
      <x:c r="K149" s="107" t="n">
        <x:v>-8.60599617</x:v>
      </x:c>
      <x:c r="L149" s="107" t="n">
        <x:v>-8.60599617</x:v>
      </x:c>
      <x:c r="M149" s="107" t="n">
        <x:v>-8.60599617</x:v>
      </x:c>
      <x:c r="N149" s="108"/>
      <x:c r="O149" s="108"/>
      <x:c r="P149" s="108"/>
      <x:c r="Q149" s="9" t="str">
        <x:v>Actual</x:v>
      </x:c>
      <x:c r="R149" s="9" t="n">
        <x:v>2024</x:v>
      </x:c>
      <x:c r="S149" s="9" t="str">
        <x:v>2024-12</x:v>
      </x:c>
    </x:row>
    <x:row r="150" ht="17" customHeight="1">
      <x:c r="A150" s="9" t="str">
        <x:v>2025-01-01</x:v>
      </x:c>
      <x:c r="B150" s="9" t="str">
        <x:v>Customer Success</x:v>
      </x:c>
      <x:c r="C150" s="107" t="n">
        <x:v>1.56651254</x:v>
      </x:c>
      <x:c r="D150" s="107" t="n">
        <x:v>0</x:v>
      </x:c>
      <x:c r="E150" s="107" t="n">
        <x:v>0</x:v>
      </x:c>
      <x:c r="F150" s="107" t="n">
        <x:v>2.91815898</x:v>
      </x:c>
      <x:c r="G150" s="107" t="n">
        <x:v>6.1516091500000005</x:v>
      </x:c>
      <x:c r="H150" s="107" t="n">
        <x:v>0</x:v>
      </x:c>
      <x:c r="I150" s="107" t="n">
        <x:v>4.58509661</x:v>
      </x:c>
      <x:c r="J150" s="107" t="n">
        <x:v>1.6669376300000003</x:v>
      </x:c>
      <x:c r="K150" s="107" t="n">
        <x:v>1.6669376300000003</x:v>
      </x:c>
      <x:c r="L150" s="107" t="n">
        <x:v>1.6669376300000003</x:v>
      </x:c>
      <x:c r="M150" s="107" t="n">
        <x:v>1.6669376300000003</x:v>
      </x:c>
      <x:c r="N150" s="108" t="n">
        <x:v>0.7453491433213049</x:v>
      </x:c>
      <x:c r="O150" s="108" t="n">
        <x:v>0.2709758681596343</x:v>
      </x:c>
      <x:c r="P150" s="108" t="n">
        <x:v>0.2709758681596343</x:v>
      </x:c>
      <x:c r="Q150" s="9" t="str">
        <x:v>Actual</x:v>
      </x:c>
      <x:c r="R150" s="9" t="n">
        <x:v>2025</x:v>
      </x:c>
      <x:c r="S150" s="9" t="str">
        <x:v>2025-01</x:v>
      </x:c>
    </x:row>
    <x:row r="151" ht="17" customHeight="1">
      <x:c r="A151" s="9" t="str">
        <x:v>2025-01-01</x:v>
      </x:c>
      <x:c r="B151" s="9" t="str">
        <x:v>Finance &amp; Corporate</x:v>
      </x:c>
      <x:c r="C151" s="107" t="n">
        <x:v>0</x:v>
      </x:c>
      <x:c r="D151" s="107" t="n">
        <x:v>0</x:v>
      </x:c>
      <x:c r="E151" s="107" t="n">
        <x:v>0.471912</x:v>
      </x:c>
      <x:c r="F151" s="107" t="n">
        <x:v>6.10693874</x:v>
      </x:c>
      <x:c r="G151" s="107" t="n">
        <x:v>0</x:v>
      </x:c>
      <x:c r="H151" s="107" t="n">
        <x:v>0.41991926</x:v>
      </x:c>
      <x:c r="I151" s="107" t="n">
        <x:v>0</x:v>
      </x:c>
      <x:c r="J151" s="107" t="n">
        <x:v>-6.10693874</x:v>
      </x:c>
      <x:c r="K151" s="107" t="n">
        <x:v>-6.10693874</x:v>
      </x:c>
      <x:c r="L151" s="107" t="n">
        <x:v>-6.57885074</x:v>
      </x:c>
      <x:c r="M151" s="107" t="n">
        <x:v>-6.99877</x:v>
      </x:c>
      <x:c r="N151" s="108"/>
      <x:c r="O151" s="108"/>
      <x:c r="P151" s="108"/>
      <x:c r="Q151" s="9" t="str">
        <x:v>Actual</x:v>
      </x:c>
      <x:c r="R151" s="9" t="n">
        <x:v>2025</x:v>
      </x:c>
      <x:c r="S151" s="9" t="str">
        <x:v>2025-01</x:v>
      </x:c>
    </x:row>
    <x:row r="152" ht="17" customHeight="1">
      <x:c r="A152" s="9" t="str">
        <x:v>2025-01-01</x:v>
      </x:c>
      <x:c r="B152" s="9" t="str">
        <x:v>Marketing</x:v>
      </x:c>
      <x:c r="C152" s="107" t="n">
        <x:v>0</x:v>
      </x:c>
      <x:c r="D152" s="107" t="n">
        <x:v>0</x:v>
      </x:c>
      <x:c r="E152" s="107" t="n">
        <x:v>0</x:v>
      </x:c>
      <x:c r="F152" s="107" t="n">
        <x:v>6.49902912</x:v>
      </x:c>
      <x:c r="G152" s="107" t="n">
        <x:v>0</x:v>
      </x:c>
      <x:c r="H152" s="107" t="n">
        <x:v>0</x:v>
      </x:c>
      <x:c r="I152" s="107" t="n">
        <x:v>0</x:v>
      </x:c>
      <x:c r="J152" s="107" t="n">
        <x:v>-6.49902912</x:v>
      </x:c>
      <x:c r="K152" s="107" t="n">
        <x:v>-6.49902912</x:v>
      </x:c>
      <x:c r="L152" s="107" t="n">
        <x:v>-6.49902912</x:v>
      </x:c>
      <x:c r="M152" s="107" t="n">
        <x:v>-6.49902912</x:v>
      </x:c>
      <x:c r="N152" s="108"/>
      <x:c r="O152" s="108"/>
      <x:c r="P152" s="108"/>
      <x:c r="Q152" s="9" t="str">
        <x:v>Actual</x:v>
      </x:c>
      <x:c r="R152" s="9" t="n">
        <x:v>2025</x:v>
      </x:c>
      <x:c r="S152" s="9" t="str">
        <x:v>2025-01</x:v>
      </x:c>
    </x:row>
    <x:row r="153" ht="17" customHeight="1">
      <x:c r="A153" s="9" t="str">
        <x:v>2025-01-01</x:v>
      </x:c>
      <x:c r="B153" s="9" t="str">
        <x:v>Operations</x:v>
      </x:c>
      <x:c r="C153" s="107" t="n">
        <x:v>0</x:v>
      </x:c>
      <x:c r="D153" s="107" t="n">
        <x:v>0.22083333</x:v>
      </x:c>
      <x:c r="E153" s="107" t="n">
        <x:v>0</x:v>
      </x:c>
      <x:c r="F153" s="107" t="n">
        <x:v>8.93968896</x:v>
      </x:c>
      <x:c r="G153" s="107" t="n">
        <x:v>0</x:v>
      </x:c>
      <x:c r="H153" s="107" t="n">
        <x:v>0</x:v>
      </x:c>
      <x:c r="I153" s="107" t="n">
        <x:v>0</x:v>
      </x:c>
      <x:c r="J153" s="107" t="n">
        <x:v>-8.93968896</x:v>
      </x:c>
      <x:c r="K153" s="107" t="n">
        <x:v>-9.16052229</x:v>
      </x:c>
      <x:c r="L153" s="107" t="n">
        <x:v>-9.16052229</x:v>
      </x:c>
      <x:c r="M153" s="107" t="n">
        <x:v>-9.16052229</x:v>
      </x:c>
      <x:c r="N153" s="108"/>
      <x:c r="O153" s="108"/>
      <x:c r="P153" s="108"/>
      <x:c r="Q153" s="9" t="str">
        <x:v>Actual</x:v>
      </x:c>
      <x:c r="R153" s="9" t="n">
        <x:v>2025</x:v>
      </x:c>
      <x:c r="S153" s="9" t="str">
        <x:v>2025-01</x:v>
      </x:c>
    </x:row>
    <x:row r="154" ht="17" customHeight="1">
      <x:c r="A154" s="9" t="str">
        <x:v>2025-01-01</x:v>
      </x:c>
      <x:c r="B154" s="9" t="str">
        <x:v>Sales</x:v>
      </x:c>
      <x:c r="C154" s="107" t="n">
        <x:v>51.998630729999995</x:v>
      </x:c>
      <x:c r="D154" s="107" t="n">
        <x:v>0.1075</x:v>
      </x:c>
      <x:c r="E154" s="107" t="n">
        <x:v>0</x:v>
      </x:c>
      <x:c r="F154" s="107" t="n">
        <x:v>18.84955727</x:v>
      </x:c>
      <x:c r="G154" s="107" t="n">
        <x:v>101.91843308</x:v>
      </x:c>
      <x:c r="H154" s="107" t="n">
        <x:v>0</x:v>
      </x:c>
      <x:c r="I154" s="107" t="n">
        <x:v>49.919802350000005</x:v>
      </x:c>
      <x:c r="J154" s="107" t="n">
        <x:v>31.070245080000003</x:v>
      </x:c>
      <x:c r="K154" s="107" t="n">
        <x:v>30.96274508</x:v>
      </x:c>
      <x:c r="L154" s="107" t="n">
        <x:v>30.96274508</x:v>
      </x:c>
      <x:c r="M154" s="107" t="n">
        <x:v>30.96274508</x:v>
      </x:c>
      <x:c r="N154" s="108" t="n">
        <x:v>0.4898015093188872</x:v>
      </x:c>
      <x:c r="O154" s="108" t="n">
        <x:v>0.30485403023819724</x:v>
      </x:c>
      <x:c r="P154" s="108" t="n">
        <x:v>0.3037992651996137</x:v>
      </x:c>
      <x:c r="Q154" s="9" t="str">
        <x:v>Actual</x:v>
      </x:c>
      <x:c r="R154" s="9" t="n">
        <x:v>2025</x:v>
      </x:c>
      <x:c r="S154" s="9" t="str">
        <x:v>2025-01</x:v>
      </x:c>
    </x:row>
    <x:row r="155" ht="17" customHeight="1">
      <x:c r="A155" s="9" t="str">
        <x:v>2025-01-01</x:v>
      </x:c>
      <x:c r="B155" s="9" t="str">
        <x:v>Technology</x:v>
      </x:c>
      <x:c r="C155" s="107" t="n">
        <x:v>0</x:v>
      </x:c>
      <x:c r="D155" s="107" t="n">
        <x:v>0.42604167</x:v>
      </x:c>
      <x:c r="E155" s="107" t="n">
        <x:v>0</x:v>
      </x:c>
      <x:c r="F155" s="107" t="n">
        <x:v>8.28556187</x:v>
      </x:c>
      <x:c r="G155" s="107" t="n">
        <x:v>0</x:v>
      </x:c>
      <x:c r="H155" s="107" t="n">
        <x:v>0</x:v>
      </x:c>
      <x:c r="I155" s="107" t="n">
        <x:v>0</x:v>
      </x:c>
      <x:c r="J155" s="107" t="n">
        <x:v>-8.28556187</x:v>
      </x:c>
      <x:c r="K155" s="107" t="n">
        <x:v>-8.71160354</x:v>
      </x:c>
      <x:c r="L155" s="107" t="n">
        <x:v>-8.71160354</x:v>
      </x:c>
      <x:c r="M155" s="107" t="n">
        <x:v>-8.71160354</x:v>
      </x:c>
      <x:c r="N155" s="108"/>
      <x:c r="O155" s="108"/>
      <x:c r="P155" s="108"/>
      <x:c r="Q155" s="9" t="str">
        <x:v>Actual</x:v>
      </x:c>
      <x:c r="R155" s="9" t="n">
        <x:v>2025</x:v>
      </x:c>
      <x:c r="S155" s="9" t="str">
        <x:v>2025-01</x:v>
      </x:c>
    </x:row>
    <x:row r="156" ht="17" customHeight="1">
      <x:c r="A156" s="9" t="str">
        <x:v>2025-02-01</x:v>
      </x:c>
      <x:c r="B156" s="9" t="str">
        <x:v>Customer Success</x:v>
      </x:c>
      <x:c r="C156" s="107" t="n">
        <x:v>1.58353685</x:v>
      </x:c>
      <x:c r="D156" s="107" t="n">
        <x:v>0</x:v>
      </x:c>
      <x:c r="E156" s="107" t="n">
        <x:v>0</x:v>
      </x:c>
      <x:c r="F156" s="107" t="n">
        <x:v>3.0678254</x:v>
      </x:c>
      <x:c r="G156" s="107" t="n">
        <x:v>6.25730892</x:v>
      </x:c>
      <x:c r="H156" s="107" t="n">
        <x:v>0</x:v>
      </x:c>
      <x:c r="I156" s="107" t="n">
        <x:v>4.67377207</x:v>
      </x:c>
      <x:c r="J156" s="107" t="n">
        <x:v>1.6059466700000005</x:v>
      </x:c>
      <x:c r="K156" s="107" t="n">
        <x:v>1.6059466700000005</x:v>
      </x:c>
      <x:c r="L156" s="107" t="n">
        <x:v>1.6059466700000005</x:v>
      </x:c>
      <x:c r="M156" s="107" t="n">
        <x:v>1.6059466700000005</x:v>
      </x:c>
      <x:c r="N156" s="108" t="n">
        <x:v>0.7469300508820013</x:v>
      </x:c>
      <x:c r="O156" s="108" t="n">
        <x:v>0.2566513321512661</x:v>
      </x:c>
      <x:c r="P156" s="108" t="n">
        <x:v>0.2566513321512661</x:v>
      </x:c>
      <x:c r="Q156" s="9" t="str">
        <x:v>Actual</x:v>
      </x:c>
      <x:c r="R156" s="9" t="n">
        <x:v>2025</x:v>
      </x:c>
      <x:c r="S156" s="9" t="str">
        <x:v>2025-02</x:v>
      </x:c>
    </x:row>
    <x:row r="157" ht="17" customHeight="1">
      <x:c r="A157" s="9" t="str">
        <x:v>2025-02-01</x:v>
      </x:c>
      <x:c r="B157" s="9" t="str">
        <x:v>Finance &amp; Corporate</x:v>
      </x:c>
      <x:c r="C157" s="107" t="n">
        <x:v>0</x:v>
      </x:c>
      <x:c r="D157" s="107" t="n">
        <x:v>0</x:v>
      </x:c>
      <x:c r="E157" s="107" t="n">
        <x:v>0.471912</x:v>
      </x:c>
      <x:c r="F157" s="107" t="n">
        <x:v>6.11327896</x:v>
      </x:c>
      <x:c r="G157" s="107" t="n">
        <x:v>0</x:v>
      </x:c>
      <x:c r="H157" s="107" t="n">
        <x:v>0.63061741</x:v>
      </x:c>
      <x:c r="I157" s="107" t="n">
        <x:v>0</x:v>
      </x:c>
      <x:c r="J157" s="107" t="n">
        <x:v>-6.11327896</x:v>
      </x:c>
      <x:c r="K157" s="107" t="n">
        <x:v>-6.11327896</x:v>
      </x:c>
      <x:c r="L157" s="107" t="n">
        <x:v>-6.58519096</x:v>
      </x:c>
      <x:c r="M157" s="107" t="n">
        <x:v>-7.21580837</x:v>
      </x:c>
      <x:c r="N157" s="108"/>
      <x:c r="O157" s="108"/>
      <x:c r="P157" s="108"/>
      <x:c r="Q157" s="9" t="str">
        <x:v>Actual</x:v>
      </x:c>
      <x:c r="R157" s="9" t="n">
        <x:v>2025</x:v>
      </x:c>
      <x:c r="S157" s="9" t="str">
        <x:v>2025-02</x:v>
      </x:c>
    </x:row>
    <x:row r="158" ht="17" customHeight="1">
      <x:c r="A158" s="9" t="str">
        <x:v>2025-02-01</x:v>
      </x:c>
      <x:c r="B158" s="9" t="str">
        <x:v>Marketing</x:v>
      </x:c>
      <x:c r="C158" s="107" t="n">
        <x:v>0</x:v>
      </x:c>
      <x:c r="D158" s="107" t="n">
        <x:v>0</x:v>
      </x:c>
      <x:c r="E158" s="107" t="n">
        <x:v>0</x:v>
      </x:c>
      <x:c r="F158" s="107" t="n">
        <x:v>6.612570730000001</x:v>
      </x:c>
      <x:c r="G158" s="107" t="n">
        <x:v>0</x:v>
      </x:c>
      <x:c r="H158" s="107" t="n">
        <x:v>0</x:v>
      </x:c>
      <x:c r="I158" s="107" t="n">
        <x:v>0</x:v>
      </x:c>
      <x:c r="J158" s="107" t="n">
        <x:v>-6.612570730000001</x:v>
      </x:c>
      <x:c r="K158" s="107" t="n">
        <x:v>-6.612570730000001</x:v>
      </x:c>
      <x:c r="L158" s="107" t="n">
        <x:v>-6.612570730000001</x:v>
      </x:c>
      <x:c r="M158" s="107" t="n">
        <x:v>-6.612570730000001</x:v>
      </x:c>
      <x:c r="N158" s="108"/>
      <x:c r="O158" s="108"/>
      <x:c r="P158" s="108"/>
      <x:c r="Q158" s="9" t="str">
        <x:v>Actual</x:v>
      </x:c>
      <x:c r="R158" s="9" t="n">
        <x:v>2025</x:v>
      </x:c>
      <x:c r="S158" s="9" t="str">
        <x:v>2025-02</x:v>
      </x:c>
    </x:row>
    <x:row r="159" ht="17" customHeight="1">
      <x:c r="A159" s="9" t="str">
        <x:v>2025-02-01</x:v>
      </x:c>
      <x:c r="B159" s="9" t="str">
        <x:v>Operations</x:v>
      </x:c>
      <x:c r="C159" s="107" t="n">
        <x:v>0</x:v>
      </x:c>
      <x:c r="D159" s="107" t="n">
        <x:v>0.22083333</x:v>
      </x:c>
      <x:c r="E159" s="107" t="n">
        <x:v>0</x:v>
      </x:c>
      <x:c r="F159" s="107" t="n">
        <x:v>8.97004363</x:v>
      </x:c>
      <x:c r="G159" s="107" t="n">
        <x:v>0</x:v>
      </x:c>
      <x:c r="H159" s="107" t="n">
        <x:v>0</x:v>
      </x:c>
      <x:c r="I159" s="107" t="n">
        <x:v>0</x:v>
      </x:c>
      <x:c r="J159" s="107" t="n">
        <x:v>-8.97004363</x:v>
      </x:c>
      <x:c r="K159" s="107" t="n">
        <x:v>-9.190876959999999</x:v>
      </x:c>
      <x:c r="L159" s="107" t="n">
        <x:v>-9.190876959999999</x:v>
      </x:c>
      <x:c r="M159" s="107" t="n">
        <x:v>-9.190876959999999</x:v>
      </x:c>
      <x:c r="N159" s="108"/>
      <x:c r="O159" s="108"/>
      <x:c r="P159" s="108"/>
      <x:c r="Q159" s="9" t="str">
        <x:v>Actual</x:v>
      </x:c>
      <x:c r="R159" s="9" t="n">
        <x:v>2025</x:v>
      </x:c>
      <x:c r="S159" s="9" t="str">
        <x:v>2025-02</x:v>
      </x:c>
    </x:row>
    <x:row r="160" ht="17" customHeight="1">
      <x:c r="A160" s="9" t="str">
        <x:v>2025-02-01</x:v>
      </x:c>
      <x:c r="B160" s="9" t="str">
        <x:v>Sales</x:v>
      </x:c>
      <x:c r="C160" s="107" t="n">
        <x:v>54.561998020000004</x:v>
      </x:c>
      <x:c r="D160" s="107" t="n">
        <x:v>0.1075</x:v>
      </x:c>
      <x:c r="E160" s="107" t="n">
        <x:v>0</x:v>
      </x:c>
      <x:c r="F160" s="107" t="n">
        <x:v>19.18485503</x:v>
      </x:c>
      <x:c r="G160" s="107" t="n">
        <x:v>105.92589142</x:v>
      </x:c>
      <x:c r="H160" s="107" t="n">
        <x:v>0</x:v>
      </x:c>
      <x:c r="I160" s="107" t="n">
        <x:v>51.3638934</x:v>
      </x:c>
      <x:c r="J160" s="107" t="n">
        <x:v>32.17903837</x:v>
      </x:c>
      <x:c r="K160" s="107" t="n">
        <x:v>32.07153837</x:v>
      </x:c>
      <x:c r="L160" s="107" t="n">
        <x:v>32.07153837</x:v>
      </x:c>
      <x:c r="M160" s="107" t="n">
        <x:v>32.07153837</x:v>
      </x:c>
      <x:c r="N160" s="108" t="n">
        <x:v>0.4849040467012951</x:v>
      </x:c>
      <x:c r="O160" s="108" t="n">
        <x:v>0.303788223432635</x:v>
      </x:c>
      <x:c r="P160" s="108" t="n">
        <x:v>0.30277336296217877</x:v>
      </x:c>
      <x:c r="Q160" s="9" t="str">
        <x:v>Actual</x:v>
      </x:c>
      <x:c r="R160" s="9" t="n">
        <x:v>2025</x:v>
      </x:c>
      <x:c r="S160" s="9" t="str">
        <x:v>2025-02</x:v>
      </x:c>
    </x:row>
    <x:row r="161" ht="17" customHeight="1">
      <x:c r="A161" s="9" t="str">
        <x:v>2025-02-01</x:v>
      </x:c>
      <x:c r="B161" s="9" t="str">
        <x:v>Technology</x:v>
      </x:c>
      <x:c r="C161" s="107" t="n">
        <x:v>0</x:v>
      </x:c>
      <x:c r="D161" s="107" t="n">
        <x:v>0.42604167</x:v>
      </x:c>
      <x:c r="E161" s="107" t="n">
        <x:v>0</x:v>
      </x:c>
      <x:c r="F161" s="107" t="n">
        <x:v>8.34033507</x:v>
      </x:c>
      <x:c r="G161" s="107" t="n">
        <x:v>0</x:v>
      </x:c>
      <x:c r="H161" s="107" t="n">
        <x:v>0</x:v>
      </x:c>
      <x:c r="I161" s="107" t="n">
        <x:v>0</x:v>
      </x:c>
      <x:c r="J161" s="107" t="n">
        <x:v>-8.34033507</x:v>
      </x:c>
      <x:c r="K161" s="107" t="n">
        <x:v>-8.76637674</x:v>
      </x:c>
      <x:c r="L161" s="107" t="n">
        <x:v>-8.76637674</x:v>
      </x:c>
      <x:c r="M161" s="107" t="n">
        <x:v>-8.76637674</x:v>
      </x:c>
      <x:c r="N161" s="108"/>
      <x:c r="O161" s="108"/>
      <x:c r="P161" s="108"/>
      <x:c r="Q161" s="9" t="str">
        <x:v>Actual</x:v>
      </x:c>
      <x:c r="R161" s="9" t="n">
        <x:v>2025</x:v>
      </x:c>
      <x:c r="S161" s="9" t="str">
        <x:v>2025-02</x:v>
      </x:c>
    </x:row>
    <x:row r="162" ht="17" customHeight="1">
      <x:c r="A162" s="9" t="str">
        <x:v>2025-03-01</x:v>
      </x:c>
      <x:c r="B162" s="9" t="str">
        <x:v>Customer Success</x:v>
      </x:c>
      <x:c r="C162" s="107" t="n">
        <x:v>1.68688131</x:v>
      </x:c>
      <x:c r="D162" s="107" t="n">
        <x:v>0</x:v>
      </x:c>
      <x:c r="E162" s="107" t="n">
        <x:v>0</x:v>
      </x:c>
      <x:c r="F162" s="107" t="n">
        <x:v>3.0659317799999997</x:v>
      </x:c>
      <x:c r="G162" s="107" t="n">
        <x:v>6.71385335</x:v>
      </x:c>
      <x:c r="H162" s="107" t="n">
        <x:v>0</x:v>
      </x:c>
      <x:c r="I162" s="107" t="n">
        <x:v>5.0269720399999995</x:v>
      </x:c>
      <x:c r="J162" s="107" t="n">
        <x:v>1.9610402599999992</x:v>
      </x:c>
      <x:c r="K162" s="107" t="n">
        <x:v>1.9610402599999992</x:v>
      </x:c>
      <x:c r="L162" s="107" t="n">
        <x:v>1.9610402599999992</x:v>
      </x:c>
      <x:c r="M162" s="107" t="n">
        <x:v>1.9610402599999992</x:v>
      </x:c>
      <x:c r="N162" s="108" t="n">
        <x:v>0.7487461786754694</x:v>
      </x:c>
      <x:c r="O162" s="108" t="n">
        <x:v>0.2920886349118721</x:v>
      </x:c>
      <x:c r="P162" s="108" t="n">
        <x:v>0.2920886349118721</x:v>
      </x:c>
      <x:c r="Q162" s="9" t="str">
        <x:v>Actual</x:v>
      </x:c>
      <x:c r="R162" s="9" t="n">
        <x:v>2025</x:v>
      </x:c>
      <x:c r="S162" s="9" t="str">
        <x:v>2025-03</x:v>
      </x:c>
    </x:row>
    <x:row r="163" ht="17" customHeight="1">
      <x:c r="A163" s="9" t="str">
        <x:v>2025-03-01</x:v>
      </x:c>
      <x:c r="B163" s="9" t="str">
        <x:v>Finance &amp; Corporate</x:v>
      </x:c>
      <x:c r="C163" s="107" t="n">
        <x:v>0</x:v>
      </x:c>
      <x:c r="D163" s="107" t="n">
        <x:v>0</x:v>
      </x:c>
      <x:c r="E163" s="107" t="n">
        <x:v>0.471912</x:v>
      </x:c>
      <x:c r="F163" s="107" t="n">
        <x:v>6.19772658</x:v>
      </x:c>
      <x:c r="G163" s="107" t="n">
        <x:v>0</x:v>
      </x:c>
      <x:c r="H163" s="107" t="n">
        <x:v>2.3545882400000004</x:v>
      </x:c>
      <x:c r="I163" s="107" t="n">
        <x:v>0</x:v>
      </x:c>
      <x:c r="J163" s="107" t="n">
        <x:v>-6.19772658</x:v>
      </x:c>
      <x:c r="K163" s="107" t="n">
        <x:v>-6.19772658</x:v>
      </x:c>
      <x:c r="L163" s="107" t="n">
        <x:v>-6.66963858</x:v>
      </x:c>
      <x:c r="M163" s="107" t="n">
        <x:v>-9.02422682</x:v>
      </x:c>
      <x:c r="N163" s="108"/>
      <x:c r="O163" s="108"/>
      <x:c r="P163" s="108"/>
      <x:c r="Q163" s="9" t="str">
        <x:v>Actual</x:v>
      </x:c>
      <x:c r="R163" s="9" t="n">
        <x:v>2025</x:v>
      </x:c>
      <x:c r="S163" s="9" t="str">
        <x:v>2025-03</x:v>
      </x:c>
    </x:row>
    <x:row r="164" ht="17" customHeight="1">
      <x:c r="A164" s="9" t="str">
        <x:v>2025-03-01</x:v>
      </x:c>
      <x:c r="B164" s="9" t="str">
        <x:v>Marketing</x:v>
      </x:c>
      <x:c r="C164" s="107" t="n">
        <x:v>0</x:v>
      </x:c>
      <x:c r="D164" s="107" t="n">
        <x:v>0</x:v>
      </x:c>
      <x:c r="E164" s="107" t="n">
        <x:v>0</x:v>
      </x:c>
      <x:c r="F164" s="107" t="n">
        <x:v>6.41797388</x:v>
      </x:c>
      <x:c r="G164" s="107" t="n">
        <x:v>0</x:v>
      </x:c>
      <x:c r="H164" s="107" t="n">
        <x:v>0</x:v>
      </x:c>
      <x:c r="I164" s="107" t="n">
        <x:v>0</x:v>
      </x:c>
      <x:c r="J164" s="107" t="n">
        <x:v>-6.41797388</x:v>
      </x:c>
      <x:c r="K164" s="107" t="n">
        <x:v>-6.41797388</x:v>
      </x:c>
      <x:c r="L164" s="107" t="n">
        <x:v>-6.41797388</x:v>
      </x:c>
      <x:c r="M164" s="107" t="n">
        <x:v>-6.41797388</x:v>
      </x:c>
      <x:c r="N164" s="108"/>
      <x:c r="O164" s="108"/>
      <x:c r="P164" s="108"/>
      <x:c r="Q164" s="9" t="str">
        <x:v>Actual</x:v>
      </x:c>
      <x:c r="R164" s="9" t="n">
        <x:v>2025</x:v>
      </x:c>
      <x:c r="S164" s="9" t="str">
        <x:v>2025-03</x:v>
      </x:c>
    </x:row>
    <x:row r="165" ht="17" customHeight="1">
      <x:c r="A165" s="9" t="str">
        <x:v>2025-03-01</x:v>
      </x:c>
      <x:c r="B165" s="9" t="str">
        <x:v>Operations</x:v>
      </x:c>
      <x:c r="C165" s="107" t="n">
        <x:v>0</x:v>
      </x:c>
      <x:c r="D165" s="107" t="n">
        <x:v>0.22083333</x:v>
      </x:c>
      <x:c r="E165" s="107" t="n">
        <x:v>0</x:v>
      </x:c>
      <x:c r="F165" s="107" t="n">
        <x:v>8.89996526</x:v>
      </x:c>
      <x:c r="G165" s="107" t="n">
        <x:v>0</x:v>
      </x:c>
      <x:c r="H165" s="107" t="n">
        <x:v>0</x:v>
      </x:c>
      <x:c r="I165" s="107" t="n">
        <x:v>0</x:v>
      </x:c>
      <x:c r="J165" s="107" t="n">
        <x:v>-8.89996526</x:v>
      </x:c>
      <x:c r="K165" s="107" t="n">
        <x:v>-9.12079859</x:v>
      </x:c>
      <x:c r="L165" s="107" t="n">
        <x:v>-9.12079859</x:v>
      </x:c>
      <x:c r="M165" s="107" t="n">
        <x:v>-9.12079859</x:v>
      </x:c>
      <x:c r="N165" s="108"/>
      <x:c r="O165" s="108"/>
      <x:c r="P165" s="108"/>
      <x:c r="Q165" s="9" t="str">
        <x:v>Actual</x:v>
      </x:c>
      <x:c r="R165" s="9" t="n">
        <x:v>2025</x:v>
      </x:c>
      <x:c r="S165" s="9" t="str">
        <x:v>2025-03</x:v>
      </x:c>
    </x:row>
    <x:row r="166" ht="17" customHeight="1">
      <x:c r="A166" s="9" t="str">
        <x:v>2025-03-01</x:v>
      </x:c>
      <x:c r="B166" s="9" t="str">
        <x:v>Sales</x:v>
      </x:c>
      <x:c r="C166" s="107" t="n">
        <x:v>62.55411294</x:v>
      </x:c>
      <x:c r="D166" s="107" t="n">
        <x:v>0.1075</x:v>
      </x:c>
      <x:c r="E166" s="107" t="n">
        <x:v>0</x:v>
      </x:c>
      <x:c r="F166" s="107" t="n">
        <x:v>19.937073870000003</x:v>
      </x:c>
      <x:c r="G166" s="107" t="n">
        <x:v>120.83984662</x:v>
      </x:c>
      <x:c r="H166" s="107" t="n">
        <x:v>0</x:v>
      </x:c>
      <x:c r="I166" s="107" t="n">
        <x:v>58.28573368</x:v>
      </x:c>
      <x:c r="J166" s="107" t="n">
        <x:v>38.34865981</x:v>
      </x:c>
      <x:c r="K166" s="107" t="n">
        <x:v>38.24115981</x:v>
      </x:c>
      <x:c r="L166" s="107" t="n">
        <x:v>38.24115981</x:v>
      </x:c>
      <x:c r="M166" s="107" t="n">
        <x:v>38.24115981</x:v>
      </x:c>
      <x:c r="N166" s="108" t="n">
        <x:v>0.4823386929916313</x:v>
      </x:c>
      <x:c r="O166" s="108" t="n">
        <x:v>0.317351112920504</x:v>
      </x:c>
      <x:c r="P166" s="108" t="n">
        <x:v>0.31646150570064335</x:v>
      </x:c>
      <x:c r="Q166" s="9" t="str">
        <x:v>Actual</x:v>
      </x:c>
      <x:c r="R166" s="9" t="n">
        <x:v>2025</x:v>
      </x:c>
      <x:c r="S166" s="9" t="str">
        <x:v>2025-03</x:v>
      </x:c>
    </x:row>
    <x:row r="167" ht="17" customHeight="1">
      <x:c r="A167" s="9" t="str">
        <x:v>2025-03-01</x:v>
      </x:c>
      <x:c r="B167" s="9" t="str">
        <x:v>Technology</x:v>
      </x:c>
      <x:c r="C167" s="107" t="n">
        <x:v>0</x:v>
      </x:c>
      <x:c r="D167" s="107" t="n">
        <x:v>0.42604167</x:v>
      </x:c>
      <x:c r="E167" s="107" t="n">
        <x:v>0</x:v>
      </x:c>
      <x:c r="F167" s="107" t="n">
        <x:v>8.14939441</x:v>
      </x:c>
      <x:c r="G167" s="107" t="n">
        <x:v>0</x:v>
      </x:c>
      <x:c r="H167" s="107" t="n">
        <x:v>0</x:v>
      </x:c>
      <x:c r="I167" s="107" t="n">
        <x:v>0</x:v>
      </x:c>
      <x:c r="J167" s="107" t="n">
        <x:v>-8.14939441</x:v>
      </x:c>
      <x:c r="K167" s="107" t="n">
        <x:v>-8.57543608</x:v>
      </x:c>
      <x:c r="L167" s="107" t="n">
        <x:v>-8.57543608</x:v>
      </x:c>
      <x:c r="M167" s="107" t="n">
        <x:v>-8.57543608</x:v>
      </x:c>
      <x:c r="N167" s="108"/>
      <x:c r="O167" s="108"/>
      <x:c r="P167" s="108"/>
      <x:c r="Q167" s="9" t="str">
        <x:v>Actual</x:v>
      </x:c>
      <x:c r="R167" s="9" t="n">
        <x:v>2025</x:v>
      </x:c>
      <x:c r="S167" s="9" t="str">
        <x:v>2025-03</x:v>
      </x:c>
    </x:row>
    <x:row r="168" ht="17" customHeight="1">
      <x:c r="A168" s="9" t="str">
        <x:v>2025-04-01</x:v>
      </x:c>
      <x:c r="B168" s="9" t="str">
        <x:v>Customer Success</x:v>
      </x:c>
      <x:c r="C168" s="107" t="n">
        <x:v>1.72779749</x:v>
      </x:c>
      <x:c r="D168" s="107" t="n">
        <x:v>0</x:v>
      </x:c>
      <x:c r="E168" s="107" t="n">
        <x:v>0</x:v>
      </x:c>
      <x:c r="F168" s="107" t="n">
        <x:v>3.11580503</x:v>
      </x:c>
      <x:c r="G168" s="107" t="n">
        <x:v>6.77364435</x:v>
      </x:c>
      <x:c r="H168" s="107" t="n">
        <x:v>0</x:v>
      </x:c>
      <x:c r="I168" s="107" t="n">
        <x:v>5.045846859999999</x:v>
      </x:c>
      <x:c r="J168" s="107" t="n">
        <x:v>1.930041829999999</x:v>
      </x:c>
      <x:c r="K168" s="107" t="n">
        <x:v>1.930041829999999</x:v>
      </x:c>
      <x:c r="L168" s="107" t="n">
        <x:v>1.930041829999999</x:v>
      </x:c>
      <x:c r="M168" s="107" t="n">
        <x:v>1.930041829999999</x:v>
      </x:c>
      <x:c r="N168" s="108" t="n">
        <x:v>0.744923500449208</x:v>
      </x:c>
      <x:c r="O168" s="108" t="n">
        <x:v>0.28493403702247805</x:v>
      </x:c>
      <x:c r="P168" s="108" t="n">
        <x:v>0.28493403702247805</x:v>
      </x:c>
      <x:c r="Q168" s="9" t="str">
        <x:v>Actual</x:v>
      </x:c>
      <x:c r="R168" s="9" t="n">
        <x:v>2025</x:v>
      </x:c>
      <x:c r="S168" s="9" t="str">
        <x:v>2025-04</x:v>
      </x:c>
    </x:row>
    <x:row r="169" ht="17" customHeight="1">
      <x:c r="A169" s="9" t="str">
        <x:v>2025-04-01</x:v>
      </x:c>
      <x:c r="B169" s="9" t="str">
        <x:v>Finance &amp; Corporate</x:v>
      </x:c>
      <x:c r="C169" s="107" t="n">
        <x:v>0</x:v>
      </x:c>
      <x:c r="D169" s="107" t="n">
        <x:v>0</x:v>
      </x:c>
      <x:c r="E169" s="107" t="n">
        <x:v>0.471912</x:v>
      </x:c>
      <x:c r="F169" s="107" t="n">
        <x:v>6.3829195499999996</x:v>
      </x:c>
      <x:c r="G169" s="107" t="n">
        <x:v>0</x:v>
      </x:c>
      <x:c r="H169" s="107" t="n">
        <x:v>2.2961783199999997</x:v>
      </x:c>
      <x:c r="I169" s="107" t="n">
        <x:v>0</x:v>
      </x:c>
      <x:c r="J169" s="107" t="n">
        <x:v>-6.3829195499999996</x:v>
      </x:c>
      <x:c r="K169" s="107" t="n">
        <x:v>-6.3829195499999996</x:v>
      </x:c>
      <x:c r="L169" s="107" t="n">
        <x:v>-6.85483155</x:v>
      </x:c>
      <x:c r="M169" s="107" t="n">
        <x:v>-9.15100987</x:v>
      </x:c>
      <x:c r="N169" s="108"/>
      <x:c r="O169" s="108"/>
      <x:c r="P169" s="108"/>
      <x:c r="Q169" s="9" t="str">
        <x:v>Actual</x:v>
      </x:c>
      <x:c r="R169" s="9" t="n">
        <x:v>2025</x:v>
      </x:c>
      <x:c r="S169" s="9" t="str">
        <x:v>2025-04</x:v>
      </x:c>
    </x:row>
    <x:row r="170" ht="17" customHeight="1">
      <x:c r="A170" s="9" t="str">
        <x:v>2025-04-01</x:v>
      </x:c>
      <x:c r="B170" s="9" t="str">
        <x:v>Marketing</x:v>
      </x:c>
      <x:c r="C170" s="107" t="n">
        <x:v>0</x:v>
      </x:c>
      <x:c r="D170" s="107" t="n">
        <x:v>0</x:v>
      </x:c>
      <x:c r="E170" s="107" t="n">
        <x:v>0</x:v>
      </x:c>
      <x:c r="F170" s="107" t="n">
        <x:v>6.72920389</x:v>
      </x:c>
      <x:c r="G170" s="107" t="n">
        <x:v>0</x:v>
      </x:c>
      <x:c r="H170" s="107" t="n">
        <x:v>0</x:v>
      </x:c>
      <x:c r="I170" s="107" t="n">
        <x:v>0</x:v>
      </x:c>
      <x:c r="J170" s="107" t="n">
        <x:v>-6.72920389</x:v>
      </x:c>
      <x:c r="K170" s="107" t="n">
        <x:v>-6.72920389</x:v>
      </x:c>
      <x:c r="L170" s="107" t="n">
        <x:v>-6.72920389</x:v>
      </x:c>
      <x:c r="M170" s="107" t="n">
        <x:v>-6.72920389</x:v>
      </x:c>
      <x:c r="N170" s="108"/>
      <x:c r="O170" s="108"/>
      <x:c r="P170" s="108"/>
      <x:c r="Q170" s="9" t="str">
        <x:v>Actual</x:v>
      </x:c>
      <x:c r="R170" s="9" t="n">
        <x:v>2025</x:v>
      </x:c>
      <x:c r="S170" s="9" t="str">
        <x:v>2025-04</x:v>
      </x:c>
    </x:row>
    <x:row r="171" ht="17" customHeight="1">
      <x:c r="A171" s="9" t="str">
        <x:v>2025-04-01</x:v>
      </x:c>
      <x:c r="B171" s="9" t="str">
        <x:v>Operations</x:v>
      </x:c>
      <x:c r="C171" s="107" t="n">
        <x:v>0</x:v>
      </x:c>
      <x:c r="D171" s="107" t="n">
        <x:v>0.22083333</x:v>
      </x:c>
      <x:c r="E171" s="107" t="n">
        <x:v>0</x:v>
      </x:c>
      <x:c r="F171" s="107" t="n">
        <x:v>9.158929129999999</x:v>
      </x:c>
      <x:c r="G171" s="107" t="n">
        <x:v>0</x:v>
      </x:c>
      <x:c r="H171" s="107" t="n">
        <x:v>0</x:v>
      </x:c>
      <x:c r="I171" s="107" t="n">
        <x:v>0</x:v>
      </x:c>
      <x:c r="J171" s="107" t="n">
        <x:v>-9.158929129999999</x:v>
      </x:c>
      <x:c r="K171" s="107" t="n">
        <x:v>-9.379762459999998</x:v>
      </x:c>
      <x:c r="L171" s="107" t="n">
        <x:v>-9.379762459999998</x:v>
      </x:c>
      <x:c r="M171" s="107" t="n">
        <x:v>-9.379762459999998</x:v>
      </x:c>
      <x:c r="N171" s="108"/>
      <x:c r="O171" s="108"/>
      <x:c r="P171" s="108"/>
      <x:c r="Q171" s="9" t="str">
        <x:v>Actual</x:v>
      </x:c>
      <x:c r="R171" s="9" t="n">
        <x:v>2025</x:v>
      </x:c>
      <x:c r="S171" s="9" t="str">
        <x:v>2025-04</x:v>
      </x:c>
    </x:row>
    <x:row r="172" ht="17" customHeight="1">
      <x:c r="A172" s="9" t="str">
        <x:v>2025-04-01</x:v>
      </x:c>
      <x:c r="B172" s="9" t="str">
        <x:v>Sales</x:v>
      </x:c>
      <x:c r="C172" s="107" t="n">
        <x:v>62.98163632</x:v>
      </x:c>
      <x:c r="D172" s="107" t="n">
        <x:v>0.1075</x:v>
      </x:c>
      <x:c r="E172" s="107" t="n">
        <x:v>0</x:v>
      </x:c>
      <x:c r="F172" s="107" t="n">
        <x:v>20.890128580000003</x:v>
      </x:c>
      <x:c r="G172" s="107" t="n">
        <x:v>122.99607483</x:v>
      </x:c>
      <x:c r="H172" s="107" t="n">
        <x:v>0</x:v>
      </x:c>
      <x:c r="I172" s="107" t="n">
        <x:v>60.01443851</x:v>
      </x:c>
      <x:c r="J172" s="107" t="n">
        <x:v>39.124309929999995</x:v>
      </x:c>
      <x:c r="K172" s="107" t="n">
        <x:v>39.016809929999994</x:v>
      </x:c>
      <x:c r="L172" s="107" t="n">
        <x:v>39.016809929999994</x:v>
      </x:c>
      <x:c r="M172" s="107" t="n">
        <x:v>39.016809929999994</x:v>
      </x:c>
      <x:c r="N172" s="108" t="n">
        <x:v>0.48793783535734314</x:v>
      </x:c>
      <x:c r="O172" s="108" t="n">
        <x:v>0.3180939715684095</x:v>
      </x:c>
      <x:c r="P172" s="108" t="n">
        <x:v>0.3172199599371556</x:v>
      </x:c>
      <x:c r="Q172" s="9" t="str">
        <x:v>Actual</x:v>
      </x:c>
      <x:c r="R172" s="9" t="n">
        <x:v>2025</x:v>
      </x:c>
      <x:c r="S172" s="9" t="str">
        <x:v>2025-04</x:v>
      </x:c>
    </x:row>
    <x:row r="173" ht="17" customHeight="1">
      <x:c r="A173" s="9" t="str">
        <x:v>2025-04-01</x:v>
      </x:c>
      <x:c r="B173" s="9" t="str">
        <x:v>Technology</x:v>
      </x:c>
      <x:c r="C173" s="107" t="n">
        <x:v>0</x:v>
      </x:c>
      <x:c r="D173" s="107" t="n">
        <x:v>0.42604167</x:v>
      </x:c>
      <x:c r="E173" s="107" t="n">
        <x:v>0</x:v>
      </x:c>
      <x:c r="F173" s="107" t="n">
        <x:v>8.37229889</x:v>
      </x:c>
      <x:c r="G173" s="107" t="n">
        <x:v>0</x:v>
      </x:c>
      <x:c r="H173" s="107" t="n">
        <x:v>0</x:v>
      </x:c>
      <x:c r="I173" s="107" t="n">
        <x:v>0</x:v>
      </x:c>
      <x:c r="J173" s="107" t="n">
        <x:v>-8.37229889</x:v>
      </x:c>
      <x:c r="K173" s="107" t="n">
        <x:v>-8.79834056</x:v>
      </x:c>
      <x:c r="L173" s="107" t="n">
        <x:v>-8.79834056</x:v>
      </x:c>
      <x:c r="M173" s="107" t="n">
        <x:v>-8.79834056</x:v>
      </x:c>
      <x:c r="N173" s="108"/>
      <x:c r="O173" s="108"/>
      <x:c r="P173" s="108"/>
      <x:c r="Q173" s="9" t="str">
        <x:v>Actual</x:v>
      </x:c>
      <x:c r="R173" s="9" t="n">
        <x:v>2025</x:v>
      </x:c>
      <x:c r="S173" s="9" t="str">
        <x:v>2025-04</x:v>
      </x:c>
    </x:row>
    <x:row r="174" ht="17" customHeight="1">
      <x:c r="A174" s="9" t="str">
        <x:v>2025-05-01</x:v>
      </x:c>
      <x:c r="B174" s="9" t="str">
        <x:v>Customer Success</x:v>
      </x:c>
      <x:c r="C174" s="107" t="n">
        <x:v>1.7757642699999998</x:v>
      </x:c>
      <x:c r="D174" s="107" t="n">
        <x:v>0</x:v>
      </x:c>
      <x:c r="E174" s="107" t="n">
        <x:v>0</x:v>
      </x:c>
      <x:c r="F174" s="107" t="n">
        <x:v>3.2137738</x:v>
      </x:c>
      <x:c r="G174" s="107" t="n">
        <x:v>7.03775021</x:v>
      </x:c>
      <x:c r="H174" s="107" t="n">
        <x:v>0</x:v>
      </x:c>
      <x:c r="I174" s="107" t="n">
        <x:v>5.261985940000001</x:v>
      </x:c>
      <x:c r="J174" s="107" t="n">
        <x:v>2.0482121400000004</x:v>
      </x:c>
      <x:c r="K174" s="107" t="n">
        <x:v>2.0482121400000004</x:v>
      </x:c>
      <x:c r="L174" s="107" t="n">
        <x:v>2.0482121400000004</x:v>
      </x:c>
      <x:c r="M174" s="107" t="n">
        <x:v>2.0482121400000004</x:v>
      </x:c>
      <x:c r="N174" s="108" t="n">
        <x:v>0.747680122622596</x:v>
      </x:c>
      <x:c r="O174" s="108" t="n">
        <x:v>0.291032230312704</x:v>
      </x:c>
      <x:c r="P174" s="108" t="n">
        <x:v>0.291032230312704</x:v>
      </x:c>
      <x:c r="Q174" s="9" t="str">
        <x:v>Actual</x:v>
      </x:c>
      <x:c r="R174" s="9" t="n">
        <x:v>2025</x:v>
      </x:c>
      <x:c r="S174" s="9" t="str">
        <x:v>2025-05</x:v>
      </x:c>
    </x:row>
    <x:row r="175" ht="17" customHeight="1">
      <x:c r="A175" s="9" t="str">
        <x:v>2025-05-01</x:v>
      </x:c>
      <x:c r="B175" s="9" t="str">
        <x:v>Finance &amp; Corporate</x:v>
      </x:c>
      <x:c r="C175" s="107" t="n">
        <x:v>0</x:v>
      </x:c>
      <x:c r="D175" s="107" t="n">
        <x:v>0</x:v>
      </x:c>
      <x:c r="E175" s="107" t="n">
        <x:v>0.471912</x:v>
      </x:c>
      <x:c r="F175" s="107" t="n">
        <x:v>6.322506220000001</x:v>
      </x:c>
      <x:c r="G175" s="107" t="n">
        <x:v>0</x:v>
      </x:c>
      <x:c r="H175" s="107" t="n">
        <x:v>2.42643261</x:v>
      </x:c>
      <x:c r="I175" s="107" t="n">
        <x:v>0</x:v>
      </x:c>
      <x:c r="J175" s="107" t="n">
        <x:v>-6.322506220000001</x:v>
      </x:c>
      <x:c r="K175" s="107" t="n">
        <x:v>-6.322506220000001</x:v>
      </x:c>
      <x:c r="L175" s="107" t="n">
        <x:v>-6.794418220000001</x:v>
      </x:c>
      <x:c r="M175" s="107" t="n">
        <x:v>-9.22085083</x:v>
      </x:c>
      <x:c r="N175" s="108"/>
      <x:c r="O175" s="108"/>
      <x:c r="P175" s="108"/>
      <x:c r="Q175" s="9" t="str">
        <x:v>Actual</x:v>
      </x:c>
      <x:c r="R175" s="9" t="n">
        <x:v>2025</x:v>
      </x:c>
      <x:c r="S175" s="9" t="str">
        <x:v>2025-05</x:v>
      </x:c>
    </x:row>
    <x:row r="176" ht="17" customHeight="1">
      <x:c r="A176" s="9" t="str">
        <x:v>2025-05-01</x:v>
      </x:c>
      <x:c r="B176" s="9" t="str">
        <x:v>Marketing</x:v>
      </x:c>
      <x:c r="C176" s="107" t="n">
        <x:v>0</x:v>
      </x:c>
      <x:c r="D176" s="107" t="n">
        <x:v>0</x:v>
      </x:c>
      <x:c r="E176" s="107" t="n">
        <x:v>0</x:v>
      </x:c>
      <x:c r="F176" s="107" t="n">
        <x:v>6.83918841</x:v>
      </x:c>
      <x:c r="G176" s="107" t="n">
        <x:v>0</x:v>
      </x:c>
      <x:c r="H176" s="107" t="n">
        <x:v>0</x:v>
      </x:c>
      <x:c r="I176" s="107" t="n">
        <x:v>0</x:v>
      </x:c>
      <x:c r="J176" s="107" t="n">
        <x:v>-6.83918841</x:v>
      </x:c>
      <x:c r="K176" s="107" t="n">
        <x:v>-6.83918841</x:v>
      </x:c>
      <x:c r="L176" s="107" t="n">
        <x:v>-6.83918841</x:v>
      </x:c>
      <x:c r="M176" s="107" t="n">
        <x:v>-6.83918841</x:v>
      </x:c>
      <x:c r="N176" s="108"/>
      <x:c r="O176" s="108"/>
      <x:c r="P176" s="108"/>
      <x:c r="Q176" s="9" t="str">
        <x:v>Actual</x:v>
      </x:c>
      <x:c r="R176" s="9" t="n">
        <x:v>2025</x:v>
      </x:c>
      <x:c r="S176" s="9" t="str">
        <x:v>2025-05</x:v>
      </x:c>
    </x:row>
    <x:row r="177" ht="17" customHeight="1">
      <x:c r="A177" s="9" t="str">
        <x:v>2025-05-01</x:v>
      </x:c>
      <x:c r="B177" s="9" t="str">
        <x:v>Operations</x:v>
      </x:c>
      <x:c r="C177" s="107" t="n">
        <x:v>0</x:v>
      </x:c>
      <x:c r="D177" s="107" t="n">
        <x:v>0.22083333</x:v>
      </x:c>
      <x:c r="E177" s="107" t="n">
        <x:v>0</x:v>
      </x:c>
      <x:c r="F177" s="107" t="n">
        <x:v>9.33371788</x:v>
      </x:c>
      <x:c r="G177" s="107" t="n">
        <x:v>0</x:v>
      </x:c>
      <x:c r="H177" s="107" t="n">
        <x:v>0</x:v>
      </x:c>
      <x:c r="I177" s="107" t="n">
        <x:v>0</x:v>
      </x:c>
      <x:c r="J177" s="107" t="n">
        <x:v>-9.33371788</x:v>
      </x:c>
      <x:c r="K177" s="107" t="n">
        <x:v>-9.554551210000001</x:v>
      </x:c>
      <x:c r="L177" s="107" t="n">
        <x:v>-9.554551210000001</x:v>
      </x:c>
      <x:c r="M177" s="107" t="n">
        <x:v>-9.554551210000001</x:v>
      </x:c>
      <x:c r="N177" s="108"/>
      <x:c r="O177" s="108"/>
      <x:c r="P177" s="108"/>
      <x:c r="Q177" s="9" t="str">
        <x:v>Actual</x:v>
      </x:c>
      <x:c r="R177" s="9" t="n">
        <x:v>2025</x:v>
      </x:c>
      <x:c r="S177" s="9" t="str">
        <x:v>2025-05</x:v>
      </x:c>
    </x:row>
    <x:row r="178" ht="17" customHeight="1">
      <x:c r="A178" s="9" t="str">
        <x:v>2025-05-01</x:v>
      </x:c>
      <x:c r="B178" s="9" t="str">
        <x:v>Sales</x:v>
      </x:c>
      <x:c r="C178" s="107" t="n">
        <x:v>63.663268130000006</x:v>
      </x:c>
      <x:c r="D178" s="107" t="n">
        <x:v>0.1075</x:v>
      </x:c>
      <x:c r="E178" s="107" t="n">
        <x:v>0</x:v>
      </x:c>
      <x:c r="F178" s="107" t="n">
        <x:v>21.08454043</x:v>
      </x:c>
      <x:c r="G178" s="107" t="n">
        <x:v>124.55512454</x:v>
      </x:c>
      <x:c r="H178" s="107" t="n">
        <x:v>0</x:v>
      </x:c>
      <x:c r="I178" s="107" t="n">
        <x:v>60.89185640999999</x:v>
      </x:c>
      <x:c r="J178" s="107" t="n">
        <x:v>39.80731597999999</x:v>
      </x:c>
      <x:c r="K178" s="107" t="n">
        <x:v>39.69981597999999</x:v>
      </x:c>
      <x:c r="L178" s="107" t="n">
        <x:v>39.69981597999999</x:v>
      </x:c>
      <x:c r="M178" s="107" t="n">
        <x:v>39.69981597999999</x:v>
      </x:c>
      <x:c r="N178" s="108" t="n">
        <x:v>0.48887475834400534</x:v>
      </x:c>
      <x:c r="O178" s="108" t="n">
        <x:v>0.3195959710771768</x:v>
      </x:c>
      <x:c r="P178" s="108" t="n">
        <x:v>0.3187328994019084</x:v>
      </x:c>
      <x:c r="Q178" s="9" t="str">
        <x:v>Actual</x:v>
      </x:c>
      <x:c r="R178" s="9" t="n">
        <x:v>2025</x:v>
      </x:c>
      <x:c r="S178" s="9" t="str">
        <x:v>2025-05</x:v>
      </x:c>
    </x:row>
    <x:row r="179" ht="17" customHeight="1">
      <x:c r="A179" s="9" t="str">
        <x:v>2025-05-01</x:v>
      </x:c>
      <x:c r="B179" s="9" t="str">
        <x:v>Technology</x:v>
      </x:c>
      <x:c r="C179" s="107" t="n">
        <x:v>0</x:v>
      </x:c>
      <x:c r="D179" s="107" t="n">
        <x:v>0.42604167</x:v>
      </x:c>
      <x:c r="E179" s="107" t="n">
        <x:v>0</x:v>
      </x:c>
      <x:c r="F179" s="107" t="n">
        <x:v>8.42809815</x:v>
      </x:c>
      <x:c r="G179" s="107" t="n">
        <x:v>0</x:v>
      </x:c>
      <x:c r="H179" s="107" t="n">
        <x:v>0</x:v>
      </x:c>
      <x:c r="I179" s="107" t="n">
        <x:v>0</x:v>
      </x:c>
      <x:c r="J179" s="107" t="n">
        <x:v>-8.42809815</x:v>
      </x:c>
      <x:c r="K179" s="107" t="n">
        <x:v>-8.85413982</x:v>
      </x:c>
      <x:c r="L179" s="107" t="n">
        <x:v>-8.85413982</x:v>
      </x:c>
      <x:c r="M179" s="107" t="n">
        <x:v>-8.85413982</x:v>
      </x:c>
      <x:c r="N179" s="108"/>
      <x:c r="O179" s="108"/>
      <x:c r="P179" s="108"/>
      <x:c r="Q179" s="9" t="str">
        <x:v>Actual</x:v>
      </x:c>
      <x:c r="R179" s="9" t="n">
        <x:v>2025</x:v>
      </x:c>
      <x:c r="S179" s="9" t="str">
        <x:v>2025-05</x:v>
      </x:c>
    </x:row>
    <x:row r="180" ht="17" customHeight="1">
      <x:c r="A180" s="9" t="str">
        <x:v>2025-06-01</x:v>
      </x:c>
      <x:c r="B180" s="9" t="str">
        <x:v>Customer Success</x:v>
      </x:c>
      <x:c r="C180" s="107" t="n">
        <x:v>1.81820989</x:v>
      </x:c>
      <x:c r="D180" s="107" t="n">
        <x:v>0.19479167</x:v>
      </x:c>
      <x:c r="E180" s="107" t="n">
        <x:v>0</x:v>
      </x:c>
      <x:c r="F180" s="107" t="n">
        <x:v>3.22812834</x:v>
      </x:c>
      <x:c r="G180" s="107" t="n">
        <x:v>7.22987181</x:v>
      </x:c>
      <x:c r="H180" s="107" t="n">
        <x:v>0</x:v>
      </x:c>
      <x:c r="I180" s="107" t="n">
        <x:v>5.41166192</x:v>
      </x:c>
      <x:c r="J180" s="107" t="n">
        <x:v>2.18353358</x:v>
      </x:c>
      <x:c r="K180" s="107" t="n">
        <x:v>1.9887419100000001</x:v>
      </x:c>
      <x:c r="L180" s="107" t="n">
        <x:v>1.9887419100000001</x:v>
      </x:c>
      <x:c r="M180" s="107" t="n">
        <x:v>1.9887419100000001</x:v>
      </x:c>
      <x:c r="N180" s="108" t="n">
        <x:v>0.7485142284977803</x:v>
      </x:c>
      <x:c r="O180" s="108" t="n">
        <x:v>0.30201553186321295</x:v>
      </x:c>
      <x:c r="P180" s="108" t="n">
        <x:v>0.27507291446706855</x:v>
      </x:c>
      <x:c r="Q180" s="9" t="str">
        <x:v>Actual</x:v>
      </x:c>
      <x:c r="R180" s="9" t="n">
        <x:v>2025</x:v>
      </x:c>
      <x:c r="S180" s="9" t="str">
        <x:v>2025-06</x:v>
      </x:c>
    </x:row>
    <x:row r="181" ht="17" customHeight="1">
      <x:c r="A181" s="9" t="str">
        <x:v>2025-06-01</x:v>
      </x:c>
      <x:c r="B181" s="9" t="str">
        <x:v>Finance &amp; Corporate</x:v>
      </x:c>
      <x:c r="C181" s="107" t="n">
        <x:v>0</x:v>
      </x:c>
      <x:c r="D181" s="107" t="n">
        <x:v>0</x:v>
      </x:c>
      <x:c r="E181" s="107" t="n">
        <x:v>0.471912</x:v>
      </x:c>
      <x:c r="F181" s="107" t="n">
        <x:v>6.46017784</x:v>
      </x:c>
      <x:c r="G181" s="107" t="n">
        <x:v>0</x:v>
      </x:c>
      <x:c r="H181" s="107" t="n">
        <x:v>2.6572702599999998</x:v>
      </x:c>
      <x:c r="I181" s="107" t="n">
        <x:v>0</x:v>
      </x:c>
      <x:c r="J181" s="107" t="n">
        <x:v>-6.46017784</x:v>
      </x:c>
      <x:c r="K181" s="107" t="n">
        <x:v>-6.46017784</x:v>
      </x:c>
      <x:c r="L181" s="107" t="n">
        <x:v>-6.93208984</x:v>
      </x:c>
      <x:c r="M181" s="107" t="n">
        <x:v>-9.5893601</x:v>
      </x:c>
      <x:c r="N181" s="108"/>
      <x:c r="O181" s="108"/>
      <x:c r="P181" s="108"/>
      <x:c r="Q181" s="9" t="str">
        <x:v>Actual</x:v>
      </x:c>
      <x:c r="R181" s="9" t="n">
        <x:v>2025</x:v>
      </x:c>
      <x:c r="S181" s="9" t="str">
        <x:v>2025-06</x:v>
      </x:c>
    </x:row>
    <x:row r="182" ht="17" customHeight="1">
      <x:c r="A182" s="9" t="str">
        <x:v>2025-06-01</x:v>
      </x:c>
      <x:c r="B182" s="9" t="str">
        <x:v>Marketing</x:v>
      </x:c>
      <x:c r="C182" s="107" t="n">
        <x:v>0</x:v>
      </x:c>
      <x:c r="D182" s="107" t="n">
        <x:v>0</x:v>
      </x:c>
      <x:c r="E182" s="107" t="n">
        <x:v>0</x:v>
      </x:c>
      <x:c r="F182" s="107" t="n">
        <x:v>7.065714270000001</x:v>
      </x:c>
      <x:c r="G182" s="107" t="n">
        <x:v>0</x:v>
      </x:c>
      <x:c r="H182" s="107" t="n">
        <x:v>0</x:v>
      </x:c>
      <x:c r="I182" s="107" t="n">
        <x:v>0</x:v>
      </x:c>
      <x:c r="J182" s="107" t="n">
        <x:v>-7.065714270000001</x:v>
      </x:c>
      <x:c r="K182" s="107" t="n">
        <x:v>-7.065714270000001</x:v>
      </x:c>
      <x:c r="L182" s="107" t="n">
        <x:v>-7.065714270000001</x:v>
      </x:c>
      <x:c r="M182" s="107" t="n">
        <x:v>-7.065714270000001</x:v>
      </x:c>
      <x:c r="N182" s="108"/>
      <x:c r="O182" s="108"/>
      <x:c r="P182" s="108"/>
      <x:c r="Q182" s="9" t="str">
        <x:v>Actual</x:v>
      </x:c>
      <x:c r="R182" s="9" t="n">
        <x:v>2025</x:v>
      </x:c>
      <x:c r="S182" s="9" t="str">
        <x:v>2025-06</x:v>
      </x:c>
    </x:row>
    <x:row r="183" ht="17" customHeight="1">
      <x:c r="A183" s="9" t="str">
        <x:v>2025-06-01</x:v>
      </x:c>
      <x:c r="B183" s="9" t="str">
        <x:v>Operations</x:v>
      </x:c>
      <x:c r="C183" s="107" t="n">
        <x:v>0</x:v>
      </x:c>
      <x:c r="D183" s="107" t="n">
        <x:v>0.22083333</x:v>
      </x:c>
      <x:c r="E183" s="107" t="n">
        <x:v>0</x:v>
      </x:c>
      <x:c r="F183" s="107" t="n">
        <x:v>9.404525360000001</x:v>
      </x:c>
      <x:c r="G183" s="107" t="n">
        <x:v>0</x:v>
      </x:c>
      <x:c r="H183" s="107" t="n">
        <x:v>0</x:v>
      </x:c>
      <x:c r="I183" s="107" t="n">
        <x:v>0</x:v>
      </x:c>
      <x:c r="J183" s="107" t="n">
        <x:v>-9.404525360000001</x:v>
      </x:c>
      <x:c r="K183" s="107" t="n">
        <x:v>-9.62535869</x:v>
      </x:c>
      <x:c r="L183" s="107" t="n">
        <x:v>-9.62535869</x:v>
      </x:c>
      <x:c r="M183" s="107" t="n">
        <x:v>-9.62535869</x:v>
      </x:c>
      <x:c r="N183" s="108"/>
      <x:c r="O183" s="108"/>
      <x:c r="P183" s="108"/>
      <x:c r="Q183" s="9" t="str">
        <x:v>Actual</x:v>
      </x:c>
      <x:c r="R183" s="9" t="n">
        <x:v>2025</x:v>
      </x:c>
      <x:c r="S183" s="9" t="str">
        <x:v>2025-06</x:v>
      </x:c>
    </x:row>
    <x:row r="184" ht="17" customHeight="1">
      <x:c r="A184" s="9" t="str">
        <x:v>2025-06-01</x:v>
      </x:c>
      <x:c r="B184" s="9" t="str">
        <x:v>Sales</x:v>
      </x:c>
      <x:c r="C184" s="107" t="n">
        <x:v>65.4085005</x:v>
      </x:c>
      <x:c r="D184" s="107" t="n">
        <x:v>0.1075</x:v>
      </x:c>
      <x:c r="E184" s="107" t="n">
        <x:v>0</x:v>
      </x:c>
      <x:c r="F184" s="107" t="n">
        <x:v>21.312953359999998</x:v>
      </x:c>
      <x:c r="G184" s="107" t="n">
        <x:v>127.95997161</x:v>
      </x:c>
      <x:c r="H184" s="107" t="n">
        <x:v>0</x:v>
      </x:c>
      <x:c r="I184" s="107" t="n">
        <x:v>62.55147111</x:v>
      </x:c>
      <x:c r="J184" s="107" t="n">
        <x:v>41.23851775</x:v>
      </x:c>
      <x:c r="K184" s="107" t="n">
        <x:v>41.13101775</x:v>
      </x:c>
      <x:c r="L184" s="107" t="n">
        <x:v>41.13101775</x:v>
      </x:c>
      <x:c r="M184" s="107" t="n">
        <x:v>41.13101775</x:v>
      </x:c>
      <x:c r="N184" s="108" t="n">
        <x:v>0.4888362377935354</x:v>
      </x:c>
      <x:c r="O184" s="108" t="n">
        <x:v>0.3222767028714879</x:v>
      </x:c>
      <x:c r="P184" s="108" t="n">
        <x:v>0.32143659640188316</x:v>
      </x:c>
      <x:c r="Q184" s="9" t="str">
        <x:v>Actual</x:v>
      </x:c>
      <x:c r="R184" s="9" t="n">
        <x:v>2025</x:v>
      </x:c>
      <x:c r="S184" s="9" t="str">
        <x:v>2025-06</x:v>
      </x:c>
    </x:row>
    <x:row r="185" ht="17" customHeight="1">
      <x:c r="A185" s="9" t="str">
        <x:v>2025-06-01</x:v>
      </x:c>
      <x:c r="B185" s="9" t="str">
        <x:v>Technology</x:v>
      </x:c>
      <x:c r="C185" s="107" t="n">
        <x:v>0</x:v>
      </x:c>
      <x:c r="D185" s="107" t="n">
        <x:v>0.42604167</x:v>
      </x:c>
      <x:c r="E185" s="107" t="n">
        <x:v>0</x:v>
      </x:c>
      <x:c r="F185" s="107" t="n">
        <x:v>8.44147414</x:v>
      </x:c>
      <x:c r="G185" s="107" t="n">
        <x:v>0</x:v>
      </x:c>
      <x:c r="H185" s="107" t="n">
        <x:v>0</x:v>
      </x:c>
      <x:c r="I185" s="107" t="n">
        <x:v>0</x:v>
      </x:c>
      <x:c r="J185" s="107" t="n">
        <x:v>-8.44147414</x:v>
      </x:c>
      <x:c r="K185" s="107" t="n">
        <x:v>-8.86751581</x:v>
      </x:c>
      <x:c r="L185" s="107" t="n">
        <x:v>-8.86751581</x:v>
      </x:c>
      <x:c r="M185" s="107" t="n">
        <x:v>-8.86751581</x:v>
      </x:c>
      <x:c r="N185" s="108"/>
      <x:c r="O185" s="108"/>
      <x:c r="P185" s="108"/>
      <x:c r="Q185" s="9" t="str">
        <x:v>Actual</x:v>
      </x:c>
      <x:c r="R185" s="9" t="n">
        <x:v>2025</x:v>
      </x:c>
      <x:c r="S185" s="9" t="str">
        <x:v>2025-06</x:v>
      </x:c>
    </x:row>
    <x:row r="186" ht="17" customHeight="1">
      <x:c r="A186" s="9" t="str">
        <x:v>2025-07-01</x:v>
      </x:c>
      <x:c r="B186" s="9" t="str">
        <x:v>Customer Success</x:v>
      </x:c>
      <x:c r="C186" s="107" t="n">
        <x:v>1.86242419</x:v>
      </x:c>
      <x:c r="D186" s="107" t="n">
        <x:v>0.19479167</x:v>
      </x:c>
      <x:c r="E186" s="107" t="n">
        <x:v>0</x:v>
      </x:c>
      <x:c r="F186" s="107" t="n">
        <x:v>3.19714557</x:v>
      </x:c>
      <x:c r="G186" s="107" t="n">
        <x:v>7.37754337</x:v>
      </x:c>
      <x:c r="H186" s="107" t="n">
        <x:v>0</x:v>
      </x:c>
      <x:c r="I186" s="107" t="n">
        <x:v>5.51511918</x:v>
      </x:c>
      <x:c r="J186" s="107" t="n">
        <x:v>2.3179736099999997</x:v>
      </x:c>
      <x:c r="K186" s="107" t="n">
        <x:v>2.12318194</x:v>
      </x:c>
      <x:c r="L186" s="107" t="n">
        <x:v>2.12318194</x:v>
      </x:c>
      <x:c r="M186" s="107" t="n">
        <x:v>2.12318194</x:v>
      </x:c>
      <x:c r="N186" s="108" t="n">
        <x:v>0.7475549655765696</x:v>
      </x:c>
      <x:c r="O186" s="108" t="n">
        <x:v>0.31419315261849823</x:v>
      </x:c>
      <x:c r="P186" s="108" t="n">
        <x:v>0.2877898283368546</x:v>
      </x:c>
      <x:c r="Q186" s="9" t="str">
        <x:v>Actual</x:v>
      </x:c>
      <x:c r="R186" s="9" t="n">
        <x:v>2025</x:v>
      </x:c>
      <x:c r="S186" s="9" t="str">
        <x:v>2025-07</x:v>
      </x:c>
    </x:row>
    <x:row r="187" ht="17" customHeight="1">
      <x:c r="A187" s="9" t="str">
        <x:v>2025-07-01</x:v>
      </x:c>
      <x:c r="B187" s="9" t="str">
        <x:v>Finance &amp; Corporate</x:v>
      </x:c>
      <x:c r="C187" s="107" t="n">
        <x:v>0</x:v>
      </x:c>
      <x:c r="D187" s="107" t="n">
        <x:v>0</x:v>
      </x:c>
      <x:c r="E187" s="107" t="n">
        <x:v>0.471912</x:v>
      </x:c>
      <x:c r="F187" s="107" t="n">
        <x:v>6.51422436</x:v>
      </x:c>
      <x:c r="G187" s="107" t="n">
        <x:v>0</x:v>
      </x:c>
      <x:c r="H187" s="107" t="n">
        <x:v>1.8671624199999999</x:v>
      </x:c>
      <x:c r="I187" s="107" t="n">
        <x:v>0</x:v>
      </x:c>
      <x:c r="J187" s="107" t="n">
        <x:v>-6.51422436</x:v>
      </x:c>
      <x:c r="K187" s="107" t="n">
        <x:v>-6.51422436</x:v>
      </x:c>
      <x:c r="L187" s="107" t="n">
        <x:v>-6.986136360000001</x:v>
      </x:c>
      <x:c r="M187" s="107" t="n">
        <x:v>-8.853298780000001</x:v>
      </x:c>
      <x:c r="N187" s="108"/>
      <x:c r="O187" s="108"/>
      <x:c r="P187" s="108"/>
      <x:c r="Q187" s="9" t="str">
        <x:v>Actual</x:v>
      </x:c>
      <x:c r="R187" s="9" t="n">
        <x:v>2025</x:v>
      </x:c>
      <x:c r="S187" s="9" t="str">
        <x:v>2025-07</x:v>
      </x:c>
    </x:row>
    <x:row r="188" ht="17" customHeight="1">
      <x:c r="A188" s="9" t="str">
        <x:v>2025-07-01</x:v>
      </x:c>
      <x:c r="B188" s="9" t="str">
        <x:v>Marketing</x:v>
      </x:c>
      <x:c r="C188" s="107" t="n">
        <x:v>0</x:v>
      </x:c>
      <x:c r="D188" s="107" t="n">
        <x:v>0</x:v>
      </x:c>
      <x:c r="E188" s="107" t="n">
        <x:v>0</x:v>
      </x:c>
      <x:c r="F188" s="107" t="n">
        <x:v>6.98217204</x:v>
      </x:c>
      <x:c r="G188" s="107" t="n">
        <x:v>0</x:v>
      </x:c>
      <x:c r="H188" s="107" t="n">
        <x:v>0</x:v>
      </x:c>
      <x:c r="I188" s="107" t="n">
        <x:v>0</x:v>
      </x:c>
      <x:c r="J188" s="107" t="n">
        <x:v>-6.98217204</x:v>
      </x:c>
      <x:c r="K188" s="107" t="n">
        <x:v>-6.98217204</x:v>
      </x:c>
      <x:c r="L188" s="107" t="n">
        <x:v>-6.98217204</x:v>
      </x:c>
      <x:c r="M188" s="107" t="n">
        <x:v>-6.98217204</x:v>
      </x:c>
      <x:c r="N188" s="108"/>
      <x:c r="O188" s="108"/>
      <x:c r="P188" s="108"/>
      <x:c r="Q188" s="9" t="str">
        <x:v>Actual</x:v>
      </x:c>
      <x:c r="R188" s="9" t="n">
        <x:v>2025</x:v>
      </x:c>
      <x:c r="S188" s="9" t="str">
        <x:v>2025-07</x:v>
      </x:c>
    </x:row>
    <x:row r="189" ht="17" customHeight="1">
      <x:c r="A189" s="9" t="str">
        <x:v>2025-07-01</x:v>
      </x:c>
      <x:c r="B189" s="9" t="str">
        <x:v>Operations</x:v>
      </x:c>
      <x:c r="C189" s="107" t="n">
        <x:v>0</x:v>
      </x:c>
      <x:c r="D189" s="107" t="n">
        <x:v>0.22083333</x:v>
      </x:c>
      <x:c r="E189" s="107" t="n">
        <x:v>0</x:v>
      </x:c>
      <x:c r="F189" s="107" t="n">
        <x:v>9.412232509999999</x:v>
      </x:c>
      <x:c r="G189" s="107" t="n">
        <x:v>0</x:v>
      </x:c>
      <x:c r="H189" s="107" t="n">
        <x:v>0</x:v>
      </x:c>
      <x:c r="I189" s="107" t="n">
        <x:v>0</x:v>
      </x:c>
      <x:c r="J189" s="107" t="n">
        <x:v>-9.412232509999999</x:v>
      </x:c>
      <x:c r="K189" s="107" t="n">
        <x:v>-9.63306584</x:v>
      </x:c>
      <x:c r="L189" s="107" t="n">
        <x:v>-9.63306584</x:v>
      </x:c>
      <x:c r="M189" s="107" t="n">
        <x:v>-9.63306584</x:v>
      </x:c>
      <x:c r="N189" s="108"/>
      <x:c r="O189" s="108"/>
      <x:c r="P189" s="108"/>
      <x:c r="Q189" s="9" t="str">
        <x:v>Actual</x:v>
      </x:c>
      <x:c r="R189" s="9" t="n">
        <x:v>2025</x:v>
      </x:c>
      <x:c r="S189" s="9" t="str">
        <x:v>2025-07</x:v>
      </x:c>
    </x:row>
    <x:row r="190" ht="17" customHeight="1">
      <x:c r="A190" s="9" t="str">
        <x:v>2025-07-01</x:v>
      </x:c>
      <x:c r="B190" s="9" t="str">
        <x:v>Sales</x:v>
      </x:c>
      <x:c r="C190" s="107" t="n">
        <x:v>61.71202246</x:v>
      </x:c>
      <x:c r="D190" s="107" t="n">
        <x:v>0.1075</x:v>
      </x:c>
      <x:c r="E190" s="107" t="n">
        <x:v>0</x:v>
      </x:c>
      <x:c r="F190" s="107" t="n">
        <x:v>20.93844473</x:v>
      </x:c>
      <x:c r="G190" s="107" t="n">
        <x:v>120.57777246</x:v>
      </x:c>
      <x:c r="H190" s="107" t="n">
        <x:v>0</x:v>
      </x:c>
      <x:c r="I190" s="107" t="n">
        <x:v>58.865750000000006</x:v>
      </x:c>
      <x:c r="J190" s="107" t="n">
        <x:v>37.92730527000001</x:v>
      </x:c>
      <x:c r="K190" s="107" t="n">
        <x:v>37.81980527000001</x:v>
      </x:c>
      <x:c r="L190" s="107" t="n">
        <x:v>37.81980527000001</x:v>
      </x:c>
      <x:c r="M190" s="107" t="n">
        <x:v>37.81980527000001</x:v>
      </x:c>
      <x:c r="N190" s="108" t="n">
        <x:v>0.4881973584271338</x:v>
      </x:c>
      <x:c r="O190" s="108" t="n">
        <x:v>0.31454640848156207</x:v>
      </x:c>
      <x:c r="P190" s="108" t="n">
        <x:v>0.31365486771242357</x:v>
      </x:c>
      <x:c r="Q190" s="9" t="str">
        <x:v>Actual</x:v>
      </x:c>
      <x:c r="R190" s="9" t="n">
        <x:v>2025</x:v>
      </x:c>
      <x:c r="S190" s="9" t="str">
        <x:v>2025-07</x:v>
      </x:c>
    </x:row>
    <x:row r="191" ht="17" customHeight="1">
      <x:c r="A191" s="9" t="str">
        <x:v>2025-07-01</x:v>
      </x:c>
      <x:c r="B191" s="9" t="str">
        <x:v>Technology</x:v>
      </x:c>
      <x:c r="C191" s="107" t="n">
        <x:v>0</x:v>
      </x:c>
      <x:c r="D191" s="107" t="n">
        <x:v>0.42604167</x:v>
      </x:c>
      <x:c r="E191" s="107" t="n">
        <x:v>0</x:v>
      </x:c>
      <x:c r="F191" s="107" t="n">
        <x:v>8.446921629999999</x:v>
      </x:c>
      <x:c r="G191" s="107" t="n">
        <x:v>0</x:v>
      </x:c>
      <x:c r="H191" s="107" t="n">
        <x:v>0</x:v>
      </x:c>
      <x:c r="I191" s="107" t="n">
        <x:v>0</x:v>
      </x:c>
      <x:c r="J191" s="107" t="n">
        <x:v>-8.446921629999999</x:v>
      </x:c>
      <x:c r="K191" s="107" t="n">
        <x:v>-8.872963299999999</x:v>
      </x:c>
      <x:c r="L191" s="107" t="n">
        <x:v>-8.872963299999999</x:v>
      </x:c>
      <x:c r="M191" s="107" t="n">
        <x:v>-8.872963299999999</x:v>
      </x:c>
      <x:c r="N191" s="108"/>
      <x:c r="O191" s="108"/>
      <x:c r="P191" s="108"/>
      <x:c r="Q191" s="9" t="str">
        <x:v>Actual</x:v>
      </x:c>
      <x:c r="R191" s="9" t="n">
        <x:v>2025</x:v>
      </x:c>
      <x:c r="S191" s="9" t="str">
        <x:v>2025-07</x:v>
      </x:c>
    </x:row>
    <x:row r="192" ht="17" customHeight="1">
      <x:c r="A192" s="9" t="str">
        <x:v>2025-08-01</x:v>
      </x:c>
      <x:c r="B192" s="9" t="str">
        <x:v>Customer Success</x:v>
      </x:c>
      <x:c r="C192" s="107" t="n">
        <x:v>1.9646074500000001</x:v>
      </x:c>
      <x:c r="D192" s="107" t="n">
        <x:v>0.19479167</x:v>
      </x:c>
      <x:c r="E192" s="107" t="n">
        <x:v>0</x:v>
      </x:c>
      <x:c r="F192" s="107" t="n">
        <x:v>3.240188</x:v>
      </x:c>
      <x:c r="G192" s="107" t="n">
        <x:v>7.7120894</x:v>
      </x:c>
      <x:c r="H192" s="107" t="n">
        <x:v>0</x:v>
      </x:c>
      <x:c r="I192" s="107" t="n">
        <x:v>5.74748195</x:v>
      </x:c>
      <x:c r="J192" s="107" t="n">
        <x:v>2.50729395</x:v>
      </x:c>
      <x:c r="K192" s="107" t="n">
        <x:v>2.3125022800000004</x:v>
      </x:c>
      <x:c r="L192" s="107" t="n">
        <x:v>2.3125022800000004</x:v>
      </x:c>
      <x:c r="M192" s="107" t="n">
        <x:v>2.3125022800000004</x:v>
      </x:c>
      <x:c r="N192" s="108" t="n">
        <x:v>0.7452561364239372</x:v>
      </x:c>
      <x:c r="O192" s="108" t="n">
        <x:v>0.32511214794787</x:v>
      </x:c>
      <x:c r="P192" s="108" t="n">
        <x:v>0.2998541847816235</x:v>
      </x:c>
      <x:c r="Q192" s="9" t="str">
        <x:v>Actual</x:v>
      </x:c>
      <x:c r="R192" s="9" t="n">
        <x:v>2025</x:v>
      </x:c>
      <x:c r="S192" s="9" t="str">
        <x:v>2025-08</x:v>
      </x:c>
    </x:row>
    <x:row r="193" ht="17" customHeight="1">
      <x:c r="A193" s="9" t="str">
        <x:v>2025-08-01</x:v>
      </x:c>
      <x:c r="B193" s="9" t="str">
        <x:v>Finance &amp; Corporate</x:v>
      </x:c>
      <x:c r="C193" s="107" t="n">
        <x:v>0</x:v>
      </x:c>
      <x:c r="D193" s="107" t="n">
        <x:v>0</x:v>
      </x:c>
      <x:c r="E193" s="107" t="n">
        <x:v>0.471912</x:v>
      </x:c>
      <x:c r="F193" s="107" t="n">
        <x:v>6.8502980099999995</x:v>
      </x:c>
      <x:c r="G193" s="107" t="n">
        <x:v>0</x:v>
      </x:c>
      <x:c r="H193" s="107" t="n">
        <x:v>1.22086932</x:v>
      </x:c>
      <x:c r="I193" s="107" t="n">
        <x:v>0</x:v>
      </x:c>
      <x:c r="J193" s="107" t="n">
        <x:v>-6.8502980099999995</x:v>
      </x:c>
      <x:c r="K193" s="107" t="n">
        <x:v>-6.8502980099999995</x:v>
      </x:c>
      <x:c r="L193" s="107" t="n">
        <x:v>-7.32221001</x:v>
      </x:c>
      <x:c r="M193" s="107" t="n">
        <x:v>-8.54307933</x:v>
      </x:c>
      <x:c r="N193" s="108"/>
      <x:c r="O193" s="108"/>
      <x:c r="P193" s="108"/>
      <x:c r="Q193" s="9" t="str">
        <x:v>Actual</x:v>
      </x:c>
      <x:c r="R193" s="9" t="n">
        <x:v>2025</x:v>
      </x:c>
      <x:c r="S193" s="9" t="str">
        <x:v>2025-08</x:v>
      </x:c>
    </x:row>
    <x:row r="194" ht="17" customHeight="1">
      <x:c r="A194" s="9" t="str">
        <x:v>2025-08-01</x:v>
      </x:c>
      <x:c r="B194" s="9" t="str">
        <x:v>Marketing</x:v>
      </x:c>
      <x:c r="C194" s="107" t="n">
        <x:v>0</x:v>
      </x:c>
      <x:c r="D194" s="107" t="n">
        <x:v>0</x:v>
      </x:c>
      <x:c r="E194" s="107" t="n">
        <x:v>0</x:v>
      </x:c>
      <x:c r="F194" s="107" t="n">
        <x:v>7.168427860000001</x:v>
      </x:c>
      <x:c r="G194" s="107" t="n">
        <x:v>0</x:v>
      </x:c>
      <x:c r="H194" s="107" t="n">
        <x:v>0</x:v>
      </x:c>
      <x:c r="I194" s="107" t="n">
        <x:v>0</x:v>
      </x:c>
      <x:c r="J194" s="107" t="n">
        <x:v>-7.168427860000001</x:v>
      </x:c>
      <x:c r="K194" s="107" t="n">
        <x:v>-7.168427860000001</x:v>
      </x:c>
      <x:c r="L194" s="107" t="n">
        <x:v>-7.168427860000001</x:v>
      </x:c>
      <x:c r="M194" s="107" t="n">
        <x:v>-7.168427860000001</x:v>
      </x:c>
      <x:c r="N194" s="108"/>
      <x:c r="O194" s="108"/>
      <x:c r="P194" s="108"/>
      <x:c r="Q194" s="9" t="str">
        <x:v>Actual</x:v>
      </x:c>
      <x:c r="R194" s="9" t="n">
        <x:v>2025</x:v>
      </x:c>
      <x:c r="S194" s="9" t="str">
        <x:v>2025-08</x:v>
      </x:c>
    </x:row>
    <x:row r="195" ht="17" customHeight="1">
      <x:c r="A195" s="9" t="str">
        <x:v>2025-08-01</x:v>
      </x:c>
      <x:c r="B195" s="9" t="str">
        <x:v>Operations</x:v>
      </x:c>
      <x:c r="C195" s="107" t="n">
        <x:v>0</x:v>
      </x:c>
      <x:c r="D195" s="107" t="n">
        <x:v>0.22083333</x:v>
      </x:c>
      <x:c r="E195" s="107" t="n">
        <x:v>0</x:v>
      </x:c>
      <x:c r="F195" s="107" t="n">
        <x:v>9.58577312</x:v>
      </x:c>
      <x:c r="G195" s="107" t="n">
        <x:v>0</x:v>
      </x:c>
      <x:c r="H195" s="107" t="n">
        <x:v>0</x:v>
      </x:c>
      <x:c r="I195" s="107" t="n">
        <x:v>0</x:v>
      </x:c>
      <x:c r="J195" s="107" t="n">
        <x:v>-9.58577312</x:v>
      </x:c>
      <x:c r="K195" s="107" t="n">
        <x:v>-9.80660645</x:v>
      </x:c>
      <x:c r="L195" s="107" t="n">
        <x:v>-9.80660645</x:v>
      </x:c>
      <x:c r="M195" s="107" t="n">
        <x:v>-9.80660645</x:v>
      </x:c>
      <x:c r="N195" s="108"/>
      <x:c r="O195" s="108"/>
      <x:c r="P195" s="108"/>
      <x:c r="Q195" s="9" t="str">
        <x:v>Actual</x:v>
      </x:c>
      <x:c r="R195" s="9" t="n">
        <x:v>2025</x:v>
      </x:c>
      <x:c r="S195" s="9" t="str">
        <x:v>2025-08</x:v>
      </x:c>
    </x:row>
    <x:row r="196" ht="17" customHeight="1">
      <x:c r="A196" s="9" t="str">
        <x:v>2025-08-01</x:v>
      </x:c>
      <x:c r="B196" s="9" t="str">
        <x:v>Sales</x:v>
      </x:c>
      <x:c r="C196" s="107" t="n">
        <x:v>58.90700801</x:v>
      </x:c>
      <x:c r="D196" s="107" t="n">
        <x:v>0.1075</x:v>
      </x:c>
      <x:c r="E196" s="107" t="n">
        <x:v>0</x:v>
      </x:c>
      <x:c r="F196" s="107" t="n">
        <x:v>20.92309684</x:v>
      </x:c>
      <x:c r="G196" s="107" t="n">
        <x:v>115.80098081</x:v>
      </x:c>
      <x:c r="H196" s="107" t="n">
        <x:v>0</x:v>
      </x:c>
      <x:c r="I196" s="107" t="n">
        <x:v>56.89397280000001</x:v>
      </x:c>
      <x:c r="J196" s="107" t="n">
        <x:v>35.97087596000001</x:v>
      </x:c>
      <x:c r="K196" s="107" t="n">
        <x:v>35.863375960000006</x:v>
      </x:c>
      <x:c r="L196" s="107" t="n">
        <x:v>35.863375960000006</x:v>
      </x:c>
      <x:c r="M196" s="107" t="n">
        <x:v>35.863375960000006</x:v>
      </x:c>
      <x:c r="N196" s="108" t="n">
        <x:v>0.49130821174432504</x:v>
      </x:c>
      <x:c r="O196" s="108" t="n">
        <x:v>0.31062669511425883</x:v>
      </x:c>
      <x:c r="P196" s="108" t="n">
        <x:v>0.3096983782792194</x:v>
      </x:c>
      <x:c r="Q196" s="9" t="str">
        <x:v>Actual</x:v>
      </x:c>
      <x:c r="R196" s="9" t="n">
        <x:v>2025</x:v>
      </x:c>
      <x:c r="S196" s="9" t="str">
        <x:v>2025-08</x:v>
      </x:c>
    </x:row>
    <x:row r="197" ht="17" customHeight="1">
      <x:c r="A197" s="9" t="str">
        <x:v>2025-08-01</x:v>
      </x:c>
      <x:c r="B197" s="9" t="str">
        <x:v>Technology</x:v>
      </x:c>
      <x:c r="C197" s="107" t="n">
        <x:v>0</x:v>
      </x:c>
      <x:c r="D197" s="107" t="n">
        <x:v>0.42604167</x:v>
      </x:c>
      <x:c r="E197" s="107" t="n">
        <x:v>0</x:v>
      </x:c>
      <x:c r="F197" s="107" t="n">
        <x:v>8.56911498</x:v>
      </x:c>
      <x:c r="G197" s="107" t="n">
        <x:v>0</x:v>
      </x:c>
      <x:c r="H197" s="107" t="n">
        <x:v>0</x:v>
      </x:c>
      <x:c r="I197" s="107" t="n">
        <x:v>0</x:v>
      </x:c>
      <x:c r="J197" s="107" t="n">
        <x:v>-8.56911498</x:v>
      </x:c>
      <x:c r="K197" s="107" t="n">
        <x:v>-8.99515665</x:v>
      </x:c>
      <x:c r="L197" s="107" t="n">
        <x:v>-8.99515665</x:v>
      </x:c>
      <x:c r="M197" s="107" t="n">
        <x:v>-8.99515665</x:v>
      </x:c>
      <x:c r="N197" s="108"/>
      <x:c r="O197" s="108"/>
      <x:c r="P197" s="108"/>
      <x:c r="Q197" s="9" t="str">
        <x:v>Actual</x:v>
      </x:c>
      <x:c r="R197" s="9" t="n">
        <x:v>2025</x:v>
      </x:c>
      <x:c r="S197" s="9" t="str">
        <x:v>2025-08</x:v>
      </x:c>
    </x:row>
    <x:row r="198" ht="17" customHeight="1">
      <x:c r="A198" s="9" t="str">
        <x:v>2025-09-01</x:v>
      </x:c>
      <x:c r="B198" s="9" t="str">
        <x:v>Customer Success</x:v>
      </x:c>
      <x:c r="C198" s="107" t="n">
        <x:v>1.92013023</x:v>
      </x:c>
      <x:c r="D198" s="107" t="n">
        <x:v>0.19479167</x:v>
      </x:c>
      <x:c r="E198" s="107" t="n">
        <x:v>0</x:v>
      </x:c>
      <x:c r="F198" s="107" t="n">
        <x:v>3.23503588</x:v>
      </x:c>
      <x:c r="G198" s="107" t="n">
        <x:v>7.602566820000001</x:v>
      </x:c>
      <x:c r="H198" s="107" t="n">
        <x:v>0</x:v>
      </x:c>
      <x:c r="I198" s="107" t="n">
        <x:v>5.68243659</x:v>
      </x:c>
      <x:c r="J198" s="107" t="n">
        <x:v>2.44740071</x:v>
      </x:c>
      <x:c r="K198" s="107" t="n">
        <x:v>2.25260904</x:v>
      </x:c>
      <x:c r="L198" s="107" t="n">
        <x:v>2.25260904</x:v>
      </x:c>
      <x:c r="M198" s="107" t="n">
        <x:v>2.25260904</x:v>
      </x:c>
      <x:c r="N198" s="108" t="n">
        <x:v>0.7474365861607777</x:v>
      </x:c>
      <x:c r="O198" s="108" t="n">
        <x:v>0.32191768490105815</x:v>
      </x:c>
      <x:c r="P198" s="108" t="n">
        <x:v>0.2962958555094949</x:v>
      </x:c>
      <x:c r="Q198" s="9" t="str">
        <x:v>Actual</x:v>
      </x:c>
      <x:c r="R198" s="9" t="n">
        <x:v>2025</x:v>
      </x:c>
      <x:c r="S198" s="9" t="str">
        <x:v>2025-09</x:v>
      </x:c>
    </x:row>
    <x:row r="199" ht="17" customHeight="1">
      <x:c r="A199" s="9" t="str">
        <x:v>2025-09-01</x:v>
      </x:c>
      <x:c r="B199" s="9" t="str">
        <x:v>Finance &amp; Corporate</x:v>
      </x:c>
      <x:c r="C199" s="107" t="n">
        <x:v>0</x:v>
      </x:c>
      <x:c r="D199" s="107" t="n">
        <x:v>0</x:v>
      </x:c>
      <x:c r="E199" s="107" t="n">
        <x:v>0.471912</x:v>
      </x:c>
      <x:c r="F199" s="107" t="n">
        <x:v>6.53219822</x:v>
      </x:c>
      <x:c r="G199" s="107" t="n">
        <x:v>0</x:v>
      </x:c>
      <x:c r="H199" s="107" t="n">
        <x:v>3.0002487799999997</x:v>
      </x:c>
      <x:c r="I199" s="107" t="n">
        <x:v>0</x:v>
      </x:c>
      <x:c r="J199" s="107" t="n">
        <x:v>-6.53219822</x:v>
      </x:c>
      <x:c r="K199" s="107" t="n">
        <x:v>-6.53219822</x:v>
      </x:c>
      <x:c r="L199" s="107" t="n">
        <x:v>-7.004110219999999</x:v>
      </x:c>
      <x:c r="M199" s="107" t="n">
        <x:v>-10.004359</x:v>
      </x:c>
      <x:c r="N199" s="108"/>
      <x:c r="O199" s="108"/>
      <x:c r="P199" s="108"/>
      <x:c r="Q199" s="9" t="str">
        <x:v>Actual</x:v>
      </x:c>
      <x:c r="R199" s="9" t="n">
        <x:v>2025</x:v>
      </x:c>
      <x:c r="S199" s="9" t="str">
        <x:v>2025-09</x:v>
      </x:c>
    </x:row>
    <x:row r="200" ht="17" customHeight="1">
      <x:c r="A200" s="9" t="str">
        <x:v>2025-09-01</x:v>
      </x:c>
      <x:c r="B200" s="9" t="str">
        <x:v>Marketing</x:v>
      </x:c>
      <x:c r="C200" s="107" t="n">
        <x:v>0</x:v>
      </x:c>
      <x:c r="D200" s="107" t="n">
        <x:v>0</x:v>
      </x:c>
      <x:c r="E200" s="107" t="n">
        <x:v>0</x:v>
      </x:c>
      <x:c r="F200" s="107" t="n">
        <x:v>7.05322154</x:v>
      </x:c>
      <x:c r="G200" s="107" t="n">
        <x:v>0</x:v>
      </x:c>
      <x:c r="H200" s="107" t="n">
        <x:v>0</x:v>
      </x:c>
      <x:c r="I200" s="107" t="n">
        <x:v>0</x:v>
      </x:c>
      <x:c r="J200" s="107" t="n">
        <x:v>-7.05322154</x:v>
      </x:c>
      <x:c r="K200" s="107" t="n">
        <x:v>-7.05322154</x:v>
      </x:c>
      <x:c r="L200" s="107" t="n">
        <x:v>-7.05322154</x:v>
      </x:c>
      <x:c r="M200" s="107" t="n">
        <x:v>-7.05322154</x:v>
      </x:c>
      <x:c r="N200" s="108"/>
      <x:c r="O200" s="108"/>
      <x:c r="P200" s="108"/>
      <x:c r="Q200" s="9" t="str">
        <x:v>Actual</x:v>
      </x:c>
      <x:c r="R200" s="9" t="n">
        <x:v>2025</x:v>
      </x:c>
      <x:c r="S200" s="9" t="str">
        <x:v>2025-09</x:v>
      </x:c>
    </x:row>
    <x:row r="201" ht="17" customHeight="1">
      <x:c r="A201" s="9" t="str">
        <x:v>2025-09-01</x:v>
      </x:c>
      <x:c r="B201" s="9" t="str">
        <x:v>Operations</x:v>
      </x:c>
      <x:c r="C201" s="107" t="n">
        <x:v>0</x:v>
      </x:c>
      <x:c r="D201" s="107" t="n">
        <x:v>0.22083333</x:v>
      </x:c>
      <x:c r="E201" s="107" t="n">
        <x:v>0</x:v>
      </x:c>
      <x:c r="F201" s="107" t="n">
        <x:v>9.303985599999999</x:v>
      </x:c>
      <x:c r="G201" s="107" t="n">
        <x:v>0</x:v>
      </x:c>
      <x:c r="H201" s="107" t="n">
        <x:v>0</x:v>
      </x:c>
      <x:c r="I201" s="107" t="n">
        <x:v>0</x:v>
      </x:c>
      <x:c r="J201" s="107" t="n">
        <x:v>-9.303985599999999</x:v>
      </x:c>
      <x:c r="K201" s="107" t="n">
        <x:v>-9.52481893</x:v>
      </x:c>
      <x:c r="L201" s="107" t="n">
        <x:v>-9.52481893</x:v>
      </x:c>
      <x:c r="M201" s="107" t="n">
        <x:v>-9.52481893</x:v>
      </x:c>
      <x:c r="N201" s="108"/>
      <x:c r="O201" s="108"/>
      <x:c r="P201" s="108"/>
      <x:c r="Q201" s="9" t="str">
        <x:v>Actual</x:v>
      </x:c>
      <x:c r="R201" s="9" t="n">
        <x:v>2025</x:v>
      </x:c>
      <x:c r="S201" s="9" t="str">
        <x:v>2025-09</x:v>
      </x:c>
    </x:row>
    <x:row r="202" ht="17" customHeight="1">
      <x:c r="A202" s="9" t="str">
        <x:v>2025-09-01</x:v>
      </x:c>
      <x:c r="B202" s="9" t="str">
        <x:v>Sales</x:v>
      </x:c>
      <x:c r="C202" s="107" t="n">
        <x:v>69.10268635</x:v>
      </x:c>
      <x:c r="D202" s="107" t="n">
        <x:v>0.24166667</x:v>
      </x:c>
      <x:c r="E202" s="107" t="n">
        <x:v>0</x:v>
      </x:c>
      <x:c r="F202" s="107" t="n">
        <x:v>21.604391309999997</x:v>
      </x:c>
      <x:c r="G202" s="107" t="n">
        <x:v>133.35747638</x:v>
      </x:c>
      <x:c r="H202" s="107" t="n">
        <x:v>0</x:v>
      </x:c>
      <x:c r="I202" s="107" t="n">
        <x:v>64.25479003</x:v>
      </x:c>
      <x:c r="J202" s="107" t="n">
        <x:v>42.65039872</x:v>
      </x:c>
      <x:c r="K202" s="107" t="n">
        <x:v>42.40873205</x:v>
      </x:c>
      <x:c r="L202" s="107" t="n">
        <x:v>42.40873205</x:v>
      </x:c>
      <x:c r="M202" s="107" t="n">
        <x:v>42.40873205</x:v>
      </x:c>
      <x:c r="N202" s="108" t="n">
        <x:v>0.48182368003805803</x:v>
      </x:c>
      <x:c r="O202" s="108" t="n">
        <x:v>0.3198200796666875</x:v>
      </x:c>
      <x:c r="P202" s="108" t="n">
        <x:v>0.3180079077768163</x:v>
      </x:c>
      <x:c r="Q202" s="9" t="str">
        <x:v>Actual</x:v>
      </x:c>
      <x:c r="R202" s="9" t="n">
        <x:v>2025</x:v>
      </x:c>
      <x:c r="S202" s="9" t="str">
        <x:v>2025-09</x:v>
      </x:c>
    </x:row>
    <x:row r="203" ht="17" customHeight="1">
      <x:c r="A203" s="9" t="str">
        <x:v>2025-09-01</x:v>
      </x:c>
      <x:c r="B203" s="9" t="str">
        <x:v>Technology</x:v>
      </x:c>
      <x:c r="C203" s="107" t="n">
        <x:v>0</x:v>
      </x:c>
      <x:c r="D203" s="107" t="n">
        <x:v>0.42604167</x:v>
      </x:c>
      <x:c r="E203" s="107" t="n">
        <x:v>0</x:v>
      </x:c>
      <x:c r="F203" s="107" t="n">
        <x:v>8.65215361</x:v>
      </x:c>
      <x:c r="G203" s="107" t="n">
        <x:v>0</x:v>
      </x:c>
      <x:c r="H203" s="107" t="n">
        <x:v>0</x:v>
      </x:c>
      <x:c r="I203" s="107" t="n">
        <x:v>0</x:v>
      </x:c>
      <x:c r="J203" s="107" t="n">
        <x:v>-8.65215361</x:v>
      </x:c>
      <x:c r="K203" s="107" t="n">
        <x:v>-9.07819528</x:v>
      </x:c>
      <x:c r="L203" s="107" t="n">
        <x:v>-9.07819528</x:v>
      </x:c>
      <x:c r="M203" s="107" t="n">
        <x:v>-9.07819528</x:v>
      </x:c>
      <x:c r="N203" s="108"/>
      <x:c r="O203" s="108"/>
      <x:c r="P203" s="108"/>
      <x:c r="Q203" s="9" t="str">
        <x:v>Actual</x:v>
      </x:c>
      <x:c r="R203" s="9" t="n">
        <x:v>2025</x:v>
      </x:c>
      <x:c r="S203" s="9" t="str">
        <x:v>2025-09</x:v>
      </x:c>
    </x:row>
    <x:row r="204" ht="17" customHeight="1">
      <x:c r="A204" s="9" t="str">
        <x:v>2025-10-01</x:v>
      </x:c>
      <x:c r="B204" s="9" t="str">
        <x:v>Customer Success</x:v>
      </x:c>
      <x:c r="C204" s="107" t="n">
        <x:v>2.1602121299999997</x:v>
      </x:c>
      <x:c r="D204" s="107" t="n">
        <x:v>0.19479167</x:v>
      </x:c>
      <x:c r="E204" s="107" t="n">
        <x:v>0</x:v>
      </x:c>
      <x:c r="F204" s="107" t="n">
        <x:v>3.2370088699999995</x:v>
      </x:c>
      <x:c r="G204" s="107" t="n">
        <x:v>8.52372371</x:v>
      </x:c>
      <x:c r="H204" s="107" t="n">
        <x:v>0</x:v>
      </x:c>
      <x:c r="I204" s="107" t="n">
        <x:v>6.363511580000001</x:v>
      </x:c>
      <x:c r="J204" s="107" t="n">
        <x:v>3.1265027100000014</x:v>
      </x:c>
      <x:c r="K204" s="107" t="n">
        <x:v>2.9317110400000015</x:v>
      </x:c>
      <x:c r="L204" s="107" t="n">
        <x:v>2.9317110400000015</x:v>
      </x:c>
      <x:c r="M204" s="107" t="n">
        <x:v>2.9317110400000015</x:v>
      </x:c>
      <x:c r="N204" s="108" t="n">
        <x:v>0.7465647405410798</x:v>
      </x:c>
      <x:c r="O204" s="108" t="n">
        <x:v>0.3668001000938123</x:v>
      </x:c>
      <x:c r="P204" s="108" t="n">
        <x:v>0.3439472159990978</x:v>
      </x:c>
      <x:c r="Q204" s="9" t="str">
        <x:v>Actual</x:v>
      </x:c>
      <x:c r="R204" s="9" t="n">
        <x:v>2025</x:v>
      </x:c>
      <x:c r="S204" s="9" t="str">
        <x:v>2025-10</x:v>
      </x:c>
    </x:row>
    <x:row r="205" ht="17" customHeight="1">
      <x:c r="A205" s="9" t="str">
        <x:v>2025-10-01</x:v>
      </x:c>
      <x:c r="B205" s="9" t="str">
        <x:v>Finance &amp; Corporate</x:v>
      </x:c>
      <x:c r="C205" s="107" t="n">
        <x:v>0</x:v>
      </x:c>
      <x:c r="D205" s="107" t="n">
        <x:v>0</x:v>
      </x:c>
      <x:c r="E205" s="107" t="n">
        <x:v>0.471912</x:v>
      </x:c>
      <x:c r="F205" s="107" t="n">
        <x:v>6.62503859</x:v>
      </x:c>
      <x:c r="G205" s="107" t="n">
        <x:v>0</x:v>
      </x:c>
      <x:c r="H205" s="107" t="n">
        <x:v>3.76888231</x:v>
      </x:c>
      <x:c r="I205" s="107" t="n">
        <x:v>0</x:v>
      </x:c>
      <x:c r="J205" s="107" t="n">
        <x:v>-6.62503859</x:v>
      </x:c>
      <x:c r="K205" s="107" t="n">
        <x:v>-6.62503859</x:v>
      </x:c>
      <x:c r="L205" s="107" t="n">
        <x:v>-7.09695059</x:v>
      </x:c>
      <x:c r="M205" s="107" t="n">
        <x:v>-10.865832900000001</x:v>
      </x:c>
      <x:c r="N205" s="108"/>
      <x:c r="O205" s="108"/>
      <x:c r="P205" s="108"/>
      <x:c r="Q205" s="9" t="str">
        <x:v>Actual</x:v>
      </x:c>
      <x:c r="R205" s="9" t="n">
        <x:v>2025</x:v>
      </x:c>
      <x:c r="S205" s="9" t="str">
        <x:v>2025-10</x:v>
      </x:c>
    </x:row>
    <x:row r="206" ht="17" customHeight="1">
      <x:c r="A206" s="9" t="str">
        <x:v>2025-10-01</x:v>
      </x:c>
      <x:c r="B206" s="9" t="str">
        <x:v>Marketing</x:v>
      </x:c>
      <x:c r="C206" s="107" t="n">
        <x:v>0</x:v>
      </x:c>
      <x:c r="D206" s="107" t="n">
        <x:v>0</x:v>
      </x:c>
      <x:c r="E206" s="107" t="n">
        <x:v>0</x:v>
      </x:c>
      <x:c r="F206" s="107" t="n">
        <x:v>7.0732565</x:v>
      </x:c>
      <x:c r="G206" s="107" t="n">
        <x:v>0</x:v>
      </x:c>
      <x:c r="H206" s="107" t="n">
        <x:v>0</x:v>
      </x:c>
      <x:c r="I206" s="107" t="n">
        <x:v>0</x:v>
      </x:c>
      <x:c r="J206" s="107" t="n">
        <x:v>-7.0732565</x:v>
      </x:c>
      <x:c r="K206" s="107" t="n">
        <x:v>-7.0732565</x:v>
      </x:c>
      <x:c r="L206" s="107" t="n">
        <x:v>-7.0732565</x:v>
      </x:c>
      <x:c r="M206" s="107" t="n">
        <x:v>-7.0732565</x:v>
      </x:c>
      <x:c r="N206" s="108"/>
      <x:c r="O206" s="108"/>
      <x:c r="P206" s="108"/>
      <x:c r="Q206" s="9" t="str">
        <x:v>Actual</x:v>
      </x:c>
      <x:c r="R206" s="9" t="n">
        <x:v>2025</x:v>
      </x:c>
      <x:c r="S206" s="9" t="str">
        <x:v>2025-10</x:v>
      </x:c>
    </x:row>
    <x:row r="207" ht="17" customHeight="1">
      <x:c r="A207" s="9" t="str">
        <x:v>2025-10-01</x:v>
      </x:c>
      <x:c r="B207" s="9" t="str">
        <x:v>Operations</x:v>
      </x:c>
      <x:c r="C207" s="107" t="n">
        <x:v>0</x:v>
      </x:c>
      <x:c r="D207" s="107" t="n">
        <x:v>0.22083333</x:v>
      </x:c>
      <x:c r="E207" s="107" t="n">
        <x:v>0</x:v>
      </x:c>
      <x:c r="F207" s="107" t="n">
        <x:v>9.803728869999999</x:v>
      </x:c>
      <x:c r="G207" s="107" t="n">
        <x:v>0</x:v>
      </x:c>
      <x:c r="H207" s="107" t="n">
        <x:v>0</x:v>
      </x:c>
      <x:c r="I207" s="107" t="n">
        <x:v>0</x:v>
      </x:c>
      <x:c r="J207" s="107" t="n">
        <x:v>-9.803728869999999</x:v>
      </x:c>
      <x:c r="K207" s="107" t="n">
        <x:v>-10.0245622</x:v>
      </x:c>
      <x:c r="L207" s="107" t="n">
        <x:v>-10.0245622</x:v>
      </x:c>
      <x:c r="M207" s="107" t="n">
        <x:v>-10.0245622</x:v>
      </x:c>
      <x:c r="N207" s="108"/>
      <x:c r="O207" s="108"/>
      <x:c r="P207" s="108"/>
      <x:c r="Q207" s="9" t="str">
        <x:v>Actual</x:v>
      </x:c>
      <x:c r="R207" s="9" t="n">
        <x:v>2025</x:v>
      </x:c>
      <x:c r="S207" s="9" t="str">
        <x:v>2025-10</x:v>
      </x:c>
    </x:row>
    <x:row r="208" ht="17" customHeight="1">
      <x:c r="A208" s="9" t="str">
        <x:v>2025-10-01</x:v>
      </x:c>
      <x:c r="B208" s="9" t="str">
        <x:v>Sales</x:v>
      </x:c>
      <x:c r="C208" s="107" t="n">
        <x:v>71.74292838</x:v>
      </x:c>
      <x:c r="D208" s="107" t="n">
        <x:v>0.24166667</x:v>
      </x:c>
      <x:c r="E208" s="107" t="n">
        <x:v>0</x:v>
      </x:c>
      <x:c r="F208" s="107" t="n">
        <x:v>22.16025686</x:v>
      </x:c>
      <x:c r="G208" s="107" t="n">
        <x:v>139.78499428</x:v>
      </x:c>
      <x:c r="H208" s="107" t="n">
        <x:v>0</x:v>
      </x:c>
      <x:c r="I208" s="107" t="n">
        <x:v>68.04206590000001</x:v>
      </x:c>
      <x:c r="J208" s="107" t="n">
        <x:v>45.88180904000001</x:v>
      </x:c>
      <x:c r="K208" s="107" t="n">
        <x:v>45.64014237000001</x:v>
      </x:c>
      <x:c r="L208" s="107" t="n">
        <x:v>45.64014237000001</x:v>
      </x:c>
      <x:c r="M208" s="107" t="n">
        <x:v>45.64014237000001</x:v>
      </x:c>
      <x:c r="N208" s="108" t="n">
        <x:v>0.48676230414050425</x:v>
      </x:c>
      <x:c r="O208" s="108" t="n">
        <x:v>0.3282312903207282</x:v>
      </x:c>
      <x:c r="P208" s="108" t="n">
        <x:v>0.3265024447372321</x:v>
      </x:c>
      <x:c r="Q208" s="9" t="str">
        <x:v>Actual</x:v>
      </x:c>
      <x:c r="R208" s="9" t="n">
        <x:v>2025</x:v>
      </x:c>
      <x:c r="S208" s="9" t="str">
        <x:v>2025-10</x:v>
      </x:c>
    </x:row>
    <x:row r="209" ht="17" customHeight="1">
      <x:c r="A209" s="9" t="str">
        <x:v>2025-10-01</x:v>
      </x:c>
      <x:c r="B209" s="9" t="str">
        <x:v>Technology</x:v>
      </x:c>
      <x:c r="C209" s="107" t="n">
        <x:v>0</x:v>
      </x:c>
      <x:c r="D209" s="107" t="n">
        <x:v>0.42604167</x:v>
      </x:c>
      <x:c r="E209" s="107" t="n">
        <x:v>0</x:v>
      </x:c>
      <x:c r="F209" s="107" t="n">
        <x:v>8.87551323</x:v>
      </x:c>
      <x:c r="G209" s="107" t="n">
        <x:v>0</x:v>
      </x:c>
      <x:c r="H209" s="107" t="n">
        <x:v>0</x:v>
      </x:c>
      <x:c r="I209" s="107" t="n">
        <x:v>0</x:v>
      </x:c>
      <x:c r="J209" s="107" t="n">
        <x:v>-8.87551323</x:v>
      </x:c>
      <x:c r="K209" s="107" t="n">
        <x:v>-9.3015549</x:v>
      </x:c>
      <x:c r="L209" s="107" t="n">
        <x:v>-9.3015549</x:v>
      </x:c>
      <x:c r="M209" s="107" t="n">
        <x:v>-9.3015549</x:v>
      </x:c>
      <x:c r="N209" s="108"/>
      <x:c r="O209" s="108"/>
      <x:c r="P209" s="108"/>
      <x:c r="Q209" s="9" t="str">
        <x:v>Actual</x:v>
      </x:c>
      <x:c r="R209" s="9" t="n">
        <x:v>2025</x:v>
      </x:c>
      <x:c r="S209" s="9" t="str">
        <x:v>2025-10</x:v>
      </x:c>
    </x:row>
    <x:row r="210" ht="17" customHeight="1">
      <x:c r="A210" s="9" t="str">
        <x:v>2025-11-01</x:v>
      </x:c>
      <x:c r="B210" s="9" t="str">
        <x:v>Customer Success</x:v>
      </x:c>
      <x:c r="C210" s="107" t="n">
        <x:v>1.97993701</x:v>
      </x:c>
      <x:c r="D210" s="107" t="n">
        <x:v>0.19479167</x:v>
      </x:c>
      <x:c r="E210" s="107" t="n">
        <x:v>0</x:v>
      </x:c>
      <x:c r="F210" s="107" t="n">
        <x:v>3.22322103</x:v>
      </x:c>
      <x:c r="G210" s="107" t="n">
        <x:v>7.73152807</x:v>
      </x:c>
      <x:c r="H210" s="107" t="n">
        <x:v>0</x:v>
      </x:c>
      <x:c r="I210" s="107" t="n">
        <x:v>5.751591060000001</x:v>
      </x:c>
      <x:c r="J210" s="107" t="n">
        <x:v>2.528370030000001</x:v>
      </x:c>
      <x:c r="K210" s="107" t="n">
        <x:v>2.3335783600000006</x:v>
      </x:c>
      <x:c r="L210" s="107" t="n">
        <x:v>2.3335783600000006</x:v>
      </x:c>
      <x:c r="M210" s="107" t="n">
        <x:v>2.3335783600000006</x:v>
      </x:c>
      <x:c r="N210" s="108" t="n">
        <x:v>0.7439138819552912</x:v>
      </x:c>
      <x:c r="O210" s="108" t="n">
        <x:v>0.32702073989883357</x:v>
      </x:c>
      <x:c r="P210" s="108" t="n">
        <x:v>0.3018262805065391</x:v>
      </x:c>
      <x:c r="Q210" s="9" t="str">
        <x:v>Actual</x:v>
      </x:c>
      <x:c r="R210" s="9" t="n">
        <x:v>2025</x:v>
      </x:c>
      <x:c r="S210" s="9" t="str">
        <x:v>2025-11</x:v>
      </x:c>
    </x:row>
    <x:row r="211" ht="17" customHeight="1">
      <x:c r="A211" s="9" t="str">
        <x:v>2025-11-01</x:v>
      </x:c>
      <x:c r="B211" s="9" t="str">
        <x:v>Finance &amp; Corporate</x:v>
      </x:c>
      <x:c r="C211" s="107" t="n">
        <x:v>0</x:v>
      </x:c>
      <x:c r="D211" s="107" t="n">
        <x:v>0</x:v>
      </x:c>
      <x:c r="E211" s="107" t="n">
        <x:v>0.471912</x:v>
      </x:c>
      <x:c r="F211" s="107" t="n">
        <x:v>6.8330547699999995</x:v>
      </x:c>
      <x:c r="G211" s="107" t="n">
        <x:v>0</x:v>
      </x:c>
      <x:c r="H211" s="107" t="n">
        <x:v>4.63141753</x:v>
      </x:c>
      <x:c r="I211" s="107" t="n">
        <x:v>0</x:v>
      </x:c>
      <x:c r="J211" s="107" t="n">
        <x:v>-6.8330547699999995</x:v>
      </x:c>
      <x:c r="K211" s="107" t="n">
        <x:v>-6.8330547699999995</x:v>
      </x:c>
      <x:c r="L211" s="107" t="n">
        <x:v>-7.304966769999999</x:v>
      </x:c>
      <x:c r="M211" s="107" t="n">
        <x:v>-11.9363843</x:v>
      </x:c>
      <x:c r="N211" s="108"/>
      <x:c r="O211" s="108"/>
      <x:c r="P211" s="108"/>
      <x:c r="Q211" s="9" t="str">
        <x:v>Actual</x:v>
      </x:c>
      <x:c r="R211" s="9" t="n">
        <x:v>2025</x:v>
      </x:c>
      <x:c r="S211" s="9" t="str">
        <x:v>2025-11</x:v>
      </x:c>
    </x:row>
    <x:row r="212" ht="17" customHeight="1">
      <x:c r="A212" s="9" t="str">
        <x:v>2025-11-01</x:v>
      </x:c>
      <x:c r="B212" s="9" t="str">
        <x:v>Marketing</x:v>
      </x:c>
      <x:c r="C212" s="107" t="n">
        <x:v>0</x:v>
      </x:c>
      <x:c r="D212" s="107" t="n">
        <x:v>0</x:v>
      </x:c>
      <x:c r="E212" s="107" t="n">
        <x:v>0</x:v>
      </x:c>
      <x:c r="F212" s="107" t="n">
        <x:v>7.20075706</x:v>
      </x:c>
      <x:c r="G212" s="107" t="n">
        <x:v>0</x:v>
      </x:c>
      <x:c r="H212" s="107" t="n">
        <x:v>0</x:v>
      </x:c>
      <x:c r="I212" s="107" t="n">
        <x:v>0</x:v>
      </x:c>
      <x:c r="J212" s="107" t="n">
        <x:v>-7.20075706</x:v>
      </x:c>
      <x:c r="K212" s="107" t="n">
        <x:v>-7.20075706</x:v>
      </x:c>
      <x:c r="L212" s="107" t="n">
        <x:v>-7.20075706</x:v>
      </x:c>
      <x:c r="M212" s="107" t="n">
        <x:v>-7.20075706</x:v>
      </x:c>
      <x:c r="N212" s="108"/>
      <x:c r="O212" s="108"/>
      <x:c r="P212" s="108"/>
      <x:c r="Q212" s="9" t="str">
        <x:v>Actual</x:v>
      </x:c>
      <x:c r="R212" s="9" t="n">
        <x:v>2025</x:v>
      </x:c>
      <x:c r="S212" s="9" t="str">
        <x:v>2025-11</x:v>
      </x:c>
    </x:row>
    <x:row r="213" ht="17" customHeight="1">
      <x:c r="A213" s="9" t="str">
        <x:v>2025-11-01</x:v>
      </x:c>
      <x:c r="B213" s="9" t="str">
        <x:v>Operations</x:v>
      </x:c>
      <x:c r="C213" s="107" t="n">
        <x:v>0</x:v>
      </x:c>
      <x:c r="D213" s="107" t="n">
        <x:v>0.22083333</x:v>
      </x:c>
      <x:c r="E213" s="107" t="n">
        <x:v>0</x:v>
      </x:c>
      <x:c r="F213" s="107" t="n">
        <x:v>9.93683796</x:v>
      </x:c>
      <x:c r="G213" s="107" t="n">
        <x:v>0</x:v>
      </x:c>
      <x:c r="H213" s="107" t="n">
        <x:v>0</x:v>
      </x:c>
      <x:c r="I213" s="107" t="n">
        <x:v>0</x:v>
      </x:c>
      <x:c r="J213" s="107" t="n">
        <x:v>-9.93683796</x:v>
      </x:c>
      <x:c r="K213" s="107" t="n">
        <x:v>-10.157671290000001</x:v>
      </x:c>
      <x:c r="L213" s="107" t="n">
        <x:v>-10.157671290000001</x:v>
      </x:c>
      <x:c r="M213" s="107" t="n">
        <x:v>-10.157671290000001</x:v>
      </x:c>
      <x:c r="N213" s="108"/>
      <x:c r="O213" s="108"/>
      <x:c r="P213" s="108"/>
      <x:c r="Q213" s="9" t="str">
        <x:v>Actual</x:v>
      </x:c>
      <x:c r="R213" s="9" t="n">
        <x:v>2025</x:v>
      </x:c>
      <x:c r="S213" s="9" t="str">
        <x:v>2025-11</x:v>
      </x:c>
    </x:row>
    <x:row r="214" ht="17" customHeight="1">
      <x:c r="A214" s="9" t="str">
        <x:v>2025-11-01</x:v>
      </x:c>
      <x:c r="B214" s="9" t="str">
        <x:v>Sales</x:v>
      </x:c>
      <x:c r="C214" s="107" t="n">
        <x:v>75.52050905</x:v>
      </x:c>
      <x:c r="D214" s="107" t="n">
        <x:v>0.24166667</x:v>
      </x:c>
      <x:c r="E214" s="107" t="n">
        <x:v>0</x:v>
      </x:c>
      <x:c r="F214" s="107" t="n">
        <x:v>23.28730434</x:v>
      </x:c>
      <x:c r="G214" s="107" t="n">
        <x:v>149.18926817000002</x:v>
      </x:c>
      <x:c r="H214" s="107" t="n">
        <x:v>0</x:v>
      </x:c>
      <x:c r="I214" s="107" t="n">
        <x:v>73.66875912000002</x:v>
      </x:c>
      <x:c r="J214" s="107" t="n">
        <x:v>50.38145478000001</x:v>
      </x:c>
      <x:c r="K214" s="107" t="n">
        <x:v>50.13978811000001</x:v>
      </x:c>
      <x:c r="L214" s="107" t="n">
        <x:v>50.13978811000001</x:v>
      </x:c>
      <x:c r="M214" s="107" t="n">
        <x:v>50.13978811000001</x:v>
      </x:c>
      <x:c r="N214" s="108" t="n">
        <x:v>0.4937939573244306</x:v>
      </x:c>
      <x:c r="O214" s="108" t="n">
        <x:v>0.33770160144891076</x:v>
      </x:c>
      <x:c r="P214" s="108" t="n">
        <x:v>0.3360817351343671</x:v>
      </x:c>
      <x:c r="Q214" s="9" t="str">
        <x:v>Actual</x:v>
      </x:c>
      <x:c r="R214" s="9" t="n">
        <x:v>2025</x:v>
      </x:c>
      <x:c r="S214" s="9" t="str">
        <x:v>2025-11</x:v>
      </x:c>
    </x:row>
    <x:row r="215" ht="17" customHeight="1">
      <x:c r="A215" s="9" t="str">
        <x:v>2025-11-01</x:v>
      </x:c>
      <x:c r="B215" s="9" t="str">
        <x:v>Technology</x:v>
      </x:c>
      <x:c r="C215" s="107" t="n">
        <x:v>0</x:v>
      </x:c>
      <x:c r="D215" s="107" t="n">
        <x:v>0.42604167</x:v>
      </x:c>
      <x:c r="E215" s="107" t="n">
        <x:v>0</x:v>
      </x:c>
      <x:c r="F215" s="107" t="n">
        <x:v>8.858259550000001</x:v>
      </x:c>
      <x:c r="G215" s="107" t="n">
        <x:v>0</x:v>
      </x:c>
      <x:c r="H215" s="107" t="n">
        <x:v>0</x:v>
      </x:c>
      <x:c r="I215" s="107" t="n">
        <x:v>0</x:v>
      </x:c>
      <x:c r="J215" s="107" t="n">
        <x:v>-8.858259550000001</x:v>
      </x:c>
      <x:c r="K215" s="107" t="n">
        <x:v>-9.284301220000001</x:v>
      </x:c>
      <x:c r="L215" s="107" t="n">
        <x:v>-9.284301220000001</x:v>
      </x:c>
      <x:c r="M215" s="107" t="n">
        <x:v>-9.284301220000001</x:v>
      </x:c>
      <x:c r="N215" s="108"/>
      <x:c r="O215" s="108"/>
      <x:c r="P215" s="108"/>
      <x:c r="Q215" s="9" t="str">
        <x:v>Actual</x:v>
      </x:c>
      <x:c r="R215" s="9" t="n">
        <x:v>2025</x:v>
      </x:c>
      <x:c r="S215" s="9" t="str">
        <x:v>2025-11</x:v>
      </x:c>
    </x:row>
    <x:row r="216" ht="17" customHeight="1">
      <x:c r="A216" s="9" t="str">
        <x:v>2025-12-01</x:v>
      </x:c>
      <x:c r="B216" s="9" t="str">
        <x:v>Customer Success</x:v>
      </x:c>
      <x:c r="C216" s="107" t="n">
        <x:v>2.03954068</x:v>
      </x:c>
      <x:c r="D216" s="107" t="n">
        <x:v>0.19479167</x:v>
      </x:c>
      <x:c r="E216" s="107" t="n">
        <x:v>0</x:v>
      </x:c>
      <x:c r="F216" s="107" t="n">
        <x:v>3.2767605100000003</x:v>
      </x:c>
      <x:c r="G216" s="107" t="n">
        <x:v>8.07988932</x:v>
      </x:c>
      <x:c r="H216" s="107" t="n">
        <x:v>0</x:v>
      </x:c>
      <x:c r="I216" s="107" t="n">
        <x:v>6.04034864</x:v>
      </x:c>
      <x:c r="J216" s="107" t="n">
        <x:v>2.7635881300000005</x:v>
      </x:c>
      <x:c r="K216" s="107" t="n">
        <x:v>2.5687964600000006</x:v>
      </x:c>
      <x:c r="L216" s="107" t="n">
        <x:v>2.5687964600000006</x:v>
      </x:c>
      <x:c r="M216" s="107" t="n">
        <x:v>2.5687964600000006</x:v>
      </x:c>
      <x:c r="N216" s="108" t="n">
        <x:v>0.7475781413302826</x:v>
      </x:c>
      <x:c r="O216" s="108" t="n">
        <x:v>0.34203291908458966</x:v>
      </x:c>
      <x:c r="P216" s="108" t="n">
        <x:v>0.31792470889935415</x:v>
      </x:c>
      <x:c r="Q216" s="9" t="str">
        <x:v>Actual</x:v>
      </x:c>
      <x:c r="R216" s="9" t="n">
        <x:v>2025</x:v>
      </x:c>
      <x:c r="S216" s="9" t="str">
        <x:v>2025-12</x:v>
      </x:c>
    </x:row>
    <x:row r="217" ht="17" customHeight="1">
      <x:c r="A217" s="9" t="str">
        <x:v>2025-12-01</x:v>
      </x:c>
      <x:c r="B217" s="9" t="str">
        <x:v>Finance &amp; Corporate</x:v>
      </x:c>
      <x:c r="C217" s="107" t="n">
        <x:v>0</x:v>
      </x:c>
      <x:c r="D217" s="107" t="n">
        <x:v>0</x:v>
      </x:c>
      <x:c r="E217" s="107" t="n">
        <x:v>0.471912</x:v>
      </x:c>
      <x:c r="F217" s="107" t="n">
        <x:v>6.61655016</x:v>
      </x:c>
      <x:c r="G217" s="107" t="n">
        <x:v>0</x:v>
      </x:c>
      <x:c r="H217" s="107" t="n">
        <x:v>6.15823921</x:v>
      </x:c>
      <x:c r="I217" s="107" t="n">
        <x:v>0</x:v>
      </x:c>
      <x:c r="J217" s="107" t="n">
        <x:v>-6.61655016</x:v>
      </x:c>
      <x:c r="K217" s="107" t="n">
        <x:v>-6.61655016</x:v>
      </x:c>
      <x:c r="L217" s="107" t="n">
        <x:v>-7.08846216</x:v>
      </x:c>
      <x:c r="M217" s="107" t="n">
        <x:v>-13.24670137</x:v>
      </x:c>
      <x:c r="N217" s="108"/>
      <x:c r="O217" s="108"/>
      <x:c r="P217" s="108"/>
      <x:c r="Q217" s="9" t="str">
        <x:v>Actual</x:v>
      </x:c>
      <x:c r="R217" s="9" t="n">
        <x:v>2025</x:v>
      </x:c>
      <x:c r="S217" s="9" t="str">
        <x:v>2025-12</x:v>
      </x:c>
    </x:row>
    <x:row r="218" ht="17" customHeight="1">
      <x:c r="A218" s="9" t="str">
        <x:v>2025-12-01</x:v>
      </x:c>
      <x:c r="B218" s="9" t="str">
        <x:v>Marketing</x:v>
      </x:c>
      <x:c r="C218" s="107" t="n">
        <x:v>0</x:v>
      </x:c>
      <x:c r="D218" s="107" t="n">
        <x:v>0</x:v>
      </x:c>
      <x:c r="E218" s="107" t="n">
        <x:v>0</x:v>
      </x:c>
      <x:c r="F218" s="107" t="n">
        <x:v>7.0627962</x:v>
      </x:c>
      <x:c r="G218" s="107" t="n">
        <x:v>0</x:v>
      </x:c>
      <x:c r="H218" s="107" t="n">
        <x:v>0</x:v>
      </x:c>
      <x:c r="I218" s="107" t="n">
        <x:v>0</x:v>
      </x:c>
      <x:c r="J218" s="107" t="n">
        <x:v>-7.0627962</x:v>
      </x:c>
      <x:c r="K218" s="107" t="n">
        <x:v>-7.0627962</x:v>
      </x:c>
      <x:c r="L218" s="107" t="n">
        <x:v>-7.0627962</x:v>
      </x:c>
      <x:c r="M218" s="107" t="n">
        <x:v>-7.0627962</x:v>
      </x:c>
      <x:c r="N218" s="108"/>
      <x:c r="O218" s="108"/>
      <x:c r="P218" s="108"/>
      <x:c r="Q218" s="9" t="str">
        <x:v>Actual</x:v>
      </x:c>
      <x:c r="R218" s="9" t="n">
        <x:v>2025</x:v>
      </x:c>
      <x:c r="S218" s="9" t="str">
        <x:v>2025-12</x:v>
      </x:c>
    </x:row>
    <x:row r="219" ht="17" customHeight="1">
      <x:c r="A219" s="9" t="str">
        <x:v>2025-12-01</x:v>
      </x:c>
      <x:c r="B219" s="9" t="str">
        <x:v>Operations</x:v>
      </x:c>
      <x:c r="C219" s="107" t="n">
        <x:v>0</x:v>
      </x:c>
      <x:c r="D219" s="107" t="n">
        <x:v>0.22083333</x:v>
      </x:c>
      <x:c r="E219" s="107" t="n">
        <x:v>0</x:v>
      </x:c>
      <x:c r="F219" s="107" t="n">
        <x:v>10.10368491</x:v>
      </x:c>
      <x:c r="G219" s="107" t="n">
        <x:v>0</x:v>
      </x:c>
      <x:c r="H219" s="107" t="n">
        <x:v>0</x:v>
      </x:c>
      <x:c r="I219" s="107" t="n">
        <x:v>0</x:v>
      </x:c>
      <x:c r="J219" s="107" t="n">
        <x:v>-10.10368491</x:v>
      </x:c>
      <x:c r="K219" s="107" t="n">
        <x:v>-10.32451824</x:v>
      </x:c>
      <x:c r="L219" s="107" t="n">
        <x:v>-10.32451824</x:v>
      </x:c>
      <x:c r="M219" s="107" t="n">
        <x:v>-10.32451824</x:v>
      </x:c>
      <x:c r="N219" s="108"/>
      <x:c r="O219" s="108"/>
      <x:c r="P219" s="108"/>
      <x:c r="Q219" s="9" t="str">
        <x:v>Actual</x:v>
      </x:c>
      <x:c r="R219" s="9" t="n">
        <x:v>2025</x:v>
      </x:c>
      <x:c r="S219" s="9" t="str">
        <x:v>2025-12</x:v>
      </x:c>
    </x:row>
    <x:row r="220" ht="17" customHeight="1">
      <x:c r="A220" s="9" t="str">
        <x:v>2025-12-01</x:v>
      </x:c>
      <x:c r="B220" s="9" t="str">
        <x:v>Sales</x:v>
      </x:c>
      <x:c r="C220" s="107" t="n">
        <x:v>81.16931713000001</x:v>
      </x:c>
      <x:c r="D220" s="107" t="n">
        <x:v>0.24166667</x:v>
      </x:c>
      <x:c r="E220" s="107" t="n">
        <x:v>0</x:v>
      </x:c>
      <x:c r="F220" s="107" t="n">
        <x:v>23.77116935</x:v>
      </x:c>
      <x:c r="G220" s="107" t="n">
        <x:v>160.92601615</x:v>
      </x:c>
      <x:c r="H220" s="107" t="n">
        <x:v>0</x:v>
      </x:c>
      <x:c r="I220" s="107" t="n">
        <x:v>79.75669902</x:v>
      </x:c>
      <x:c r="J220" s="107" t="n">
        <x:v>55.98552966999999</x:v>
      </x:c>
      <x:c r="K220" s="107" t="n">
        <x:v>55.74386299999999</x:v>
      </x:c>
      <x:c r="L220" s="107" t="n">
        <x:v>55.74386299999999</x:v>
      </x:c>
      <x:c r="M220" s="107" t="n">
        <x:v>55.74386299999999</x:v>
      </x:c>
      <x:c r="N220" s="108" t="n">
        <x:v>0.49561097035831886</x:v>
      </x:c>
      <x:c r="O220" s="108" t="n">
        <x:v>0.34789607677739054</x:v>
      </x:c>
      <x:c r="P220" s="108" t="n">
        <x:v>0.346394351476649</x:v>
      </x:c>
      <x:c r="Q220" s="9" t="str">
        <x:v>Actual</x:v>
      </x:c>
      <x:c r="R220" s="9" t="n">
        <x:v>2025</x:v>
      </x:c>
      <x:c r="S220" s="9" t="str">
        <x:v>2025-12</x:v>
      </x:c>
    </x:row>
    <x:row r="221" ht="17" customHeight="1">
      <x:c r="A221" s="9" t="str">
        <x:v>2025-12-01</x:v>
      </x:c>
      <x:c r="B221" s="9" t="str">
        <x:v>Technology</x:v>
      </x:c>
      <x:c r="C221" s="107" t="n">
        <x:v>0</x:v>
      </x:c>
      <x:c r="D221" s="107" t="n">
        <x:v>0.42604167</x:v>
      </x:c>
      <x:c r="E221" s="107" t="n">
        <x:v>0</x:v>
      </x:c>
      <x:c r="F221" s="107" t="n">
        <x:v>8.77788436</x:v>
      </x:c>
      <x:c r="G221" s="107" t="n">
        <x:v>0</x:v>
      </x:c>
      <x:c r="H221" s="107" t="n">
        <x:v>0</x:v>
      </x:c>
      <x:c r="I221" s="107" t="n">
        <x:v>0</x:v>
      </x:c>
      <x:c r="J221" s="107" t="n">
        <x:v>-8.77788436</x:v>
      </x:c>
      <x:c r="K221" s="107" t="n">
        <x:v>-9.20392603</x:v>
      </x:c>
      <x:c r="L221" s="107" t="n">
        <x:v>-9.20392603</x:v>
      </x:c>
      <x:c r="M221" s="107" t="n">
        <x:v>-9.20392603</x:v>
      </x:c>
      <x:c r="N221" s="108"/>
      <x:c r="O221" s="108"/>
      <x:c r="P221" s="108"/>
      <x:c r="Q221" s="9" t="str">
        <x:v>Actual</x:v>
      </x:c>
      <x:c r="R221" s="9" t="n">
        <x:v>2025</x:v>
      </x:c>
      <x:c r="S221" s="9" t="str">
        <x:v>2025-12</x:v>
      </x:c>
    </x:row>
    <x:row r="222" ht="17" customHeight="1">
      <x:c r="A222" s="9" t="str">
        <x:v>2026-01-01</x:v>
      </x:c>
      <x:c r="B222" s="9" t="str">
        <x:v>Customer Success</x:v>
      </x:c>
      <x:c r="C222" s="107" t="n">
        <x:v>1.9683948500000001</x:v>
      </x:c>
      <x:c r="D222" s="107" t="n">
        <x:v>0.19479167</x:v>
      </x:c>
      <x:c r="E222" s="107" t="n">
        <x:v>0</x:v>
      </x:c>
      <x:c r="F222" s="107" t="n">
        <x:v>3.3456762</x:v>
      </x:c>
      <x:c r="G222" s="107" t="n">
        <x:v>7.8494106200000004</x:v>
      </x:c>
      <x:c r="H222" s="107" t="n">
        <x:v>0</x:v>
      </x:c>
      <x:c r="I222" s="107" t="n">
        <x:v>5.881015769999999</x:v>
      </x:c>
      <x:c r="J222" s="107" t="n">
        <x:v>2.535339569999999</x:v>
      </x:c>
      <x:c r="K222" s="107" t="n">
        <x:v>2.3405478999999993</x:v>
      </x:c>
      <x:c r="L222" s="107" t="n">
        <x:v>2.3405478999999993</x:v>
      </x:c>
      <x:c r="M222" s="107" t="n">
        <x:v>2.3405478999999993</x:v>
      </x:c>
      <x:c r="N222" s="108" t="n">
        <x:v>0.7492302358364836</x:v>
      </x:c>
      <x:c r="O222" s="108" t="n">
        <x:v>0.32299744436098815</x:v>
      </x:c>
      <x:c r="P222" s="108" t="n">
        <x:v>0.29818135568502074</x:v>
      </x:c>
      <x:c r="Q222" s="9" t="str">
        <x:v>Actual</x:v>
      </x:c>
      <x:c r="R222" s="9" t="n">
        <x:v>2026</x:v>
      </x:c>
      <x:c r="S222" s="9" t="str">
        <x:v>2026-01</x:v>
      </x:c>
    </x:row>
    <x:row r="223" ht="17" customHeight="1">
      <x:c r="A223" s="9" t="str">
        <x:v>2026-01-01</x:v>
      </x:c>
      <x:c r="B223" s="9" t="str">
        <x:v>Finance &amp; Corporate</x:v>
      </x:c>
      <x:c r="C223" s="107" t="n">
        <x:v>0</x:v>
      </x:c>
      <x:c r="D223" s="107" t="n">
        <x:v>0</x:v>
      </x:c>
      <x:c r="E223" s="107" t="n">
        <x:v>0.50022672</x:v>
      </x:c>
      <x:c r="F223" s="107" t="n">
        <x:v>6.85678265</x:v>
      </x:c>
      <x:c r="G223" s="107" t="n">
        <x:v>0</x:v>
      </x:c>
      <x:c r="H223" s="107" t="n">
        <x:v>0.70307781</x:v>
      </x:c>
      <x:c r="I223" s="107" t="n">
        <x:v>0</x:v>
      </x:c>
      <x:c r="J223" s="107" t="n">
        <x:v>-6.85678265</x:v>
      </x:c>
      <x:c r="K223" s="107" t="n">
        <x:v>-6.85678265</x:v>
      </x:c>
      <x:c r="L223" s="107" t="n">
        <x:v>-7.35700937</x:v>
      </x:c>
      <x:c r="M223" s="107" t="n">
        <x:v>-8.06008718</x:v>
      </x:c>
      <x:c r="N223" s="108"/>
      <x:c r="O223" s="108"/>
      <x:c r="P223" s="108"/>
      <x:c r="Q223" s="9" t="str">
        <x:v>Actual</x:v>
      </x:c>
      <x:c r="R223" s="9" t="n">
        <x:v>2026</x:v>
      </x:c>
      <x:c r="S223" s="9" t="str">
        <x:v>2026-01</x:v>
      </x:c>
    </x:row>
    <x:row r="224" ht="17" customHeight="1">
      <x:c r="A224" s="9" t="str">
        <x:v>2026-01-01</x:v>
      </x:c>
      <x:c r="B224" s="9" t="str">
        <x:v>Marketing</x:v>
      </x:c>
      <x:c r="C224" s="107" t="n">
        <x:v>0</x:v>
      </x:c>
      <x:c r="D224" s="107" t="n">
        <x:v>0</x:v>
      </x:c>
      <x:c r="E224" s="107" t="n">
        <x:v>0</x:v>
      </x:c>
      <x:c r="F224" s="107" t="n">
        <x:v>7.5219299</x:v>
      </x:c>
      <x:c r="G224" s="107" t="n">
        <x:v>0</x:v>
      </x:c>
      <x:c r="H224" s="107" t="n">
        <x:v>0</x:v>
      </x:c>
      <x:c r="I224" s="107" t="n">
        <x:v>0</x:v>
      </x:c>
      <x:c r="J224" s="107" t="n">
        <x:v>-7.5219299</x:v>
      </x:c>
      <x:c r="K224" s="107" t="n">
        <x:v>-7.5219299</x:v>
      </x:c>
      <x:c r="L224" s="107" t="n">
        <x:v>-7.5219299</x:v>
      </x:c>
      <x:c r="M224" s="107" t="n">
        <x:v>-7.5219299</x:v>
      </x:c>
      <x:c r="N224" s="108"/>
      <x:c r="O224" s="108"/>
      <x:c r="P224" s="108"/>
      <x:c r="Q224" s="9" t="str">
        <x:v>Actual</x:v>
      </x:c>
      <x:c r="R224" s="9" t="n">
        <x:v>2026</x:v>
      </x:c>
      <x:c r="S224" s="9" t="str">
        <x:v>2026-01</x:v>
      </x:c>
    </x:row>
    <x:row r="225" ht="17" customHeight="1">
      <x:c r="A225" s="9" t="str">
        <x:v>2026-01-01</x:v>
      </x:c>
      <x:c r="B225" s="9" t="str">
        <x:v>Operations</x:v>
      </x:c>
      <x:c r="C225" s="107" t="n">
        <x:v>0</x:v>
      </x:c>
      <x:c r="D225" s="107" t="n">
        <x:v>0.22083333</x:v>
      </x:c>
      <x:c r="E225" s="107" t="n">
        <x:v>0</x:v>
      </x:c>
      <x:c r="F225" s="107" t="n">
        <x:v>10.26876308</x:v>
      </x:c>
      <x:c r="G225" s="107" t="n">
        <x:v>0</x:v>
      </x:c>
      <x:c r="H225" s="107" t="n">
        <x:v>0</x:v>
      </x:c>
      <x:c r="I225" s="107" t="n">
        <x:v>0</x:v>
      </x:c>
      <x:c r="J225" s="107" t="n">
        <x:v>-10.26876308</x:v>
      </x:c>
      <x:c r="K225" s="107" t="n">
        <x:v>-10.48959641</x:v>
      </x:c>
      <x:c r="L225" s="107" t="n">
        <x:v>-10.48959641</x:v>
      </x:c>
      <x:c r="M225" s="107" t="n">
        <x:v>-10.48959641</x:v>
      </x:c>
      <x:c r="N225" s="108"/>
      <x:c r="O225" s="108"/>
      <x:c r="P225" s="108"/>
      <x:c r="Q225" s="9" t="str">
        <x:v>Actual</x:v>
      </x:c>
      <x:c r="R225" s="9" t="n">
        <x:v>2026</x:v>
      </x:c>
      <x:c r="S225" s="9" t="str">
        <x:v>2026-01</x:v>
      </x:c>
    </x:row>
    <x:row r="226" ht="17" customHeight="1">
      <x:c r="A226" s="9" t="str">
        <x:v>2026-01-01</x:v>
      </x:c>
      <x:c r="B226" s="9" t="str">
        <x:v>Sales</x:v>
      </x:c>
      <x:c r="C226" s="107" t="n">
        <x:v>59.41785597</x:v>
      </x:c>
      <x:c r="D226" s="107" t="n">
        <x:v>0.24166667</x:v>
      </x:c>
      <x:c r="E226" s="107" t="n">
        <x:v>0</x:v>
      </x:c>
      <x:c r="F226" s="107" t="n">
        <x:v>21.33422886</x:v>
      </x:c>
      <x:c r="G226" s="107" t="n">
        <x:v>116.30229340000001</x:v>
      </x:c>
      <x:c r="H226" s="107" t="n">
        <x:v>0</x:v>
      </x:c>
      <x:c r="I226" s="107" t="n">
        <x:v>56.884437430000006</x:v>
      </x:c>
      <x:c r="J226" s="107" t="n">
        <x:v>35.55020857000001</x:v>
      </x:c>
      <x:c r="K226" s="107" t="n">
        <x:v>35.30854190000001</x:v>
      </x:c>
      <x:c r="L226" s="107" t="n">
        <x:v>35.30854190000001</x:v>
      </x:c>
      <x:c r="M226" s="107" t="n">
        <x:v>35.30854190000001</x:v>
      </x:c>
      <x:c r="N226" s="108" t="n">
        <x:v>0.48910847556854803</x:v>
      </x:c>
      <x:c r="O226" s="108" t="n">
        <x:v>0.3056707441506051</x:v>
      </x:c>
      <x:c r="P226" s="108" t="n">
        <x:v>0.30359282579719105</x:v>
      </x:c>
      <x:c r="Q226" s="9" t="str">
        <x:v>Actual</x:v>
      </x:c>
      <x:c r="R226" s="9" t="n">
        <x:v>2026</x:v>
      </x:c>
      <x:c r="S226" s="9" t="str">
        <x:v>2026-01</x:v>
      </x:c>
    </x:row>
    <x:row r="227" ht="17" customHeight="1">
      <x:c r="A227" s="9" t="str">
        <x:v>2026-01-01</x:v>
      </x:c>
      <x:c r="B227" s="9" t="str">
        <x:v>Technology</x:v>
      </x:c>
      <x:c r="C227" s="107" t="n">
        <x:v>0</x:v>
      </x:c>
      <x:c r="D227" s="107" t="n">
        <x:v>0.42604167</x:v>
      </x:c>
      <x:c r="E227" s="107" t="n">
        <x:v>0</x:v>
      </x:c>
      <x:c r="F227" s="107" t="n">
        <x:v>9.042201209999998</x:v>
      </x:c>
      <x:c r="G227" s="107" t="n">
        <x:v>0</x:v>
      </x:c>
      <x:c r="H227" s="107" t="n">
        <x:v>0</x:v>
      </x:c>
      <x:c r="I227" s="107" t="n">
        <x:v>0</x:v>
      </x:c>
      <x:c r="J227" s="107" t="n">
        <x:v>-9.042201209999998</x:v>
      </x:c>
      <x:c r="K227" s="107" t="n">
        <x:v>-9.468242879999998</x:v>
      </x:c>
      <x:c r="L227" s="107" t="n">
        <x:v>-9.468242879999998</x:v>
      </x:c>
      <x:c r="M227" s="107" t="n">
        <x:v>-9.468242879999998</x:v>
      </x:c>
      <x:c r="N227" s="108"/>
      <x:c r="O227" s="108"/>
      <x:c r="P227" s="108"/>
      <x:c r="Q227" s="9" t="str">
        <x:v>Actual</x:v>
      </x:c>
      <x:c r="R227" s="9" t="n">
        <x:v>2026</x:v>
      </x:c>
      <x:c r="S227" s="9" t="str">
        <x:v>2026-01</x:v>
      </x:c>
    </x:row>
    <x:row r="228" ht="17" customHeight="1">
      <x:c r="A228" s="9" t="str">
        <x:v>2026-02-01</x:v>
      </x:c>
      <x:c r="B228" s="9" t="str">
        <x:v>Customer Success</x:v>
      </x:c>
      <x:c r="C228" s="107" t="n">
        <x:v>2.08376024</x:v>
      </x:c>
      <x:c r="D228" s="107" t="n">
        <x:v>0.19479167</x:v>
      </x:c>
      <x:c r="E228" s="107" t="n">
        <x:v>0</x:v>
      </x:c>
      <x:c r="F228" s="107" t="n">
        <x:v>3.39609439</x:v>
      </x:c>
      <x:c r="G228" s="107" t="n">
        <x:v>8.2086197</x:v>
      </x:c>
      <x:c r="H228" s="107" t="n">
        <x:v>0</x:v>
      </x:c>
      <x:c r="I228" s="107" t="n">
        <x:v>6.12485946</x:v>
      </x:c>
      <x:c r="J228" s="107" t="n">
        <x:v>2.7287650699999997</x:v>
      </x:c>
      <x:c r="K228" s="107" t="n">
        <x:v>2.5339734</x:v>
      </x:c>
      <x:c r="L228" s="107" t="n">
        <x:v>2.5339734</x:v>
      </x:c>
      <x:c r="M228" s="107" t="n">
        <x:v>2.5339734</x:v>
      </x:c>
      <x:c r="N228" s="108" t="n">
        <x:v>0.7461497406196075</x:v>
      </x:c>
      <x:c r="O228" s="108" t="n">
        <x:v>0.33242678668619524</x:v>
      </x:c>
      <x:c r="P228" s="108" t="n">
        <x:v>0.30869664969373595</x:v>
      </x:c>
      <x:c r="Q228" s="9" t="str">
        <x:v>Actual</x:v>
      </x:c>
      <x:c r="R228" s="9" t="n">
        <x:v>2026</x:v>
      </x:c>
      <x:c r="S228" s="9" t="str">
        <x:v>2026-02</x:v>
      </x:c>
    </x:row>
    <x:row r="229" ht="17" customHeight="1">
      <x:c r="A229" s="9" t="str">
        <x:v>2026-02-01</x:v>
      </x:c>
      <x:c r="B229" s="9" t="str">
        <x:v>Finance &amp; Corporate</x:v>
      </x:c>
      <x:c r="C229" s="107" t="n">
        <x:v>0</x:v>
      </x:c>
      <x:c r="D229" s="107" t="n">
        <x:v>0</x:v>
      </x:c>
      <x:c r="E229" s="107" t="n">
        <x:v>0.50022672</x:v>
      </x:c>
      <x:c r="F229" s="107" t="n">
        <x:v>7.019379219999999</x:v>
      </x:c>
      <x:c r="G229" s="107" t="n">
        <x:v>0</x:v>
      </x:c>
      <x:c r="H229" s="107" t="n">
        <x:v>0.85266519</x:v>
      </x:c>
      <x:c r="I229" s="107" t="n">
        <x:v>0</x:v>
      </x:c>
      <x:c r="J229" s="107" t="n">
        <x:v>-7.019379219999999</x:v>
      </x:c>
      <x:c r="K229" s="107" t="n">
        <x:v>-7.019379219999999</x:v>
      </x:c>
      <x:c r="L229" s="107" t="n">
        <x:v>-7.519605939999999</x:v>
      </x:c>
      <x:c r="M229" s="107" t="n">
        <x:v>-8.37227113</x:v>
      </x:c>
      <x:c r="N229" s="108"/>
      <x:c r="O229" s="108"/>
      <x:c r="P229" s="108"/>
      <x:c r="Q229" s="9" t="str">
        <x:v>Actual</x:v>
      </x:c>
      <x:c r="R229" s="9" t="n">
        <x:v>2026</x:v>
      </x:c>
      <x:c r="S229" s="9" t="str">
        <x:v>2026-02</x:v>
      </x:c>
    </x:row>
    <x:row r="230" ht="17" customHeight="1">
      <x:c r="A230" s="9" t="str">
        <x:v>2026-02-01</x:v>
      </x:c>
      <x:c r="B230" s="9" t="str">
        <x:v>Marketing</x:v>
      </x:c>
      <x:c r="C230" s="107" t="n">
        <x:v>0</x:v>
      </x:c>
      <x:c r="D230" s="107" t="n">
        <x:v>0</x:v>
      </x:c>
      <x:c r="E230" s="107" t="n">
        <x:v>0</x:v>
      </x:c>
      <x:c r="F230" s="107" t="n">
        <x:v>7.53468797</x:v>
      </x:c>
      <x:c r="G230" s="107" t="n">
        <x:v>0</x:v>
      </x:c>
      <x:c r="H230" s="107" t="n">
        <x:v>0</x:v>
      </x:c>
      <x:c r="I230" s="107" t="n">
        <x:v>0</x:v>
      </x:c>
      <x:c r="J230" s="107" t="n">
        <x:v>-7.53468797</x:v>
      </x:c>
      <x:c r="K230" s="107" t="n">
        <x:v>-7.53468797</x:v>
      </x:c>
      <x:c r="L230" s="107" t="n">
        <x:v>-7.53468797</x:v>
      </x:c>
      <x:c r="M230" s="107" t="n">
        <x:v>-7.53468797</x:v>
      </x:c>
      <x:c r="N230" s="108"/>
      <x:c r="O230" s="108"/>
      <x:c r="P230" s="108"/>
      <x:c r="Q230" s="9" t="str">
        <x:v>Actual</x:v>
      </x:c>
      <x:c r="R230" s="9" t="n">
        <x:v>2026</x:v>
      </x:c>
      <x:c r="S230" s="9" t="str">
        <x:v>2026-02</x:v>
      </x:c>
    </x:row>
    <x:row r="231" ht="17" customHeight="1">
      <x:c r="A231" s="9" t="str">
        <x:v>2026-02-01</x:v>
      </x:c>
      <x:c r="B231" s="9" t="str">
        <x:v>Operations</x:v>
      </x:c>
      <x:c r="C231" s="107" t="n">
        <x:v>0</x:v>
      </x:c>
      <x:c r="D231" s="107" t="n">
        <x:v>0.22083333</x:v>
      </x:c>
      <x:c r="E231" s="107" t="n">
        <x:v>0</x:v>
      </x:c>
      <x:c r="F231" s="107" t="n">
        <x:v>10.337986</x:v>
      </x:c>
      <x:c r="G231" s="107" t="n">
        <x:v>0</x:v>
      </x:c>
      <x:c r="H231" s="107" t="n">
        <x:v>0</x:v>
      </x:c>
      <x:c r="I231" s="107" t="n">
        <x:v>0</x:v>
      </x:c>
      <x:c r="J231" s="107" t="n">
        <x:v>-10.337986</x:v>
      </x:c>
      <x:c r="K231" s="107" t="n">
        <x:v>-10.55881933</x:v>
      </x:c>
      <x:c r="L231" s="107" t="n">
        <x:v>-10.55881933</x:v>
      </x:c>
      <x:c r="M231" s="107" t="n">
        <x:v>-10.55881933</x:v>
      </x:c>
      <x:c r="N231" s="108"/>
      <x:c r="O231" s="108"/>
      <x:c r="P231" s="108"/>
      <x:c r="Q231" s="9" t="str">
        <x:v>Actual</x:v>
      </x:c>
      <x:c r="R231" s="9" t="n">
        <x:v>2026</x:v>
      </x:c>
      <x:c r="S231" s="9" t="str">
        <x:v>2026-02</x:v>
      </x:c>
    </x:row>
    <x:row r="232" ht="17" customHeight="1">
      <x:c r="A232" s="9" t="str">
        <x:v>2026-02-01</x:v>
      </x:c>
      <x:c r="B232" s="9" t="str">
        <x:v>Sales</x:v>
      </x:c>
      <x:c r="C232" s="107" t="n">
        <x:v>61.060208659999994</x:v>
      </x:c>
      <x:c r="D232" s="107" t="n">
        <x:v>0.24166667</x:v>
      </x:c>
      <x:c r="E232" s="107" t="n">
        <x:v>0</x:v>
      </x:c>
      <x:c r="F232" s="107" t="n">
        <x:v>21.5623292</x:v>
      </x:c>
      <x:c r="G232" s="107" t="n">
        <x:v>119.13739786</x:v>
      </x:c>
      <x:c r="H232" s="107" t="n">
        <x:v>0</x:v>
      </x:c>
      <x:c r="I232" s="107" t="n">
        <x:v>58.07718920000001</x:v>
      </x:c>
      <x:c r="J232" s="107" t="n">
        <x:v>36.51486</x:v>
      </x:c>
      <x:c r="K232" s="107" t="n">
        <x:v>36.27319333</x:v>
      </x:c>
      <x:c r="L232" s="107" t="n">
        <x:v>36.27319333</x:v>
      </x:c>
      <x:c r="M232" s="107" t="n">
        <x:v>36.27319333</x:v>
      </x:c>
      <x:c r="N232" s="108" t="n">
        <x:v>0.4874807595533294</x:v>
      </x:c>
      <x:c r="O232" s="108" t="n">
        <x:v>0.30649368423262957</x:v>
      </x:c>
      <x:c r="P232" s="108" t="n">
        <x:v>0.30446521395930715</x:v>
      </x:c>
      <x:c r="Q232" s="9" t="str">
        <x:v>Actual</x:v>
      </x:c>
      <x:c r="R232" s="9" t="n">
        <x:v>2026</x:v>
      </x:c>
      <x:c r="S232" s="9" t="str">
        <x:v>2026-02</x:v>
      </x:c>
    </x:row>
    <x:row r="233" ht="17" customHeight="1">
      <x:c r="A233" s="9" t="str">
        <x:v>2026-02-01</x:v>
      </x:c>
      <x:c r="B233" s="9" t="str">
        <x:v>Technology</x:v>
      </x:c>
      <x:c r="C233" s="107" t="n">
        <x:v>0</x:v>
      </x:c>
      <x:c r="D233" s="107" t="n">
        <x:v>0.42604167</x:v>
      </x:c>
      <x:c r="E233" s="107" t="n">
        <x:v>0</x:v>
      </x:c>
      <x:c r="F233" s="107" t="n">
        <x:v>9.35735105</x:v>
      </x:c>
      <x:c r="G233" s="107" t="n">
        <x:v>0</x:v>
      </x:c>
      <x:c r="H233" s="107" t="n">
        <x:v>0</x:v>
      </x:c>
      <x:c r="I233" s="107" t="n">
        <x:v>0</x:v>
      </x:c>
      <x:c r="J233" s="107" t="n">
        <x:v>-9.35735105</x:v>
      </x:c>
      <x:c r="K233" s="107" t="n">
        <x:v>-9.78339272</x:v>
      </x:c>
      <x:c r="L233" s="107" t="n">
        <x:v>-9.78339272</x:v>
      </x:c>
      <x:c r="M233" s="107" t="n">
        <x:v>-9.78339272</x:v>
      </x:c>
      <x:c r="N233" s="108"/>
      <x:c r="O233" s="108"/>
      <x:c r="P233" s="108"/>
      <x:c r="Q233" s="9" t="str">
        <x:v>Actual</x:v>
      </x:c>
      <x:c r="R233" s="9" t="n">
        <x:v>2026</x:v>
      </x:c>
      <x:c r="S233" s="9" t="str">
        <x:v>2026-02</x:v>
      </x:c>
    </x:row>
    <x:row r="234" ht="17" customHeight="1">
      <x:c r="A234" s="9" t="str">
        <x:v>2026-03-01</x:v>
      </x:c>
      <x:c r="B234" s="9" t="str">
        <x:v>Customer Success</x:v>
      </x:c>
      <x:c r="C234" s="107" t="n">
        <x:v>2.0130106</x:v>
      </x:c>
      <x:c r="D234" s="107" t="n">
        <x:v>0.19479167</x:v>
      </x:c>
      <x:c r="E234" s="107" t="n">
        <x:v>0</x:v>
      </x:c>
      <x:c r="F234" s="107" t="n">
        <x:v>3.3737713300000003</x:v>
      </x:c>
      <x:c r="G234" s="107" t="n">
        <x:v>7.89658806</x:v>
      </x:c>
      <x:c r="H234" s="107" t="n">
        <x:v>0</x:v>
      </x:c>
      <x:c r="I234" s="107" t="n">
        <x:v>5.88357746</x:v>
      </x:c>
      <x:c r="J234" s="107" t="n">
        <x:v>2.50980613</x:v>
      </x:c>
      <x:c r="K234" s="107" t="n">
        <x:v>2.31501446</x:v>
      </x:c>
      <x:c r="L234" s="107" t="n">
        <x:v>2.31501446</x:v>
      </x:c>
      <x:c r="M234" s="107" t="n">
        <x:v>2.31501446</x:v>
      </x:c>
      <x:c r="N234" s="108" t="n">
        <x:v>0.7450784332797018</x:v>
      </x:c>
      <x:c r="O234" s="108" t="n">
        <x:v>0.3178342482765905</x:v>
      </x:c>
      <x:c r="P234" s="108" t="n">
        <x:v>0.2931664210428624</x:v>
      </x:c>
      <x:c r="Q234" s="9" t="str">
        <x:v>Actual</x:v>
      </x:c>
      <x:c r="R234" s="9" t="n">
        <x:v>2026</x:v>
      </x:c>
      <x:c r="S234" s="9" t="str">
        <x:v>2026-03</x:v>
      </x:c>
    </x:row>
    <x:row r="235" ht="17" customHeight="1">
      <x:c r="A235" s="9" t="str">
        <x:v>2026-03-01</x:v>
      </x:c>
      <x:c r="B235" s="9" t="str">
        <x:v>Finance &amp; Corporate</x:v>
      </x:c>
      <x:c r="C235" s="107" t="n">
        <x:v>0</x:v>
      </x:c>
      <x:c r="D235" s="107" t="n">
        <x:v>0.17</x:v>
      </x:c>
      <x:c r="E235" s="107" t="n">
        <x:v>0.50022672</x:v>
      </x:c>
      <x:c r="F235" s="107" t="n">
        <x:v>7.02589179</x:v>
      </x:c>
      <x:c r="G235" s="107" t="n">
        <x:v>0</x:v>
      </x:c>
      <x:c r="H235" s="107" t="n">
        <x:v>2.28186116</x:v>
      </x:c>
      <x:c r="I235" s="107" t="n">
        <x:v>0</x:v>
      </x:c>
      <x:c r="J235" s="107" t="n">
        <x:v>-7.02589179</x:v>
      </x:c>
      <x:c r="K235" s="107" t="n">
        <x:v>-7.19589179</x:v>
      </x:c>
      <x:c r="L235" s="107" t="n">
        <x:v>-7.69611851</x:v>
      </x:c>
      <x:c r="M235" s="107" t="n">
        <x:v>-9.97797967</x:v>
      </x:c>
      <x:c r="N235" s="108"/>
      <x:c r="O235" s="108"/>
      <x:c r="P235" s="108"/>
      <x:c r="Q235" s="9" t="str">
        <x:v>Actual</x:v>
      </x:c>
      <x:c r="R235" s="9" t="n">
        <x:v>2026</x:v>
      </x:c>
      <x:c r="S235" s="9" t="str">
        <x:v>2026-03</x:v>
      </x:c>
    </x:row>
    <x:row r="236" ht="17" customHeight="1">
      <x:c r="A236" s="9" t="str">
        <x:v>2026-03-01</x:v>
      </x:c>
      <x:c r="B236" s="9" t="str">
        <x:v>Marketing</x:v>
      </x:c>
      <x:c r="C236" s="107" t="n">
        <x:v>0</x:v>
      </x:c>
      <x:c r="D236" s="107" t="n">
        <x:v>0</x:v>
      </x:c>
      <x:c r="E236" s="107" t="n">
        <x:v>0</x:v>
      </x:c>
      <x:c r="F236" s="107" t="n">
        <x:v>7.4833212300000005</x:v>
      </x:c>
      <x:c r="G236" s="107" t="n">
        <x:v>0</x:v>
      </x:c>
      <x:c r="H236" s="107" t="n">
        <x:v>0</x:v>
      </x:c>
      <x:c r="I236" s="107" t="n">
        <x:v>0</x:v>
      </x:c>
      <x:c r="J236" s="107" t="n">
        <x:v>-7.4833212300000005</x:v>
      </x:c>
      <x:c r="K236" s="107" t="n">
        <x:v>-7.4833212300000005</x:v>
      </x:c>
      <x:c r="L236" s="107" t="n">
        <x:v>-7.4833212300000005</x:v>
      </x:c>
      <x:c r="M236" s="107" t="n">
        <x:v>-7.4833212300000005</x:v>
      </x:c>
      <x:c r="N236" s="108"/>
      <x:c r="O236" s="108"/>
      <x:c r="P236" s="108"/>
      <x:c r="Q236" s="9" t="str">
        <x:v>Actual</x:v>
      </x:c>
      <x:c r="R236" s="9" t="n">
        <x:v>2026</x:v>
      </x:c>
      <x:c r="S236" s="9" t="str">
        <x:v>2026-03</x:v>
      </x:c>
    </x:row>
    <x:row r="237" ht="17" customHeight="1">
      <x:c r="A237" s="9" t="str">
        <x:v>2026-03-01</x:v>
      </x:c>
      <x:c r="B237" s="9" t="str">
        <x:v>Operations</x:v>
      </x:c>
      <x:c r="C237" s="107" t="n">
        <x:v>0</x:v>
      </x:c>
      <x:c r="D237" s="107" t="n">
        <x:v>0.22083333</x:v>
      </x:c>
      <x:c r="E237" s="107" t="n">
        <x:v>0</x:v>
      </x:c>
      <x:c r="F237" s="107" t="n">
        <x:v>10.480504940000001</x:v>
      </x:c>
      <x:c r="G237" s="107" t="n">
        <x:v>0</x:v>
      </x:c>
      <x:c r="H237" s="107" t="n">
        <x:v>0</x:v>
      </x:c>
      <x:c r="I237" s="107" t="n">
        <x:v>0</x:v>
      </x:c>
      <x:c r="J237" s="107" t="n">
        <x:v>-10.480504940000001</x:v>
      </x:c>
      <x:c r="K237" s="107" t="n">
        <x:v>-10.70133827</x:v>
      </x:c>
      <x:c r="L237" s="107" t="n">
        <x:v>-10.70133827</x:v>
      </x:c>
      <x:c r="M237" s="107" t="n">
        <x:v>-10.70133827</x:v>
      </x:c>
      <x:c r="N237" s="108"/>
      <x:c r="O237" s="108"/>
      <x:c r="P237" s="108"/>
      <x:c r="Q237" s="9" t="str">
        <x:v>Actual</x:v>
      </x:c>
      <x:c r="R237" s="9" t="n">
        <x:v>2026</x:v>
      </x:c>
      <x:c r="S237" s="9" t="str">
        <x:v>2026-03</x:v>
      </x:c>
    </x:row>
    <x:row r="238" ht="17" customHeight="1">
      <x:c r="A238" s="9" t="str">
        <x:v>2026-03-01</x:v>
      </x:c>
      <x:c r="B238" s="9" t="str">
        <x:v>Sales</x:v>
      </x:c>
      <x:c r="C238" s="107" t="n">
        <x:v>68.37652536</x:v>
      </x:c>
      <x:c r="D238" s="107" t="n">
        <x:v>0.24166667</x:v>
      </x:c>
      <x:c r="E238" s="107" t="n">
        <x:v>0</x:v>
      </x:c>
      <x:c r="F238" s="107" t="n">
        <x:v>21.908193280000003</x:v>
      </x:c>
      <x:c r="G238" s="107" t="n">
        <x:v>132.77533267</x:v>
      </x:c>
      <x:c r="H238" s="107" t="n">
        <x:v>0</x:v>
      </x:c>
      <x:c r="I238" s="107" t="n">
        <x:v>64.39880731000001</x:v>
      </x:c>
      <x:c r="J238" s="107" t="n">
        <x:v>42.49061403</x:v>
      </x:c>
      <x:c r="K238" s="107" t="n">
        <x:v>42.24894736</x:v>
      </x:c>
      <x:c r="L238" s="107" t="n">
        <x:v>42.24894736</x:v>
      </x:c>
      <x:c r="M238" s="107" t="n">
        <x:v>42.24894736</x:v>
      </x:c>
      <x:c r="N238" s="108" t="n">
        <x:v>0.48502086957715923</x:v>
      </x:c>
      <x:c r="O238" s="108" t="n">
        <x:v>0.3200188858543946</x:v>
      </x:c>
      <x:c r="P238" s="108" t="n">
        <x:v>0.3181987686297544</x:v>
      </x:c>
      <x:c r="Q238" s="9" t="str">
        <x:v>Actual</x:v>
      </x:c>
      <x:c r="R238" s="9" t="n">
        <x:v>2026</x:v>
      </x:c>
      <x:c r="S238" s="9" t="str">
        <x:v>2026-03</x:v>
      </x:c>
    </x:row>
    <x:row r="239" ht="17" customHeight="1">
      <x:c r="A239" s="9" t="str">
        <x:v>2026-03-01</x:v>
      </x:c>
      <x:c r="B239" s="9" t="str">
        <x:v>Technology</x:v>
      </x:c>
      <x:c r="C239" s="107" t="n">
        <x:v>0</x:v>
      </x:c>
      <x:c r="D239" s="107" t="n">
        <x:v>0.42604167</x:v>
      </x:c>
      <x:c r="E239" s="107" t="n">
        <x:v>0</x:v>
      </x:c>
      <x:c r="F239" s="107" t="n">
        <x:v>9.129697519999999</x:v>
      </x:c>
      <x:c r="G239" s="107" t="n">
        <x:v>0</x:v>
      </x:c>
      <x:c r="H239" s="107" t="n">
        <x:v>0</x:v>
      </x:c>
      <x:c r="I239" s="107" t="n">
        <x:v>0</x:v>
      </x:c>
      <x:c r="J239" s="107" t="n">
        <x:v>-9.129697519999999</x:v>
      </x:c>
      <x:c r="K239" s="107" t="n">
        <x:v>-9.555739189999999</x:v>
      </x:c>
      <x:c r="L239" s="107" t="n">
        <x:v>-9.555739189999999</x:v>
      </x:c>
      <x:c r="M239" s="107" t="n">
        <x:v>-9.555739189999999</x:v>
      </x:c>
      <x:c r="N239" s="108"/>
      <x:c r="O239" s="108"/>
      <x:c r="P239" s="108"/>
      <x:c r="Q239" s="9" t="str">
        <x:v>Actual</x:v>
      </x:c>
      <x:c r="R239" s="9" t="n">
        <x:v>2026</x:v>
      </x:c>
      <x:c r="S239" s="9" t="str">
        <x:v>2026-03</x:v>
      </x:c>
    </x:row>
    <x:row r="240" ht="17" customHeight="1">
      <x:c r="A240" s="9" t="str">
        <x:v>2026-04-01</x:v>
      </x:c>
      <x:c r="B240" s="9" t="str">
        <x:v>Customer Success</x:v>
      </x:c>
      <x:c r="C240" s="107" t="n">
        <x:v>2.04762368</x:v>
      </x:c>
      <x:c r="D240" s="107" t="n">
        <x:v>0.19479167</x:v>
      </x:c>
      <x:c r="E240" s="107" t="n">
        <x:v>0</x:v>
      </x:c>
      <x:c r="F240" s="107" t="n">
        <x:v>3.53202974</x:v>
      </x:c>
      <x:c r="G240" s="107" t="n">
        <x:v>8.12134074</x:v>
      </x:c>
      <x:c r="H240" s="107" t="n">
        <x:v>0</x:v>
      </x:c>
      <x:c r="I240" s="107" t="n">
        <x:v>6.073717060000001</x:v>
      </x:c>
      <x:c r="J240" s="107" t="n">
        <x:v>2.5416873200000003</x:v>
      </x:c>
      <x:c r="K240" s="107" t="n">
        <x:v>2.3468956500000004</x:v>
      </x:c>
      <x:c r="L240" s="107" t="n">
        <x:v>2.3468956500000004</x:v>
      </x:c>
      <x:c r="M240" s="107" t="n">
        <x:v>2.3468956500000004</x:v>
      </x:c>
      <x:c r="N240" s="108" t="n">
        <x:v>0.7478712264940629</x:v>
      </x:c>
      <x:c r="O240" s="108" t="n">
        <x:v>0.312964004512388</x:v>
      </x:c>
      <x:c r="P240" s="108" t="n">
        <x:v>0.2889788429194759</x:v>
      </x:c>
      <x:c r="Q240" s="9" t="str">
        <x:v>Actual</x:v>
      </x:c>
      <x:c r="R240" s="9" t="n">
        <x:v>2026</x:v>
      </x:c>
      <x:c r="S240" s="9" t="str">
        <x:v>2026-04</x:v>
      </x:c>
    </x:row>
    <x:row r="241" ht="17" customHeight="1">
      <x:c r="A241" s="9" t="str">
        <x:v>2026-04-01</x:v>
      </x:c>
      <x:c r="B241" s="9" t="str">
        <x:v>Finance &amp; Corporate</x:v>
      </x:c>
      <x:c r="C241" s="107" t="n">
        <x:v>0</x:v>
      </x:c>
      <x:c r="D241" s="107" t="n">
        <x:v>0.17</x:v>
      </x:c>
      <x:c r="E241" s="107" t="n">
        <x:v>0.50022672</x:v>
      </x:c>
      <x:c r="F241" s="107" t="n">
        <x:v>7.287657479999999</x:v>
      </x:c>
      <x:c r="G241" s="107" t="n">
        <x:v>0</x:v>
      </x:c>
      <x:c r="H241" s="107" t="n">
        <x:v>2.49067492</x:v>
      </x:c>
      <x:c r="I241" s="107" t="n">
        <x:v>0</x:v>
      </x:c>
      <x:c r="J241" s="107" t="n">
        <x:v>-7.287657479999999</x:v>
      </x:c>
      <x:c r="K241" s="107" t="n">
        <x:v>-7.45765748</x:v>
      </x:c>
      <x:c r="L241" s="107" t="n">
        <x:v>-7.9578842</x:v>
      </x:c>
      <x:c r="M241" s="107" t="n">
        <x:v>-10.448559119999999</x:v>
      </x:c>
      <x:c r="N241" s="108"/>
      <x:c r="O241" s="108"/>
      <x:c r="P241" s="108"/>
      <x:c r="Q241" s="9" t="str">
        <x:v>Actual</x:v>
      </x:c>
      <x:c r="R241" s="9" t="n">
        <x:v>2026</x:v>
      </x:c>
      <x:c r="S241" s="9" t="str">
        <x:v>2026-04</x:v>
      </x:c>
    </x:row>
    <x:row r="242" ht="17" customHeight="1">
      <x:c r="A242" s="9" t="str">
        <x:v>2026-04-01</x:v>
      </x:c>
      <x:c r="B242" s="9" t="str">
        <x:v>Marketing</x:v>
      </x:c>
      <x:c r="C242" s="107" t="n">
        <x:v>0</x:v>
      </x:c>
      <x:c r="D242" s="107" t="n">
        <x:v>0</x:v>
      </x:c>
      <x:c r="E242" s="107" t="n">
        <x:v>0</x:v>
      </x:c>
      <x:c r="F242" s="107" t="n">
        <x:v>7.73073838</x:v>
      </x:c>
      <x:c r="G242" s="107" t="n">
        <x:v>0</x:v>
      </x:c>
      <x:c r="H242" s="107" t="n">
        <x:v>0</x:v>
      </x:c>
      <x:c r="I242" s="107" t="n">
        <x:v>0</x:v>
      </x:c>
      <x:c r="J242" s="107" t="n">
        <x:v>-7.73073838</x:v>
      </x:c>
      <x:c r="K242" s="107" t="n">
        <x:v>-7.73073838</x:v>
      </x:c>
      <x:c r="L242" s="107" t="n">
        <x:v>-7.73073838</x:v>
      </x:c>
      <x:c r="M242" s="107" t="n">
        <x:v>-7.73073838</x:v>
      </x:c>
      <x:c r="N242" s="108"/>
      <x:c r="O242" s="108"/>
      <x:c r="P242" s="108"/>
      <x:c r="Q242" s="9" t="str">
        <x:v>Actual</x:v>
      </x:c>
      <x:c r="R242" s="9" t="n">
        <x:v>2026</x:v>
      </x:c>
      <x:c r="S242" s="9" t="str">
        <x:v>2026-04</x:v>
      </x:c>
    </x:row>
    <x:row r="243" ht="17" customHeight="1">
      <x:c r="A243" s="9" t="str">
        <x:v>2026-04-01</x:v>
      </x:c>
      <x:c r="B243" s="9" t="str">
        <x:v>Operations</x:v>
      </x:c>
      <x:c r="C243" s="107" t="n">
        <x:v>0</x:v>
      </x:c>
      <x:c r="D243" s="107" t="n">
        <x:v>0.22083333</x:v>
      </x:c>
      <x:c r="E243" s="107" t="n">
        <x:v>0</x:v>
      </x:c>
      <x:c r="F243" s="107" t="n">
        <x:v>10.66877266</x:v>
      </x:c>
      <x:c r="G243" s="107" t="n">
        <x:v>0</x:v>
      </x:c>
      <x:c r="H243" s="107" t="n">
        <x:v>0</x:v>
      </x:c>
      <x:c r="I243" s="107" t="n">
        <x:v>0</x:v>
      </x:c>
      <x:c r="J243" s="107" t="n">
        <x:v>-10.66877266</x:v>
      </x:c>
      <x:c r="K243" s="107" t="n">
        <x:v>-10.88960599</x:v>
      </x:c>
      <x:c r="L243" s="107" t="n">
        <x:v>-10.88960599</x:v>
      </x:c>
      <x:c r="M243" s="107" t="n">
        <x:v>-10.88960599</x:v>
      </x:c>
      <x:c r="N243" s="108"/>
      <x:c r="O243" s="108"/>
      <x:c r="P243" s="108"/>
      <x:c r="Q243" s="9" t="str">
        <x:v>Actual</x:v>
      </x:c>
      <x:c r="R243" s="9" t="n">
        <x:v>2026</x:v>
      </x:c>
      <x:c r="S243" s="9" t="str">
        <x:v>2026-04</x:v>
      </x:c>
    </x:row>
    <x:row r="244" ht="17" customHeight="1">
      <x:c r="A244" s="9" t="str">
        <x:v>2026-04-01</x:v>
      </x:c>
      <x:c r="B244" s="9" t="str">
        <x:v>Sales</x:v>
      </x:c>
      <x:c r="C244" s="107" t="n">
        <x:v>71.31149575</x:v>
      </x:c>
      <x:c r="D244" s="107" t="n">
        <x:v>0.24166667</x:v>
      </x:c>
      <x:c r="E244" s="107" t="n">
        <x:v>0</x:v>
      </x:c>
      <x:c r="F244" s="107" t="n">
        <x:v>23.12769959</x:v>
      </x:c>
      <x:c r="G244" s="107" t="n">
        <x:v>138.71560525</x:v>
      </x:c>
      <x:c r="H244" s="107" t="n">
        <x:v>0</x:v>
      </x:c>
      <x:c r="I244" s="107" t="n">
        <x:v>67.4041095</x:v>
      </x:c>
      <x:c r="J244" s="107" t="n">
        <x:v>44.27640991</x:v>
      </x:c>
      <x:c r="K244" s="107" t="n">
        <x:v>44.03474324</x:v>
      </x:c>
      <x:c r="L244" s="107" t="n">
        <x:v>44.03474324</x:v>
      </x:c>
      <x:c r="M244" s="107" t="n">
        <x:v>44.03474324</x:v>
      </x:c>
      <x:c r="N244" s="108" t="n">
        <x:v>0.485915837504519</x:v>
      </x:c>
      <x:c r="O244" s="108" t="n">
        <x:v>0.31918838424994</x:v>
      </x:c>
      <x:c r="P244" s="108" t="n">
        <x:v>0.31744621061659534</x:v>
      </x:c>
      <x:c r="Q244" s="9" t="str">
        <x:v>Actual</x:v>
      </x:c>
      <x:c r="R244" s="9" t="n">
        <x:v>2026</x:v>
      </x:c>
      <x:c r="S244" s="9" t="str">
        <x:v>2026-04</x:v>
      </x:c>
    </x:row>
    <x:row r="245" ht="17" customHeight="1">
      <x:c r="A245" s="9" t="str">
        <x:v>2026-04-01</x:v>
      </x:c>
      <x:c r="B245" s="9" t="str">
        <x:v>Technology</x:v>
      </x:c>
      <x:c r="C245" s="107" t="n">
        <x:v>0</x:v>
      </x:c>
      <x:c r="D245" s="107" t="n">
        <x:v>0.42604167</x:v>
      </x:c>
      <x:c r="E245" s="107" t="n">
        <x:v>0</x:v>
      </x:c>
      <x:c r="F245" s="107" t="n">
        <x:v>9.41466898</x:v>
      </x:c>
      <x:c r="G245" s="107" t="n">
        <x:v>0</x:v>
      </x:c>
      <x:c r="H245" s="107" t="n">
        <x:v>0</x:v>
      </x:c>
      <x:c r="I245" s="107" t="n">
        <x:v>0</x:v>
      </x:c>
      <x:c r="J245" s="107" t="n">
        <x:v>-9.41466898</x:v>
      </x:c>
      <x:c r="K245" s="107" t="n">
        <x:v>-9.84071065</x:v>
      </x:c>
      <x:c r="L245" s="107" t="n">
        <x:v>-9.84071065</x:v>
      </x:c>
      <x:c r="M245" s="107" t="n">
        <x:v>-9.84071065</x:v>
      </x:c>
      <x:c r="N245" s="108"/>
      <x:c r="O245" s="108"/>
      <x:c r="P245" s="108"/>
      <x:c r="Q245" s="9" t="str">
        <x:v>Actual</x:v>
      </x:c>
      <x:c r="R245" s="9" t="n">
        <x:v>2026</x:v>
      </x:c>
      <x:c r="S245" s="9" t="str">
        <x:v>2026-04</x:v>
      </x:c>
    </x:row>
    <x:row r="246" ht="17" customHeight="1">
      <x:c r="A246" s="9" t="str">
        <x:v>2026-05-01</x:v>
      </x:c>
      <x:c r="B246" s="9" t="str">
        <x:v>Customer Success</x:v>
      </x:c>
      <x:c r="C246" s="107" t="n">
        <x:v>2.14695571</x:v>
      </x:c>
      <x:c r="D246" s="107" t="n">
        <x:v>0.19479167</x:v>
      </x:c>
      <x:c r="E246" s="107" t="n">
        <x:v>0</x:v>
      </x:c>
      <x:c r="F246" s="107" t="n">
        <x:v>3.5352907200000003</x:v>
      </x:c>
      <x:c r="G246" s="107" t="n">
        <x:v>8.43886352</x:v>
      </x:c>
      <x:c r="H246" s="107" t="n">
        <x:v>0</x:v>
      </x:c>
      <x:c r="I246" s="107" t="n">
        <x:v>6.29190781</x:v>
      </x:c>
      <x:c r="J246" s="107" t="n">
        <x:v>2.7566170899999993</x:v>
      </x:c>
      <x:c r="K246" s="107" t="n">
        <x:v>2.5618254199999995</x:v>
      </x:c>
      <x:c r="L246" s="107" t="n">
        <x:v>2.5618254199999995</x:v>
      </x:c>
      <x:c r="M246" s="107" t="n">
        <x:v>2.5618254199999995</x:v>
      </x:c>
      <x:c r="N246" s="108" t="n">
        <x:v>0.7455871036530284</x:v>
      </x:c>
      <x:c r="O246" s="108" t="n">
        <x:v>0.32665738502191105</x:v>
      </x:c>
      <x:c r="P246" s="108" t="n">
        <x:v>0.30357469509117024</x:v>
      </x:c>
      <x:c r="Q246" s="9" t="str">
        <x:v>Actual</x:v>
      </x:c>
      <x:c r="R246" s="9" t="n">
        <x:v>2026</x:v>
      </x:c>
      <x:c r="S246" s="9" t="str">
        <x:v>2026-05</x:v>
      </x:c>
    </x:row>
    <x:row r="247" ht="17" customHeight="1">
      <x:c r="A247" s="9" t="str">
        <x:v>2026-05-01</x:v>
      </x:c>
      <x:c r="B247" s="9" t="str">
        <x:v>Finance &amp; Corporate</x:v>
      </x:c>
      <x:c r="C247" s="107" t="n">
        <x:v>0</x:v>
      </x:c>
      <x:c r="D247" s="107" t="n">
        <x:v>0.17</x:v>
      </x:c>
      <x:c r="E247" s="107" t="n">
        <x:v>0.50022672</x:v>
      </x:c>
      <x:c r="F247" s="107" t="n">
        <x:v>7.1676914</x:v>
      </x:c>
      <x:c r="G247" s="107" t="n">
        <x:v>0</x:v>
      </x:c>
      <x:c r="H247" s="107" t="n">
        <x:v>2.6021447400000004</x:v>
      </x:c>
      <x:c r="I247" s="107" t="n">
        <x:v>0</x:v>
      </x:c>
      <x:c r="J247" s="107" t="n">
        <x:v>-7.1676914</x:v>
      </x:c>
      <x:c r="K247" s="107" t="n">
        <x:v>-7.3376914</x:v>
      </x:c>
      <x:c r="L247" s="107" t="n">
        <x:v>-7.837918119999999</x:v>
      </x:c>
      <x:c r="M247" s="107" t="n">
        <x:v>-10.44006286</x:v>
      </x:c>
      <x:c r="N247" s="108"/>
      <x:c r="O247" s="108"/>
      <x:c r="P247" s="108"/>
      <x:c r="Q247" s="9" t="str">
        <x:v>Actual</x:v>
      </x:c>
      <x:c r="R247" s="9" t="n">
        <x:v>2026</x:v>
      </x:c>
      <x:c r="S247" s="9" t="str">
        <x:v>2026-05</x:v>
      </x:c>
    </x:row>
    <x:row r="248" ht="17" customHeight="1">
      <x:c r="A248" s="9" t="str">
        <x:v>2026-05-01</x:v>
      </x:c>
      <x:c r="B248" s="9" t="str">
        <x:v>Marketing</x:v>
      </x:c>
      <x:c r="C248" s="107" t="n">
        <x:v>0</x:v>
      </x:c>
      <x:c r="D248" s="107" t="n">
        <x:v>0</x:v>
      </x:c>
      <x:c r="E248" s="107" t="n">
        <x:v>0</x:v>
      </x:c>
      <x:c r="F248" s="107" t="n">
        <x:v>7.70576105</x:v>
      </x:c>
      <x:c r="G248" s="107" t="n">
        <x:v>0</x:v>
      </x:c>
      <x:c r="H248" s="107" t="n">
        <x:v>0</x:v>
      </x:c>
      <x:c r="I248" s="107" t="n">
        <x:v>0</x:v>
      </x:c>
      <x:c r="J248" s="107" t="n">
        <x:v>-7.70576105</x:v>
      </x:c>
      <x:c r="K248" s="107" t="n">
        <x:v>-7.70576105</x:v>
      </x:c>
      <x:c r="L248" s="107" t="n">
        <x:v>-7.70576105</x:v>
      </x:c>
      <x:c r="M248" s="107" t="n">
        <x:v>-7.70576105</x:v>
      </x:c>
      <x:c r="N248" s="108"/>
      <x:c r="O248" s="108"/>
      <x:c r="P248" s="108"/>
      <x:c r="Q248" s="9" t="str">
        <x:v>Actual</x:v>
      </x:c>
      <x:c r="R248" s="9" t="n">
        <x:v>2026</x:v>
      </x:c>
      <x:c r="S248" s="9" t="str">
        <x:v>2026-05</x:v>
      </x:c>
    </x:row>
    <x:row r="249" ht="17" customHeight="1">
      <x:c r="A249" s="9" t="str">
        <x:v>2026-05-01</x:v>
      </x:c>
      <x:c r="B249" s="9" t="str">
        <x:v>Operations</x:v>
      </x:c>
      <x:c r="C249" s="107" t="n">
        <x:v>0</x:v>
      </x:c>
      <x:c r="D249" s="107" t="n">
        <x:v>0.22083333</x:v>
      </x:c>
      <x:c r="E249" s="107" t="n">
        <x:v>0</x:v>
      </x:c>
      <x:c r="F249" s="107" t="n">
        <x:v>10.77351653</x:v>
      </x:c>
      <x:c r="G249" s="107" t="n">
        <x:v>0</x:v>
      </x:c>
      <x:c r="H249" s="107" t="n">
        <x:v>0</x:v>
      </x:c>
      <x:c r="I249" s="107" t="n">
        <x:v>0</x:v>
      </x:c>
      <x:c r="J249" s="107" t="n">
        <x:v>-10.77351653</x:v>
      </x:c>
      <x:c r="K249" s="107" t="n">
        <x:v>-10.99434986</x:v>
      </x:c>
      <x:c r="L249" s="107" t="n">
        <x:v>-10.99434986</x:v>
      </x:c>
      <x:c r="M249" s="107" t="n">
        <x:v>-10.99434986</x:v>
      </x:c>
      <x:c r="N249" s="108"/>
      <x:c r="O249" s="108"/>
      <x:c r="P249" s="108"/>
      <x:c r="Q249" s="9" t="str">
        <x:v>Actual</x:v>
      </x:c>
      <x:c r="R249" s="9" t="n">
        <x:v>2026</x:v>
      </x:c>
      <x:c r="S249" s="9" t="str">
        <x:v>2026-05</x:v>
      </x:c>
    </x:row>
    <x:row r="250" ht="17" customHeight="1">
      <x:c r="A250" s="9" t="str">
        <x:v>2026-05-01</x:v>
      </x:c>
      <x:c r="B250" s="9" t="str">
        <x:v>Sales</x:v>
      </x:c>
      <x:c r="C250" s="107" t="n">
        <x:v>71.41843625</x:v>
      </x:c>
      <x:c r="D250" s="107" t="n">
        <x:v>0.24166667</x:v>
      </x:c>
      <x:c r="E250" s="107" t="n">
        <x:v>0</x:v>
      </x:c>
      <x:c r="F250" s="107" t="n">
        <x:v>23.23793921</x:v>
      </x:c>
      <x:c r="G250" s="107" t="n">
        <x:v>139.06495113999998</x:v>
      </x:c>
      <x:c r="H250" s="107" t="n">
        <x:v>0</x:v>
      </x:c>
      <x:c r="I250" s="107" t="n">
        <x:v>67.64651488999999</x:v>
      </x:c>
      <x:c r="J250" s="107" t="n">
        <x:v>44.408575679999984</x:v>
      </x:c>
      <x:c r="K250" s="107" t="n">
        <x:v>44.16690900999998</x:v>
      </x:c>
      <x:c r="L250" s="107" t="n">
        <x:v>44.16690900999998</x:v>
      </x:c>
      <x:c r="M250" s="107" t="n">
        <x:v>44.16690900999998</x:v>
      </x:c>
      <x:c r="N250" s="108" t="n">
        <x:v>0.4864382746008995</x:v>
      </x:c>
      <x:c r="O250" s="108" t="n">
        <x:v>0.31933693799879753</x:v>
      </x:c>
      <x:c r="P250" s="108" t="n">
        <x:v>0.31759914089018815</x:v>
      </x:c>
      <x:c r="Q250" s="9" t="str">
        <x:v>Actual</x:v>
      </x:c>
      <x:c r="R250" s="9" t="n">
        <x:v>2026</x:v>
      </x:c>
      <x:c r="S250" s="9" t="str">
        <x:v>2026-05</x:v>
      </x:c>
    </x:row>
    <x:row r="251" ht="17" customHeight="1">
      <x:c r="A251" s="9" t="str">
        <x:v>2026-05-01</x:v>
      </x:c>
      <x:c r="B251" s="9" t="str">
        <x:v>Technology</x:v>
      </x:c>
      <x:c r="C251" s="107" t="n">
        <x:v>0</x:v>
      </x:c>
      <x:c r="D251" s="107" t="n">
        <x:v>0.42604167</x:v>
      </x:c>
      <x:c r="E251" s="107" t="n">
        <x:v>0</x:v>
      </x:c>
      <x:c r="F251" s="107" t="n">
        <x:v>9.356084789999999</x:v>
      </x:c>
      <x:c r="G251" s="107" t="n">
        <x:v>0</x:v>
      </x:c>
      <x:c r="H251" s="107" t="n">
        <x:v>0</x:v>
      </x:c>
      <x:c r="I251" s="107" t="n">
        <x:v>0</x:v>
      </x:c>
      <x:c r="J251" s="107" t="n">
        <x:v>-9.356084789999999</x:v>
      </x:c>
      <x:c r="K251" s="107" t="n">
        <x:v>-9.782126459999999</x:v>
      </x:c>
      <x:c r="L251" s="107" t="n">
        <x:v>-9.782126459999999</x:v>
      </x:c>
      <x:c r="M251" s="107" t="n">
        <x:v>-9.782126459999999</x:v>
      </x:c>
      <x:c r="N251" s="108"/>
      <x:c r="O251" s="108"/>
      <x:c r="P251" s="108"/>
      <x:c r="Q251" s="9" t="str">
        <x:v>Actual</x:v>
      </x:c>
      <x:c r="R251" s="9" t="n">
        <x:v>2026</x:v>
      </x:c>
      <x:c r="S251" s="9" t="str">
        <x:v>2026-05</x:v>
      </x:c>
    </x:row>
    <x:row r="252" ht="17" customHeight="1">
      <x:c r="A252" s="9" t="str">
        <x:v>2026-06-01</x:v>
      </x:c>
      <x:c r="B252" s="9" t="str">
        <x:v>Customer Success</x:v>
      </x:c>
      <x:c r="C252" s="107" t="n">
        <x:v>2.09927065</x:v>
      </x:c>
      <x:c r="D252" s="107" t="n">
        <x:v>0.19479167</x:v>
      </x:c>
      <x:c r="E252" s="107" t="n">
        <x:v>0</x:v>
      </x:c>
      <x:c r="F252" s="107" t="n">
        <x:v>3.55779546</x:v>
      </x:c>
      <x:c r="G252" s="107" t="n">
        <x:v>8.2915537</x:v>
      </x:c>
      <x:c r="H252" s="107" t="n">
        <x:v>0</x:v>
      </x:c>
      <x:c r="I252" s="107" t="n">
        <x:v>6.19228305</x:v>
      </x:c>
      <x:c r="J252" s="107" t="n">
        <x:v>2.634487590000001</x:v>
      </x:c>
      <x:c r="K252" s="107" t="n">
        <x:v>2.439695920000001</x:v>
      </x:c>
      <x:c r="L252" s="107" t="n">
        <x:v>2.439695920000001</x:v>
      </x:c>
      <x:c r="M252" s="107" t="n">
        <x:v>2.439695920000001</x:v>
      </x:c>
      <x:c r="N252" s="108" t="n">
        <x:v>0.7468181807711142</x:v>
      </x:c>
      <x:c r="O252" s="108" t="n">
        <x:v>0.3177314753446029</x:v>
      </x:c>
      <x:c r="P252" s="108" t="n">
        <x:v>0.2942386925625291</x:v>
      </x:c>
      <x:c r="Q252" s="9" t="str">
        <x:v>Actual</x:v>
      </x:c>
      <x:c r="R252" s="9" t="n">
        <x:v>2026</x:v>
      </x:c>
      <x:c r="S252" s="9" t="str">
        <x:v>2026-06</x:v>
      </x:c>
    </x:row>
    <x:row r="253" ht="17" customHeight="1">
      <x:c r="A253" s="9" t="str">
        <x:v>2026-06-01</x:v>
      </x:c>
      <x:c r="B253" s="9" t="str">
        <x:v>Finance &amp; Corporate</x:v>
      </x:c>
      <x:c r="C253" s="107" t="n">
        <x:v>0</x:v>
      </x:c>
      <x:c r="D253" s="107" t="n">
        <x:v>0.17</x:v>
      </x:c>
      <x:c r="E253" s="107" t="n">
        <x:v>0.50022672</x:v>
      </x:c>
      <x:c r="F253" s="107" t="n">
        <x:v>7.339223690000001</x:v>
      </x:c>
      <x:c r="G253" s="107" t="n">
        <x:v>0</x:v>
      </x:c>
      <x:c r="H253" s="107" t="n">
        <x:v>2.78384901</x:v>
      </x:c>
      <x:c r="I253" s="107" t="n">
        <x:v>0</x:v>
      </x:c>
      <x:c r="J253" s="107" t="n">
        <x:v>-7.339223690000001</x:v>
      </x:c>
      <x:c r="K253" s="107" t="n">
        <x:v>-7.509223690000001</x:v>
      </x:c>
      <x:c r="L253" s="107" t="n">
        <x:v>-8.00945041</x:v>
      </x:c>
      <x:c r="M253" s="107" t="n">
        <x:v>-10.79329942</x:v>
      </x:c>
      <x:c r="N253" s="108"/>
      <x:c r="O253" s="108"/>
      <x:c r="P253" s="108"/>
      <x:c r="Q253" s="9" t="str">
        <x:v>Actual</x:v>
      </x:c>
      <x:c r="R253" s="9" t="n">
        <x:v>2026</x:v>
      </x:c>
      <x:c r="S253" s="9" t="str">
        <x:v>2026-06</x:v>
      </x:c>
    </x:row>
    <x:row r="254" ht="17" customHeight="1">
      <x:c r="A254" s="9" t="str">
        <x:v>2026-06-01</x:v>
      </x:c>
      <x:c r="B254" s="9" t="str">
        <x:v>Marketing</x:v>
      </x:c>
      <x:c r="C254" s="107" t="n">
        <x:v>0</x:v>
      </x:c>
      <x:c r="D254" s="107" t="n">
        <x:v>0</x:v>
      </x:c>
      <x:c r="E254" s="107" t="n">
        <x:v>0</x:v>
      </x:c>
      <x:c r="F254" s="107" t="n">
        <x:v>7.807641609999999</x:v>
      </x:c>
      <x:c r="G254" s="107" t="n">
        <x:v>0</x:v>
      </x:c>
      <x:c r="H254" s="107" t="n">
        <x:v>0</x:v>
      </x:c>
      <x:c r="I254" s="107" t="n">
        <x:v>0</x:v>
      </x:c>
      <x:c r="J254" s="107" t="n">
        <x:v>-7.807641609999999</x:v>
      </x:c>
      <x:c r="K254" s="107" t="n">
        <x:v>-7.807641609999999</x:v>
      </x:c>
      <x:c r="L254" s="107" t="n">
        <x:v>-7.807641609999999</x:v>
      </x:c>
      <x:c r="M254" s="107" t="n">
        <x:v>-7.807641609999999</x:v>
      </x:c>
      <x:c r="N254" s="108"/>
      <x:c r="O254" s="108"/>
      <x:c r="P254" s="108"/>
      <x:c r="Q254" s="9" t="str">
        <x:v>Actual</x:v>
      </x:c>
      <x:c r="R254" s="9" t="n">
        <x:v>2026</x:v>
      </x:c>
      <x:c r="S254" s="9" t="str">
        <x:v>2026-06</x:v>
      </x:c>
    </x:row>
    <x:row r="255" ht="17" customHeight="1">
      <x:c r="A255" s="9" t="str">
        <x:v>2026-06-01</x:v>
      </x:c>
      <x:c r="B255" s="9" t="str">
        <x:v>Operations</x:v>
      </x:c>
      <x:c r="C255" s="107" t="n">
        <x:v>0</x:v>
      </x:c>
      <x:c r="D255" s="107" t="n">
        <x:v>0.22083333</x:v>
      </x:c>
      <x:c r="E255" s="107" t="n">
        <x:v>0</x:v>
      </x:c>
      <x:c r="F255" s="107" t="n">
        <x:v>10.743381150000001</x:v>
      </x:c>
      <x:c r="G255" s="107" t="n">
        <x:v>0</x:v>
      </x:c>
      <x:c r="H255" s="107" t="n">
        <x:v>0</x:v>
      </x:c>
      <x:c r="I255" s="107" t="n">
        <x:v>0</x:v>
      </x:c>
      <x:c r="J255" s="107" t="n">
        <x:v>-10.743381150000001</x:v>
      </x:c>
      <x:c r="K255" s="107" t="n">
        <x:v>-10.96421448</x:v>
      </x:c>
      <x:c r="L255" s="107" t="n">
        <x:v>-10.96421448</x:v>
      </x:c>
      <x:c r="M255" s="107" t="n">
        <x:v>-10.96421448</x:v>
      </x:c>
      <x:c r="N255" s="108"/>
      <x:c r="O255" s="108"/>
      <x:c r="P255" s="108"/>
      <x:c r="Q255" s="9" t="str">
        <x:v>Actual</x:v>
      </x:c>
      <x:c r="R255" s="9" t="n">
        <x:v>2026</x:v>
      </x:c>
      <x:c r="S255" s="9" t="str">
        <x:v>2026-06</x:v>
      </x:c>
    </x:row>
    <x:row r="256" ht="17" customHeight="1">
      <x:c r="A256" s="9" t="str">
        <x:v>2026-06-01</x:v>
      </x:c>
      <x:c r="B256" s="9" t="str">
        <x:v>Sales</x:v>
      </x:c>
      <x:c r="C256" s="107" t="n">
        <x:v>71.77238553000001</x:v>
      </x:c>
      <x:c r="D256" s="107" t="n">
        <x:v>0.24166667</x:v>
      </x:c>
      <x:c r="E256" s="107" t="n">
        <x:v>0</x:v>
      </x:c>
      <x:c r="F256" s="107" t="n">
        <x:v>23.66461665</x:v>
      </x:c>
      <x:c r="G256" s="107" t="n">
        <x:v>141.15609407</x:v>
      </x:c>
      <x:c r="H256" s="107" t="n">
        <x:v>0</x:v>
      </x:c>
      <x:c r="I256" s="107" t="n">
        <x:v>69.38370853999999</x:v>
      </x:c>
      <x:c r="J256" s="107" t="n">
        <x:v>45.719091889999994</x:v>
      </x:c>
      <x:c r="K256" s="107" t="n">
        <x:v>45.47742521999999</x:v>
      </x:c>
      <x:c r="L256" s="107" t="n">
        <x:v>45.47742521999999</x:v>
      </x:c>
      <x:c r="M256" s="107" t="n">
        <x:v>45.47742521999999</x:v>
      </x:c>
      <x:c r="N256" s="108" t="n">
        <x:v>0.4915388811027335</x:v>
      </x:c>
      <x:c r="O256" s="108" t="n">
        <x:v>0.3238903158323981</x:v>
      </x:c>
      <x:c r="P256" s="108" t="n">
        <x:v>0.3221782631463826</x:v>
      </x:c>
      <x:c r="Q256" s="9" t="str">
        <x:v>Actual</x:v>
      </x:c>
      <x:c r="R256" s="9" t="n">
        <x:v>2026</x:v>
      </x:c>
      <x:c r="S256" s="9" t="str">
        <x:v>2026-06</x:v>
      </x:c>
    </x:row>
    <x:row r="257" ht="17" customHeight="1">
      <x:c r="A257" s="9" t="str">
        <x:v>2026-06-01</x:v>
      </x:c>
      <x:c r="B257" s="9" t="str">
        <x:v>Technology</x:v>
      </x:c>
      <x:c r="C257" s="107" t="n">
        <x:v>0</x:v>
      </x:c>
      <x:c r="D257" s="107" t="n">
        <x:v>0.42604167</x:v>
      </x:c>
      <x:c r="E257" s="107" t="n">
        <x:v>0</x:v>
      </x:c>
      <x:c r="F257" s="107" t="n">
        <x:v>9.574376939999999</x:v>
      </x:c>
      <x:c r="G257" s="107" t="n">
        <x:v>0</x:v>
      </x:c>
      <x:c r="H257" s="107" t="n">
        <x:v>0</x:v>
      </x:c>
      <x:c r="I257" s="107" t="n">
        <x:v>0</x:v>
      </x:c>
      <x:c r="J257" s="107" t="n">
        <x:v>-9.574376939999999</x:v>
      </x:c>
      <x:c r="K257" s="107" t="n">
        <x:v>-10.000418609999999</x:v>
      </x:c>
      <x:c r="L257" s="107" t="n">
        <x:v>-10.000418609999999</x:v>
      </x:c>
      <x:c r="M257" s="107" t="n">
        <x:v>-10.000418609999999</x:v>
      </x:c>
      <x:c r="N257" s="108"/>
      <x:c r="O257" s="108"/>
      <x:c r="P257" s="108"/>
      <x:c r="Q257" s="9" t="str">
        <x:v>Actual</x:v>
      </x:c>
      <x:c r="R257" s="9" t="n">
        <x:v>2026</x:v>
      </x:c>
      <x:c r="S257" s="9" t="str">
        <x:v>2026-06</x:v>
      </x:c>
    </x:row>
    <x:row r="258" ht="17" customHeight="1">
      <x:c r="A258" s="9" t="str">
        <x:v>2026-01-01</x:v>
      </x:c>
      <x:c r="B258" s="9" t="str">
        <x:v>Customer Success</x:v>
      </x:c>
      <x:c r="C258" s="107" t="n">
        <x:v>1.81610881</x:v>
      </x:c>
      <x:c r="D258" s="107" t="n">
        <x:v>0.2</x:v>
      </x:c>
      <x:c r="E258" s="107" t="n">
        <x:v>0</x:v>
      </x:c>
      <x:c r="F258" s="107" t="n">
        <x:v>3.5448766600000003</x:v>
      </x:c>
      <x:c r="G258" s="107" t="n">
        <x:v>7.41268903</x:v>
      </x:c>
      <x:c r="H258" s="107" t="n">
        <x:v>0</x:v>
      </x:c>
      <x:c r="I258" s="107" t="n">
        <x:v>5.596580220000001</x:v>
      </x:c>
      <x:c r="J258" s="107" t="n">
        <x:v>2.0517035600000004</x:v>
      </x:c>
      <x:c r="K258" s="107" t="n">
        <x:v>1.8517035600000005</x:v>
      </x:c>
      <x:c r="L258" s="107" t="n">
        <x:v>1.8517035600000005</x:v>
      </x:c>
      <x:c r="M258" s="107" t="n">
        <x:v>1.8517035600000005</x:v>
      </x:c>
      <x:c r="N258" s="108" t="n">
        <x:v>0.755000000317024</x:v>
      </x:c>
      <x:c r="O258" s="108" t="n">
        <x:v>0.2767826293125911</x:v>
      </x:c>
      <x:c r="P258" s="108" t="n">
        <x:v>0.24980186711002506</x:v>
      </x:c>
      <x:c r="Q258" s="9" t="str">
        <x:v>Budget</x:v>
      </x:c>
      <x:c r="R258" s="9" t="n">
        <x:v>2026</x:v>
      </x:c>
      <x:c r="S258" s="9" t="str">
        <x:v>2026-01</x:v>
      </x:c>
    </x:row>
    <x:row r="259" ht="17" customHeight="1">
      <x:c r="A259" s="9" t="str">
        <x:v>2026-01-01</x:v>
      </x:c>
      <x:c r="B259" s="9" t="str">
        <x:v>Finance &amp; Corporate</x:v>
      </x:c>
      <x:c r="C259" s="107" t="n">
        <x:v>0</x:v>
      </x:c>
      <x:c r="D259" s="107" t="n">
        <x:v>0</x:v>
      </x:c>
      <x:c r="E259" s="107" t="n">
        <x:v>0.45303552</x:v>
      </x:c>
      <x:c r="F259" s="107" t="n">
        <x:v>7.23619011</x:v>
      </x:c>
      <x:c r="G259" s="107" t="n">
        <x:v>0</x:v>
      </x:c>
      <x:c r="H259" s="107" t="n">
        <x:v>0.20277414000000002</x:v>
      </x:c>
      <x:c r="I259" s="107" t="n">
        <x:v>0</x:v>
      </x:c>
      <x:c r="J259" s="107" t="n">
        <x:v>-7.23619011</x:v>
      </x:c>
      <x:c r="K259" s="107" t="n">
        <x:v>-7.23619011</x:v>
      </x:c>
      <x:c r="L259" s="107" t="n">
        <x:v>-7.689225630000001</x:v>
      </x:c>
      <x:c r="M259" s="107" t="n">
        <x:v>-7.891999770000001</x:v>
      </x:c>
      <x:c r="N259" s="108"/>
      <x:c r="O259" s="108"/>
      <x:c r="P259" s="108"/>
      <x:c r="Q259" s="9" t="str">
        <x:v>Budget</x:v>
      </x:c>
      <x:c r="R259" s="9" t="n">
        <x:v>2026</x:v>
      </x:c>
      <x:c r="S259" s="9" t="str">
        <x:v>2026-01</x:v>
      </x:c>
    </x:row>
    <x:row r="260" ht="17" customHeight="1">
      <x:c r="A260" s="9" t="str">
        <x:v>2026-01-01</x:v>
      </x:c>
      <x:c r="B260" s="9" t="str">
        <x:v>Marketing</x:v>
      </x:c>
      <x:c r="C260" s="107" t="n">
        <x:v>0</x:v>
      </x:c>
      <x:c r="D260" s="107" t="n">
        <x:v>0</x:v>
      </x:c>
      <x:c r="E260" s="107" t="n">
        <x:v>0</x:v>
      </x:c>
      <x:c r="F260" s="107" t="n">
        <x:v>7.60052051</x:v>
      </x:c>
      <x:c r="G260" s="107" t="n">
        <x:v>0</x:v>
      </x:c>
      <x:c r="H260" s="107" t="n">
        <x:v>0</x:v>
      </x:c>
      <x:c r="I260" s="107" t="n">
        <x:v>0</x:v>
      </x:c>
      <x:c r="J260" s="107" t="n">
        <x:v>-7.60052051</x:v>
      </x:c>
      <x:c r="K260" s="107" t="n">
        <x:v>-7.60052051</x:v>
      </x:c>
      <x:c r="L260" s="107" t="n">
        <x:v>-7.60052051</x:v>
      </x:c>
      <x:c r="M260" s="107" t="n">
        <x:v>-7.60052051</x:v>
      </x:c>
      <x:c r="N260" s="108"/>
      <x:c r="O260" s="108"/>
      <x:c r="P260" s="108"/>
      <x:c r="Q260" s="9" t="str">
        <x:v>Budget</x:v>
      </x:c>
      <x:c r="R260" s="9" t="n">
        <x:v>2026</x:v>
      </x:c>
      <x:c r="S260" s="9" t="str">
        <x:v>2026-01</x:v>
      </x:c>
    </x:row>
    <x:row r="261" ht="17" customHeight="1">
      <x:c r="A261" s="9" t="str">
        <x:v>2026-01-01</x:v>
      </x:c>
      <x:c r="B261" s="9" t="str">
        <x:v>Operations</x:v>
      </x:c>
      <x:c r="C261" s="107" t="n">
        <x:v>0</x:v>
      </x:c>
      <x:c r="D261" s="107" t="n">
        <x:v>0.21527778</x:v>
      </x:c>
      <x:c r="E261" s="107" t="n">
        <x:v>0</x:v>
      </x:c>
      <x:c r="F261" s="107" t="n">
        <x:v>10.34986732</x:v>
      </x:c>
      <x:c r="G261" s="107" t="n">
        <x:v>0</x:v>
      </x:c>
      <x:c r="H261" s="107" t="n">
        <x:v>0</x:v>
      </x:c>
      <x:c r="I261" s="107" t="n">
        <x:v>0</x:v>
      </x:c>
      <x:c r="J261" s="107" t="n">
        <x:v>-10.34986732</x:v>
      </x:c>
      <x:c r="K261" s="107" t="n">
        <x:v>-10.5651451</x:v>
      </x:c>
      <x:c r="L261" s="107" t="n">
        <x:v>-10.5651451</x:v>
      </x:c>
      <x:c r="M261" s="107" t="n">
        <x:v>-10.5651451</x:v>
      </x:c>
      <x:c r="N261" s="108"/>
      <x:c r="O261" s="108"/>
      <x:c r="P261" s="108"/>
      <x:c r="Q261" s="9" t="str">
        <x:v>Budget</x:v>
      </x:c>
      <x:c r="R261" s="9" t="n">
        <x:v>2026</x:v>
      </x:c>
      <x:c r="S261" s="9" t="str">
        <x:v>2026-01</x:v>
      </x:c>
    </x:row>
    <x:row r="262" ht="17" customHeight="1">
      <x:c r="A262" s="9" t="str">
        <x:v>2026-01-01</x:v>
      </x:c>
      <x:c r="B262" s="9" t="str">
        <x:v>Sales</x:v>
      </x:c>
      <x:c r="C262" s="107" t="n">
        <x:v>58.47011105000001</x:v>
      </x:c>
      <x:c r="D262" s="107" t="n">
        <x:v>0.23333333</x:v>
      </x:c>
      <x:c r="E262" s="107" t="n">
        <x:v>0</x:v>
      </x:c>
      <x:c r="F262" s="107" t="n">
        <x:v>22.752171660000002</x:v>
      </x:c>
      <x:c r="G262" s="107" t="n">
        <x:v>115.94186382</x:v>
      </x:c>
      <x:c r="H262" s="107" t="n">
        <x:v>0</x:v>
      </x:c>
      <x:c r="I262" s="107" t="n">
        <x:v>57.47175276999999</x:v>
      </x:c>
      <x:c r="J262" s="107" t="n">
        <x:v>34.719581109999986</x:v>
      </x:c>
      <x:c r="K262" s="107" t="n">
        <x:v>34.486247779999985</x:v>
      </x:c>
      <x:c r="L262" s="107" t="n">
        <x:v>34.486247779999985</x:v>
      </x:c>
      <x:c r="M262" s="107" t="n">
        <x:v>34.486247779999985</x:v>
      </x:c>
      <x:c r="N262" s="108" t="n">
        <x:v>0.49569457378419424</x:v>
      </x:c>
      <x:c r="O262" s="108" t="n">
        <x:v>0.2994568136657024</x:v>
      </x:c>
      <x:c r="P262" s="108" t="n">
        <x:v>0.2974443108275365</x:v>
      </x:c>
      <x:c r="Q262" s="9" t="str">
        <x:v>Budget</x:v>
      </x:c>
      <x:c r="R262" s="9" t="n">
        <x:v>2026</x:v>
      </x:c>
      <x:c r="S262" s="9" t="str">
        <x:v>2026-01</x:v>
      </x:c>
    </x:row>
    <x:row r="263" ht="17" customHeight="1">
      <x:c r="A263" s="9" t="str">
        <x:v>2026-01-01</x:v>
      </x:c>
      <x:c r="B263" s="9" t="str">
        <x:v>Technology</x:v>
      </x:c>
      <x:c r="C263" s="107" t="n">
        <x:v>0</x:v>
      </x:c>
      <x:c r="D263" s="107" t="n">
        <x:v>0.44166667</x:v>
      </x:c>
      <x:c r="E263" s="107" t="n">
        <x:v>0</x:v>
      </x:c>
      <x:c r="F263" s="107" t="n">
        <x:v>9.23029686</x:v>
      </x:c>
      <x:c r="G263" s="107" t="n">
        <x:v>0</x:v>
      </x:c>
      <x:c r="H263" s="107" t="n">
        <x:v>0</x:v>
      </x:c>
      <x:c r="I263" s="107" t="n">
        <x:v>0</x:v>
      </x:c>
      <x:c r="J263" s="107" t="n">
        <x:v>-9.23029686</x:v>
      </x:c>
      <x:c r="K263" s="107" t="n">
        <x:v>-9.67196353</x:v>
      </x:c>
      <x:c r="L263" s="107" t="n">
        <x:v>-9.67196353</x:v>
      </x:c>
      <x:c r="M263" s="107" t="n">
        <x:v>-9.67196353</x:v>
      </x:c>
      <x:c r="N263" s="108"/>
      <x:c r="O263" s="108"/>
      <x:c r="P263" s="108"/>
      <x:c r="Q263" s="9" t="str">
        <x:v>Budget</x:v>
      </x:c>
      <x:c r="R263" s="9" t="n">
        <x:v>2026</x:v>
      </x:c>
      <x:c r="S263" s="9" t="str">
        <x:v>2026-01</x:v>
      </x:c>
    </x:row>
    <x:row r="264" ht="17" customHeight="1">
      <x:c r="A264" s="9" t="str">
        <x:v>2026-02-01</x:v>
      </x:c>
      <x:c r="B264" s="9" t="str">
        <x:v>Customer Success</x:v>
      </x:c>
      <x:c r="C264" s="107" t="n">
        <x:v>1.84731402</x:v>
      </x:c>
      <x:c r="D264" s="107" t="n">
        <x:v>0.2</x:v>
      </x:c>
      <x:c r="E264" s="107" t="n">
        <x:v>0</x:v>
      </x:c>
      <x:c r="F264" s="107" t="n">
        <x:v>3.7274797800000004</x:v>
      </x:c>
      <x:c r="G264" s="107" t="n">
        <x:v>7.54005725</x:v>
      </x:c>
      <x:c r="H264" s="107" t="n">
        <x:v>0</x:v>
      </x:c>
      <x:c r="I264" s="107" t="n">
        <x:v>5.6927432300000005</x:v>
      </x:c>
      <x:c r="J264" s="107" t="n">
        <x:v>1.9652634500000001</x:v>
      </x:c>
      <x:c r="K264" s="107" t="n">
        <x:v>1.7652634500000002</x:v>
      </x:c>
      <x:c r="L264" s="107" t="n">
        <x:v>1.7652634500000002</x:v>
      </x:c>
      <x:c r="M264" s="107" t="n">
        <x:v>1.7652634500000002</x:v>
      </x:c>
      <x:c r="N264" s="108" t="n">
        <x:v>0.7550000008289063</x:v>
      </x:c>
      <x:c r="O264" s="108" t="n">
        <x:v>0.2606430408734629</x:v>
      </x:c>
      <x:c r="P264" s="108" t="n">
        <x:v>0.23411804333448533</x:v>
      </x:c>
      <x:c r="Q264" s="9" t="str">
        <x:v>Budget</x:v>
      </x:c>
      <x:c r="R264" s="9" t="n">
        <x:v>2026</x:v>
      </x:c>
      <x:c r="S264" s="9" t="str">
        <x:v>2026-02</x:v>
      </x:c>
    </x:row>
    <x:row r="265" ht="17" customHeight="1">
      <x:c r="A265" s="9" t="str">
        <x:v>2026-02-01</x:v>
      </x:c>
      <x:c r="B265" s="9" t="str">
        <x:v>Finance &amp; Corporate</x:v>
      </x:c>
      <x:c r="C265" s="107" t="n">
        <x:v>0</x:v>
      </x:c>
      <x:c r="D265" s="107" t="n">
        <x:v>0</x:v>
      </x:c>
      <x:c r="E265" s="107" t="n">
        <x:v>0.45303552</x:v>
      </x:c>
      <x:c r="F265" s="107" t="n">
        <x:v>7.39683346</x:v>
      </x:c>
      <x:c r="G265" s="107" t="n">
        <x:v>0</x:v>
      </x:c>
      <x:c r="H265" s="107" t="n">
        <x:v>0.17818114000000002</x:v>
      </x:c>
      <x:c r="I265" s="107" t="n">
        <x:v>0</x:v>
      </x:c>
      <x:c r="J265" s="107" t="n">
        <x:v>-7.39683346</x:v>
      </x:c>
      <x:c r="K265" s="107" t="n">
        <x:v>-7.39683346</x:v>
      </x:c>
      <x:c r="L265" s="107" t="n">
        <x:v>-7.84986898</x:v>
      </x:c>
      <x:c r="M265" s="107" t="n">
        <x:v>-8.02805012</x:v>
      </x:c>
      <x:c r="N265" s="108"/>
      <x:c r="O265" s="108"/>
      <x:c r="P265" s="108"/>
      <x:c r="Q265" s="9" t="str">
        <x:v>Budget</x:v>
      </x:c>
      <x:c r="R265" s="9" t="n">
        <x:v>2026</x:v>
      </x:c>
      <x:c r="S265" s="9" t="str">
        <x:v>2026-02</x:v>
      </x:c>
    </x:row>
    <x:row r="266" ht="17" customHeight="1">
      <x:c r="A266" s="9" t="str">
        <x:v>2026-02-01</x:v>
      </x:c>
      <x:c r="B266" s="9" t="str">
        <x:v>Marketing</x:v>
      </x:c>
      <x:c r="C266" s="107" t="n">
        <x:v>0</x:v>
      </x:c>
      <x:c r="D266" s="107" t="n">
        <x:v>0</x:v>
      </x:c>
      <x:c r="E266" s="107" t="n">
        <x:v>0</x:v>
      </x:c>
      <x:c r="F266" s="107" t="n">
        <x:v>7.87319865</x:v>
      </x:c>
      <x:c r="G266" s="107" t="n">
        <x:v>0</x:v>
      </x:c>
      <x:c r="H266" s="107" t="n">
        <x:v>0</x:v>
      </x:c>
      <x:c r="I266" s="107" t="n">
        <x:v>0</x:v>
      </x:c>
      <x:c r="J266" s="107" t="n">
        <x:v>-7.87319865</x:v>
      </x:c>
      <x:c r="K266" s="107" t="n">
        <x:v>-7.87319865</x:v>
      </x:c>
      <x:c r="L266" s="107" t="n">
        <x:v>-7.87319865</x:v>
      </x:c>
      <x:c r="M266" s="107" t="n">
        <x:v>-7.87319865</x:v>
      </x:c>
      <x:c r="N266" s="108"/>
      <x:c r="O266" s="108"/>
      <x:c r="P266" s="108"/>
      <x:c r="Q266" s="9" t="str">
        <x:v>Budget</x:v>
      </x:c>
      <x:c r="R266" s="9" t="n">
        <x:v>2026</x:v>
      </x:c>
      <x:c r="S266" s="9" t="str">
        <x:v>2026-02</x:v>
      </x:c>
    </x:row>
    <x:row r="267" ht="17" customHeight="1">
      <x:c r="A267" s="9" t="str">
        <x:v>2026-02-01</x:v>
      </x:c>
      <x:c r="B267" s="9" t="str">
        <x:v>Operations</x:v>
      </x:c>
      <x:c r="C267" s="107" t="n">
        <x:v>0</x:v>
      </x:c>
      <x:c r="D267" s="107" t="n">
        <x:v>0.21527778</x:v>
      </x:c>
      <x:c r="E267" s="107" t="n">
        <x:v>0</x:v>
      </x:c>
      <x:c r="F267" s="107" t="n">
        <x:v>10.63366528</x:v>
      </x:c>
      <x:c r="G267" s="107" t="n">
        <x:v>0</x:v>
      </x:c>
      <x:c r="H267" s="107" t="n">
        <x:v>0</x:v>
      </x:c>
      <x:c r="I267" s="107" t="n">
        <x:v>0</x:v>
      </x:c>
      <x:c r="J267" s="107" t="n">
        <x:v>-10.63366528</x:v>
      </x:c>
      <x:c r="K267" s="107" t="n">
        <x:v>-10.84894306</x:v>
      </x:c>
      <x:c r="L267" s="107" t="n">
        <x:v>-10.84894306</x:v>
      </x:c>
      <x:c r="M267" s="107" t="n">
        <x:v>-10.84894306</x:v>
      </x:c>
      <x:c r="N267" s="108"/>
      <x:c r="O267" s="108"/>
      <x:c r="P267" s="108"/>
      <x:c r="Q267" s="9" t="str">
        <x:v>Budget</x:v>
      </x:c>
      <x:c r="R267" s="9" t="n">
        <x:v>2026</x:v>
      </x:c>
      <x:c r="S267" s="9" t="str">
        <x:v>2026-02</x:v>
      </x:c>
    </x:row>
    <x:row r="268" ht="17" customHeight="1">
      <x:c r="A268" s="9" t="str">
        <x:v>2026-02-01</x:v>
      </x:c>
      <x:c r="B268" s="9" t="str">
        <x:v>Sales</x:v>
      </x:c>
      <x:c r="C268" s="107" t="n">
        <x:v>60.888934690000006</x:v>
      </x:c>
      <x:c r="D268" s="107" t="n">
        <x:v>0.23333333</x:v>
      </x:c>
      <x:c r="E268" s="107" t="n">
        <x:v>0</x:v>
      </x:c>
      <x:c r="F268" s="107" t="n">
        <x:v>23.87198146</x:v>
      </x:c>
      <x:c r="G268" s="107" t="n">
        <x:v>120.47083777</x:v>
      </x:c>
      <x:c r="H268" s="107" t="n">
        <x:v>0</x:v>
      </x:c>
      <x:c r="I268" s="107" t="n">
        <x:v>59.58190307999999</x:v>
      </x:c>
      <x:c r="J268" s="107" t="n">
        <x:v>35.70992161999999</x:v>
      </x:c>
      <x:c r="K268" s="107" t="n">
        <x:v>35.476588289999995</x:v>
      </x:c>
      <x:c r="L268" s="107" t="n">
        <x:v>35.476588289999995</x:v>
      </x:c>
      <x:c r="M268" s="107" t="n">
        <x:v>35.476588289999995</x:v>
      </x:c>
      <x:c r="N268" s="108" t="n">
        <x:v>0.4945753194955971</x:v>
      </x:c>
      <x:c r="O268" s="108" t="n">
        <x:v>0.2964196338384938</x:v>
      </x:c>
      <x:c r="P268" s="108" t="n">
        <x:v>0.2944827889196806</x:v>
      </x:c>
      <x:c r="Q268" s="9" t="str">
        <x:v>Budget</x:v>
      </x:c>
      <x:c r="R268" s="9" t="n">
        <x:v>2026</x:v>
      </x:c>
      <x:c r="S268" s="9" t="str">
        <x:v>2026-02</x:v>
      </x:c>
    </x:row>
    <x:row r="269" ht="17" customHeight="1">
      <x:c r="A269" s="9" t="str">
        <x:v>2026-02-01</x:v>
      </x:c>
      <x:c r="B269" s="9" t="str">
        <x:v>Technology</x:v>
      </x:c>
      <x:c r="C269" s="107" t="n">
        <x:v>0</x:v>
      </x:c>
      <x:c r="D269" s="107" t="n">
        <x:v>0.44166667</x:v>
      </x:c>
      <x:c r="E269" s="107" t="n">
        <x:v>0</x:v>
      </x:c>
      <x:c r="F269" s="107" t="n">
        <x:v>9.5154498</x:v>
      </x:c>
      <x:c r="G269" s="107" t="n">
        <x:v>0</x:v>
      </x:c>
      <x:c r="H269" s="107" t="n">
        <x:v>0</x:v>
      </x:c>
      <x:c r="I269" s="107" t="n">
        <x:v>0</x:v>
      </x:c>
      <x:c r="J269" s="107" t="n">
        <x:v>-9.5154498</x:v>
      </x:c>
      <x:c r="K269" s="107" t="n">
        <x:v>-9.95711647</x:v>
      </x:c>
      <x:c r="L269" s="107" t="n">
        <x:v>-9.95711647</x:v>
      </x:c>
      <x:c r="M269" s="107" t="n">
        <x:v>-9.95711647</x:v>
      </x:c>
      <x:c r="N269" s="108"/>
      <x:c r="O269" s="108"/>
      <x:c r="P269" s="108"/>
      <x:c r="Q269" s="9" t="str">
        <x:v>Budget</x:v>
      </x:c>
      <x:c r="R269" s="9" t="n">
        <x:v>2026</x:v>
      </x:c>
      <x:c r="S269" s="9" t="str">
        <x:v>2026-02</x:v>
      </x:c>
    </x:row>
    <x:row r="270" ht="17" customHeight="1">
      <x:c r="A270" s="9" t="str">
        <x:v>2026-03-01</x:v>
      </x:c>
      <x:c r="B270" s="9" t="str">
        <x:v>Customer Success</x:v>
      </x:c>
      <x:c r="C270" s="107" t="n">
        <x:v>1.9820973599999998</x:v>
      </x:c>
      <x:c r="D270" s="107" t="n">
        <x:v>0.2</x:v>
      </x:c>
      <x:c r="E270" s="107" t="n">
        <x:v>0</x:v>
      </x:c>
      <x:c r="F270" s="107" t="n">
        <x:v>3.7128330899999997</x:v>
      </x:c>
      <x:c r="G270" s="107" t="n">
        <x:v>8.09019329</x:v>
      </x:c>
      <x:c r="H270" s="107" t="n">
        <x:v>0</x:v>
      </x:c>
      <x:c r="I270" s="107" t="n">
        <x:v>6.108095929999999</x:v>
      </x:c>
      <x:c r="J270" s="107" t="n">
        <x:v>2.39526284</x:v>
      </x:c>
      <x:c r="K270" s="107" t="n">
        <x:v>2.19526284</x:v>
      </x:c>
      <x:c r="L270" s="107" t="n">
        <x:v>2.19526284</x:v>
      </x:c>
      <x:c r="M270" s="107" t="n">
        <x:v>2.19526284</x:v>
      </x:c>
      <x:c r="N270" s="108" t="n">
        <x:v>0.7549999995117546</x:v>
      </x:c>
      <x:c r="O270" s="108" t="n">
        <x:v>0.2960699150366035</x:v>
      </x:c>
      <x:c r="P270" s="108" t="n">
        <x:v>0.27134862682619537</x:v>
      </x:c>
      <x:c r="Q270" s="9" t="str">
        <x:v>Budget</x:v>
      </x:c>
      <x:c r="R270" s="9" t="n">
        <x:v>2026</x:v>
      </x:c>
      <x:c r="S270" s="9" t="str">
        <x:v>2026-03</x:v>
      </x:c>
    </x:row>
    <x:row r="271" ht="17" customHeight="1">
      <x:c r="A271" s="9" t="str">
        <x:v>2026-03-01</x:v>
      </x:c>
      <x:c r="B271" s="9" t="str">
        <x:v>Finance &amp; Corporate</x:v>
      </x:c>
      <x:c r="C271" s="107" t="n">
        <x:v>0</x:v>
      </x:c>
      <x:c r="D271" s="107" t="n">
        <x:v>0.175</x:v>
      </x:c>
      <x:c r="E271" s="107" t="n">
        <x:v>0.45303552</x:v>
      </x:c>
      <x:c r="F271" s="107" t="n">
        <x:v>7.503566480000001</x:v>
      </x:c>
      <x:c r="G271" s="107" t="n">
        <x:v>0</x:v>
      </x:c>
      <x:c r="H271" s="107" t="n">
        <x:v>2.15358284</x:v>
      </x:c>
      <x:c r="I271" s="107" t="n">
        <x:v>0</x:v>
      </x:c>
      <x:c r="J271" s="107" t="n">
        <x:v>-7.503566480000001</x:v>
      </x:c>
      <x:c r="K271" s="107" t="n">
        <x:v>-7.678566480000001</x:v>
      </x:c>
      <x:c r="L271" s="107" t="n">
        <x:v>-8.131602</x:v>
      </x:c>
      <x:c r="M271" s="107" t="n">
        <x:v>-10.28518484</x:v>
      </x:c>
      <x:c r="N271" s="108"/>
      <x:c r="O271" s="108"/>
      <x:c r="P271" s="108"/>
      <x:c r="Q271" s="9" t="str">
        <x:v>Budget</x:v>
      </x:c>
      <x:c r="R271" s="9" t="n">
        <x:v>2026</x:v>
      </x:c>
      <x:c r="S271" s="9" t="str">
        <x:v>2026-03</x:v>
      </x:c>
    </x:row>
    <x:row r="272" ht="17" customHeight="1">
      <x:c r="A272" s="9" t="str">
        <x:v>2026-03-01</x:v>
      </x:c>
      <x:c r="B272" s="9" t="str">
        <x:v>Marketing</x:v>
      </x:c>
      <x:c r="C272" s="107" t="n">
        <x:v>0</x:v>
      </x:c>
      <x:c r="D272" s="107" t="n">
        <x:v>0</x:v>
      </x:c>
      <x:c r="E272" s="107" t="n">
        <x:v>0</x:v>
      </x:c>
      <x:c r="F272" s="107" t="n">
        <x:v>7.659489450000001</x:v>
      </x:c>
      <x:c r="G272" s="107" t="n">
        <x:v>0</x:v>
      </x:c>
      <x:c r="H272" s="107" t="n">
        <x:v>0</x:v>
      </x:c>
      <x:c r="I272" s="107" t="n">
        <x:v>0</x:v>
      </x:c>
      <x:c r="J272" s="107" t="n">
        <x:v>-7.659489450000001</x:v>
      </x:c>
      <x:c r="K272" s="107" t="n">
        <x:v>-7.659489450000001</x:v>
      </x:c>
      <x:c r="L272" s="107" t="n">
        <x:v>-7.659489450000001</x:v>
      </x:c>
      <x:c r="M272" s="107" t="n">
        <x:v>-7.659489450000001</x:v>
      </x:c>
      <x:c r="N272" s="108"/>
      <x:c r="O272" s="108"/>
      <x:c r="P272" s="108"/>
      <x:c r="Q272" s="9" t="str">
        <x:v>Budget</x:v>
      </x:c>
      <x:c r="R272" s="9" t="n">
        <x:v>2026</x:v>
      </x:c>
      <x:c r="S272" s="9" t="str">
        <x:v>2026-03</x:v>
      </x:c>
    </x:row>
    <x:row r="273" ht="17" customHeight="1">
      <x:c r="A273" s="9" t="str">
        <x:v>2026-03-01</x:v>
      </x:c>
      <x:c r="B273" s="9" t="str">
        <x:v>Operations</x:v>
      </x:c>
      <x:c r="C273" s="107" t="n">
        <x:v>0</x:v>
      </x:c>
      <x:c r="D273" s="107" t="n">
        <x:v>0.21527778</x:v>
      </x:c>
      <x:c r="E273" s="107" t="n">
        <x:v>0</x:v>
      </x:c>
      <x:c r="F273" s="107" t="n">
        <x:v>10.60971767</x:v>
      </x:c>
      <x:c r="G273" s="107" t="n">
        <x:v>0</x:v>
      </x:c>
      <x:c r="H273" s="107" t="n">
        <x:v>0</x:v>
      </x:c>
      <x:c r="I273" s="107" t="n">
        <x:v>0</x:v>
      </x:c>
      <x:c r="J273" s="107" t="n">
        <x:v>-10.60971767</x:v>
      </x:c>
      <x:c r="K273" s="107" t="n">
        <x:v>-10.82499545</x:v>
      </x:c>
      <x:c r="L273" s="107" t="n">
        <x:v>-10.82499545</x:v>
      </x:c>
      <x:c r="M273" s="107" t="n">
        <x:v>-10.82499545</x:v>
      </x:c>
      <x:c r="N273" s="108"/>
      <x:c r="O273" s="108"/>
      <x:c r="P273" s="108"/>
      <x:c r="Q273" s="9" t="str">
        <x:v>Budget</x:v>
      </x:c>
      <x:c r="R273" s="9" t="n">
        <x:v>2026</x:v>
      </x:c>
      <x:c r="S273" s="9" t="str">
        <x:v>2026-03</x:v>
      </x:c>
    </x:row>
    <x:row r="274" ht="17" customHeight="1">
      <x:c r="A274" s="9" t="str">
        <x:v>2026-03-01</x:v>
      </x:c>
      <x:c r="B274" s="9" t="str">
        <x:v>Sales</x:v>
      </x:c>
      <x:c r="C274" s="107" t="n">
        <x:v>69.50823492</x:v>
      </x:c>
      <x:c r="D274" s="107" t="n">
        <x:v>0.23333333</x:v>
      </x:c>
      <x:c r="E274" s="107" t="n">
        <x:v>0</x:v>
      </x:c>
      <x:c r="F274" s="107" t="n">
        <x:v>24.722521370000003</x:v>
      </x:c>
      <x:c r="G274" s="107" t="n">
        <x:v>137.41486988999998</x:v>
      </x:c>
      <x:c r="H274" s="107" t="n">
        <x:v>0</x:v>
      </x:c>
      <x:c r="I274" s="107" t="n">
        <x:v>67.90663496999998</x:v>
      </x:c>
      <x:c r="J274" s="107" t="n">
        <x:v>43.18411359999998</x:v>
      </x:c>
      <x:c r="K274" s="107" t="n">
        <x:v>42.95078026999998</x:v>
      </x:c>
      <x:c r="L274" s="107" t="n">
        <x:v>42.95078026999998</x:v>
      </x:c>
      <x:c r="M274" s="107" t="n">
        <x:v>42.95078026999998</x:v>
      </x:c>
      <x:c r="N274" s="108" t="n">
        <x:v>0.49417239214619896</x:v>
      </x:c>
      <x:c r="O274" s="108" t="n">
        <x:v>0.31426084844070135</x:v>
      </x:c>
      <x:c r="P274" s="108" t="n">
        <x:v>0.31256282747552644</x:v>
      </x:c>
      <x:c r="Q274" s="9" t="str">
        <x:v>Budget</x:v>
      </x:c>
      <x:c r="R274" s="9" t="n">
        <x:v>2026</x:v>
      </x:c>
      <x:c r="S274" s="9" t="str">
        <x:v>2026-03</x:v>
      </x:c>
    </x:row>
    <x:row r="275" ht="17" customHeight="1">
      <x:c r="A275" s="9" t="str">
        <x:v>2026-03-01</x:v>
      </x:c>
      <x:c r="B275" s="9" t="str">
        <x:v>Technology</x:v>
      </x:c>
      <x:c r="C275" s="107" t="n">
        <x:v>0</x:v>
      </x:c>
      <x:c r="D275" s="107" t="n">
        <x:v>0.44166667</x:v>
      </x:c>
      <x:c r="E275" s="107" t="n">
        <x:v>0</x:v>
      </x:c>
      <x:c r="F275" s="107" t="n">
        <x:v>9.47395817</x:v>
      </x:c>
      <x:c r="G275" s="107" t="n">
        <x:v>0</x:v>
      </x:c>
      <x:c r="H275" s="107" t="n">
        <x:v>0</x:v>
      </x:c>
      <x:c r="I275" s="107" t="n">
        <x:v>0</x:v>
      </x:c>
      <x:c r="J275" s="107" t="n">
        <x:v>-9.47395817</x:v>
      </x:c>
      <x:c r="K275" s="107" t="n">
        <x:v>-9.91562484</x:v>
      </x:c>
      <x:c r="L275" s="107" t="n">
        <x:v>-9.91562484</x:v>
      </x:c>
      <x:c r="M275" s="107" t="n">
        <x:v>-9.91562484</x:v>
      </x:c>
      <x:c r="N275" s="108"/>
      <x:c r="O275" s="108"/>
      <x:c r="P275" s="108"/>
      <x:c r="Q275" s="9" t="str">
        <x:v>Budget</x:v>
      </x:c>
      <x:c r="R275" s="9" t="n">
        <x:v>2026</x:v>
      </x:c>
      <x:c r="S275" s="9" t="str">
        <x:v>2026-03</x:v>
      </x:c>
    </x:row>
    <x:row r="276" ht="17" customHeight="1">
      <x:c r="A276" s="9" t="str">
        <x:v>2026-04-01</x:v>
      </x:c>
      <x:c r="B276" s="9" t="str">
        <x:v>Customer Success</x:v>
      </x:c>
      <x:c r="C276" s="107" t="n">
        <x:v>1.99974914</x:v>
      </x:c>
      <x:c r="D276" s="107" t="n">
        <x:v>0.2</x:v>
      </x:c>
      <x:c r="E276" s="107" t="n">
        <x:v>0</x:v>
      </x:c>
      <x:c r="F276" s="107" t="n">
        <x:v>3.7008372400000003</x:v>
      </x:c>
      <x:c r="G276" s="107" t="n">
        <x:v>8.16224144</x:v>
      </x:c>
      <x:c r="H276" s="107" t="n">
        <x:v>0</x:v>
      </x:c>
      <x:c r="I276" s="107" t="n">
        <x:v>6.162492300000001</x:v>
      </x:c>
      <x:c r="J276" s="107" t="n">
        <x:v>2.4616550600000005</x:v>
      </x:c>
      <x:c r="K276" s="107" t="n">
        <x:v>2.2616550600000007</x:v>
      </x:c>
      <x:c r="L276" s="107" t="n">
        <x:v>2.2616550600000007</x:v>
      </x:c>
      <x:c r="M276" s="107" t="n">
        <x:v>2.2616550600000007</x:v>
      </x:c>
      <x:c r="N276" s="108" t="n">
        <x:v>0.7550000015681967</x:v>
      </x:c>
      <x:c r="O276" s="108" t="n">
        <x:v>0.30159057142519424</x:v>
      </x:c>
      <x:c r="P276" s="108" t="n">
        <x:v>0.27708749816153444</x:v>
      </x:c>
      <x:c r="Q276" s="9" t="str">
        <x:v>Budget</x:v>
      </x:c>
      <x:c r="R276" s="9" t="n">
        <x:v>2026</x:v>
      </x:c>
      <x:c r="S276" s="9" t="str">
        <x:v>2026-04</x:v>
      </x:c>
    </x:row>
    <x:row r="277" ht="17" customHeight="1">
      <x:c r="A277" s="9" t="str">
        <x:v>2026-04-01</x:v>
      </x:c>
      <x:c r="B277" s="9" t="str">
        <x:v>Finance &amp; Corporate</x:v>
      </x:c>
      <x:c r="C277" s="107" t="n">
        <x:v>0</x:v>
      </x:c>
      <x:c r="D277" s="107" t="n">
        <x:v>0.175</x:v>
      </x:c>
      <x:c r="E277" s="107" t="n">
        <x:v>0.45303552</x:v>
      </x:c>
      <x:c r="F277" s="107" t="n">
        <x:v>7.48951102</x:v>
      </x:c>
      <x:c r="G277" s="107" t="n">
        <x:v>0</x:v>
      </x:c>
      <x:c r="H277" s="107" t="n">
        <x:v>2.4041301099999997</x:v>
      </x:c>
      <x:c r="I277" s="107" t="n">
        <x:v>0</x:v>
      </x:c>
      <x:c r="J277" s="107" t="n">
        <x:v>-7.48951102</x:v>
      </x:c>
      <x:c r="K277" s="107" t="n">
        <x:v>-7.664511020000001</x:v>
      </x:c>
      <x:c r="L277" s="107" t="n">
        <x:v>-8.117546540000001</x:v>
      </x:c>
      <x:c r="M277" s="107" t="n">
        <x:v>-10.52167665</x:v>
      </x:c>
      <x:c r="N277" s="108"/>
      <x:c r="O277" s="108"/>
      <x:c r="P277" s="108"/>
      <x:c r="Q277" s="9" t="str">
        <x:v>Budget</x:v>
      </x:c>
      <x:c r="R277" s="9" t="n">
        <x:v>2026</x:v>
      </x:c>
      <x:c r="S277" s="9" t="str">
        <x:v>2026-04</x:v>
      </x:c>
    </x:row>
    <x:row r="278" ht="17" customHeight="1">
      <x:c r="A278" s="9" t="str">
        <x:v>2026-04-01</x:v>
      </x:c>
      <x:c r="B278" s="9" t="str">
        <x:v>Marketing</x:v>
      </x:c>
      <x:c r="C278" s="107" t="n">
        <x:v>0</x:v>
      </x:c>
      <x:c r="D278" s="107" t="n">
        <x:v>0</x:v>
      </x:c>
      <x:c r="E278" s="107" t="n">
        <x:v>0</x:v>
      </x:c>
      <x:c r="F278" s="107" t="n">
        <x:v>7.871773890000001</x:v>
      </x:c>
      <x:c r="G278" s="107" t="n">
        <x:v>0</x:v>
      </x:c>
      <x:c r="H278" s="107" t="n">
        <x:v>0</x:v>
      </x:c>
      <x:c r="I278" s="107" t="n">
        <x:v>0</x:v>
      </x:c>
      <x:c r="J278" s="107" t="n">
        <x:v>-7.871773890000001</x:v>
      </x:c>
      <x:c r="K278" s="107" t="n">
        <x:v>-7.871773890000001</x:v>
      </x:c>
      <x:c r="L278" s="107" t="n">
        <x:v>-7.871773890000001</x:v>
      </x:c>
      <x:c r="M278" s="107" t="n">
        <x:v>-7.871773890000001</x:v>
      </x:c>
      <x:c r="N278" s="108"/>
      <x:c r="O278" s="108"/>
      <x:c r="P278" s="108"/>
      <x:c r="Q278" s="9" t="str">
        <x:v>Budget</x:v>
      </x:c>
      <x:c r="R278" s="9" t="n">
        <x:v>2026</x:v>
      </x:c>
      <x:c r="S278" s="9" t="str">
        <x:v>2026-04</x:v>
      </x:c>
    </x:row>
    <x:row r="279" ht="17" customHeight="1">
      <x:c r="A279" s="9" t="str">
        <x:v>2026-04-01</x:v>
      </x:c>
      <x:c r="B279" s="9" t="str">
        <x:v>Operations</x:v>
      </x:c>
      <x:c r="C279" s="107" t="n">
        <x:v>0</x:v>
      </x:c>
      <x:c r="D279" s="107" t="n">
        <x:v>0.21527778</x:v>
      </x:c>
      <x:c r="E279" s="107" t="n">
        <x:v>0</x:v>
      </x:c>
      <x:c r="F279" s="107" t="n">
        <x:v>10.61668472</x:v>
      </x:c>
      <x:c r="G279" s="107" t="n">
        <x:v>0</x:v>
      </x:c>
      <x:c r="H279" s="107" t="n">
        <x:v>0</x:v>
      </x:c>
      <x:c r="I279" s="107" t="n">
        <x:v>0</x:v>
      </x:c>
      <x:c r="J279" s="107" t="n">
        <x:v>-10.61668472</x:v>
      </x:c>
      <x:c r="K279" s="107" t="n">
        <x:v>-10.8319625</x:v>
      </x:c>
      <x:c r="L279" s="107" t="n">
        <x:v>-10.8319625</x:v>
      </x:c>
      <x:c r="M279" s="107" t="n">
        <x:v>-10.8319625</x:v>
      </x:c>
      <x:c r="N279" s="108"/>
      <x:c r="O279" s="108"/>
      <x:c r="P279" s="108"/>
      <x:c r="Q279" s="9" t="str">
        <x:v>Budget</x:v>
      </x:c>
      <x:c r="R279" s="9" t="n">
        <x:v>2026</x:v>
      </x:c>
      <x:c r="S279" s="9" t="str">
        <x:v>2026-04</x:v>
      </x:c>
    </x:row>
    <x:row r="280" ht="17" customHeight="1">
      <x:c r="A280" s="9" t="str">
        <x:v>2026-04-01</x:v>
      </x:c>
      <x:c r="B280" s="9" t="str">
        <x:v>Sales</x:v>
      </x:c>
      <x:c r="C280" s="107" t="n">
        <x:v>70.62980202000001</x:v>
      </x:c>
      <x:c r="D280" s="107" t="n">
        <x:v>0.23333333</x:v>
      </x:c>
      <x:c r="E280" s="107" t="n">
        <x:v>0</x:v>
      </x:c>
      <x:c r="F280" s="107" t="n">
        <x:v>24.86030636</x:v>
      </x:c>
      <x:c r="G280" s="107" t="n">
        <x:v>139.83456001</x:v>
      </x:c>
      <x:c r="H280" s="107" t="n">
        <x:v>0</x:v>
      </x:c>
      <x:c r="I280" s="107" t="n">
        <x:v>69.20475798999998</x:v>
      </x:c>
      <x:c r="J280" s="107" t="n">
        <x:v>44.34445162999998</x:v>
      </x:c>
      <x:c r="K280" s="107" t="n">
        <x:v>44.11111829999998</x:v>
      </x:c>
      <x:c r="L280" s="107" t="n">
        <x:v>44.11111829999998</x:v>
      </x:c>
      <x:c r="M280" s="107" t="n">
        <x:v>44.11111829999998</x:v>
      </x:c>
      <x:c r="N280" s="108" t="n">
        <x:v>0.494904535653067</x:v>
      </x:c>
      <x:c r="O280" s="108" t="n">
        <x:v>0.3171208292630146</x:v>
      </x:c>
      <x:c r="P280" s="108" t="n">
        <x:v>0.31545219076632747</x:v>
      </x:c>
      <x:c r="Q280" s="9" t="str">
        <x:v>Budget</x:v>
      </x:c>
      <x:c r="R280" s="9" t="n">
        <x:v>2026</x:v>
      </x:c>
      <x:c r="S280" s="9" t="str">
        <x:v>2026-04</x:v>
      </x:c>
    </x:row>
    <x:row r="281" ht="17" customHeight="1">
      <x:c r="A281" s="9" t="str">
        <x:v>2026-04-01</x:v>
      </x:c>
      <x:c r="B281" s="9" t="str">
        <x:v>Technology</x:v>
      </x:c>
      <x:c r="C281" s="107" t="n">
        <x:v>0</x:v>
      </x:c>
      <x:c r="D281" s="107" t="n">
        <x:v>0.44166667</x:v>
      </x:c>
      <x:c r="E281" s="107" t="n">
        <x:v>0</x:v>
      </x:c>
      <x:c r="F281" s="107" t="n">
        <x:v>9.49330332</x:v>
      </x:c>
      <x:c r="G281" s="107" t="n">
        <x:v>0</x:v>
      </x:c>
      <x:c r="H281" s="107" t="n">
        <x:v>0</x:v>
      </x:c>
      <x:c r="I281" s="107" t="n">
        <x:v>0</x:v>
      </x:c>
      <x:c r="J281" s="107" t="n">
        <x:v>-9.49330332</x:v>
      </x:c>
      <x:c r="K281" s="107" t="n">
        <x:v>-9.93496999</x:v>
      </x:c>
      <x:c r="L281" s="107" t="n">
        <x:v>-9.93496999</x:v>
      </x:c>
      <x:c r="M281" s="107" t="n">
        <x:v>-9.93496999</x:v>
      </x:c>
      <x:c r="N281" s="108"/>
      <x:c r="O281" s="108"/>
      <x:c r="P281" s="108"/>
      <x:c r="Q281" s="9" t="str">
        <x:v>Budget</x:v>
      </x:c>
      <x:c r="R281" s="9" t="n">
        <x:v>2026</x:v>
      </x:c>
      <x:c r="S281" s="9" t="str">
        <x:v>2026-04</x:v>
      </x:c>
    </x:row>
    <x:row r="282" ht="17" customHeight="1">
      <x:c r="A282" s="9" t="str">
        <x:v>2026-05-01</x:v>
      </x:c>
      <x:c r="B282" s="9" t="str">
        <x:v>Customer Success</x:v>
      </x:c>
      <x:c r="C282" s="107" t="n">
        <x:v>2.07771981</x:v>
      </x:c>
      <x:c r="D282" s="107" t="n">
        <x:v>0.2</x:v>
      </x:c>
      <x:c r="E282" s="107" t="n">
        <x:v>0</x:v>
      </x:c>
      <x:c r="F282" s="107" t="n">
        <x:v>3.77236013</x:v>
      </x:c>
      <x:c r="G282" s="107" t="n">
        <x:v>8.480489</x:v>
      </x:c>
      <x:c r="H282" s="107" t="n">
        <x:v>0</x:v>
      </x:c>
      <x:c r="I282" s="107" t="n">
        <x:v>6.40276919</x:v>
      </x:c>
      <x:c r="J282" s="107" t="n">
        <x:v>2.6304090599999994</x:v>
      </x:c>
      <x:c r="K282" s="107" t="n">
        <x:v>2.4304090599999997</x:v>
      </x:c>
      <x:c r="L282" s="107" t="n">
        <x:v>2.4304090599999997</x:v>
      </x:c>
      <x:c r="M282" s="107" t="n">
        <x:v>2.4304090599999997</x:v>
      </x:c>
      <x:c r="N282" s="108" t="n">
        <x:v>0.7549999994104113</x:v>
      </x:c>
      <x:c r="O282" s="108" t="n">
        <x:v>0.3101718615518515</x:v>
      </x:c>
      <x:c r="P282" s="108" t="n">
        <x:v>0.2865883158388626</x:v>
      </x:c>
      <x:c r="Q282" s="9" t="str">
        <x:v>Budget</x:v>
      </x:c>
      <x:c r="R282" s="9" t="n">
        <x:v>2026</x:v>
      </x:c>
      <x:c r="S282" s="9" t="str">
        <x:v>2026-05</x:v>
      </x:c>
    </x:row>
    <x:row r="283" ht="17" customHeight="1">
      <x:c r="A283" s="9" t="str">
        <x:v>2026-05-01</x:v>
      </x:c>
      <x:c r="B283" s="9" t="str">
        <x:v>Finance &amp; Corporate</x:v>
      </x:c>
      <x:c r="C283" s="107" t="n">
        <x:v>0</x:v>
      </x:c>
      <x:c r="D283" s="107" t="n">
        <x:v>0.175</x:v>
      </x:c>
      <x:c r="E283" s="107" t="n">
        <x:v>0.45303552</x:v>
      </x:c>
      <x:c r="F283" s="107" t="n">
        <x:v>7.46063809</x:v>
      </x:c>
      <x:c r="G283" s="107" t="n">
        <x:v>0</x:v>
      </x:c>
      <x:c r="H283" s="107" t="n">
        <x:v>2.58161</x:v>
      </x:c>
      <x:c r="I283" s="107" t="n">
        <x:v>0</x:v>
      </x:c>
      <x:c r="J283" s="107" t="n">
        <x:v>-7.46063809</x:v>
      </x:c>
      <x:c r="K283" s="107" t="n">
        <x:v>-7.63563809</x:v>
      </x:c>
      <x:c r="L283" s="107" t="n">
        <x:v>-8.088673609999999</x:v>
      </x:c>
      <x:c r="M283" s="107" t="n">
        <x:v>-10.67028361</x:v>
      </x:c>
      <x:c r="N283" s="108"/>
      <x:c r="O283" s="108"/>
      <x:c r="P283" s="108"/>
      <x:c r="Q283" s="9" t="str">
        <x:v>Budget</x:v>
      </x:c>
      <x:c r="R283" s="9" t="n">
        <x:v>2026</x:v>
      </x:c>
      <x:c r="S283" s="9" t="str">
        <x:v>2026-05</x:v>
      </x:c>
    </x:row>
    <x:row r="284" ht="17" customHeight="1">
      <x:c r="A284" s="9" t="str">
        <x:v>2026-05-01</x:v>
      </x:c>
      <x:c r="B284" s="9" t="str">
        <x:v>Marketing</x:v>
      </x:c>
      <x:c r="C284" s="107" t="n">
        <x:v>0</x:v>
      </x:c>
      <x:c r="D284" s="107" t="n">
        <x:v>0</x:v>
      </x:c>
      <x:c r="E284" s="107" t="n">
        <x:v>0</x:v>
      </x:c>
      <x:c r="F284" s="107" t="n">
        <x:v>7.97150514</x:v>
      </x:c>
      <x:c r="G284" s="107" t="n">
        <x:v>0</x:v>
      </x:c>
      <x:c r="H284" s="107" t="n">
        <x:v>0</x:v>
      </x:c>
      <x:c r="I284" s="107" t="n">
        <x:v>0</x:v>
      </x:c>
      <x:c r="J284" s="107" t="n">
        <x:v>-7.97150514</x:v>
      </x:c>
      <x:c r="K284" s="107" t="n">
        <x:v>-7.97150514</x:v>
      </x:c>
      <x:c r="L284" s="107" t="n">
        <x:v>-7.97150514</x:v>
      </x:c>
      <x:c r="M284" s="107" t="n">
        <x:v>-7.97150514</x:v>
      </x:c>
      <x:c r="N284" s="108"/>
      <x:c r="O284" s="108"/>
      <x:c r="P284" s="108"/>
      <x:c r="Q284" s="9" t="str">
        <x:v>Budget</x:v>
      </x:c>
      <x:c r="R284" s="9" t="n">
        <x:v>2026</x:v>
      </x:c>
      <x:c r="S284" s="9" t="str">
        <x:v>2026-05</x:v>
      </x:c>
    </x:row>
    <x:row r="285" ht="17" customHeight="1">
      <x:c r="A285" s="9" t="str">
        <x:v>2026-05-01</x:v>
      </x:c>
      <x:c r="B285" s="9" t="str">
        <x:v>Operations</x:v>
      </x:c>
      <x:c r="C285" s="107" t="n">
        <x:v>0</x:v>
      </x:c>
      <x:c r="D285" s="107" t="n">
        <x:v>0.21527778</x:v>
      </x:c>
      <x:c r="E285" s="107" t="n">
        <x:v>0</x:v>
      </x:c>
      <x:c r="F285" s="107" t="n">
        <x:v>10.7848215</x:v>
      </x:c>
      <x:c r="G285" s="107" t="n">
        <x:v>0</x:v>
      </x:c>
      <x:c r="H285" s="107" t="n">
        <x:v>0</x:v>
      </x:c>
      <x:c r="I285" s="107" t="n">
        <x:v>0</x:v>
      </x:c>
      <x:c r="J285" s="107" t="n">
        <x:v>-10.7848215</x:v>
      </x:c>
      <x:c r="K285" s="107" t="n">
        <x:v>-11.000099279999999</x:v>
      </x:c>
      <x:c r="L285" s="107" t="n">
        <x:v>-11.000099279999999</x:v>
      </x:c>
      <x:c r="M285" s="107" t="n">
        <x:v>-11.000099279999999</x:v>
      </x:c>
      <x:c r="N285" s="108"/>
      <x:c r="O285" s="108"/>
      <x:c r="P285" s="108"/>
      <x:c r="Q285" s="9" t="str">
        <x:v>Budget</x:v>
      </x:c>
      <x:c r="R285" s="9" t="n">
        <x:v>2026</x:v>
      </x:c>
      <x:c r="S285" s="9" t="str">
        <x:v>2026-05</x:v>
      </x:c>
    </x:row>
    <x:row r="286" ht="17" customHeight="1">
      <x:c r="A286" s="9" t="str">
        <x:v>2026-05-01</x:v>
      </x:c>
      <x:c r="B286" s="9" t="str">
        <x:v>Sales</x:v>
      </x:c>
      <x:c r="C286" s="107" t="n">
        <x:v>71.24462147</x:v>
      </x:c>
      <x:c r="D286" s="107" t="n">
        <x:v>0.23333333</x:v>
      </x:c>
      <x:c r="E286" s="107" t="n">
        <x:v>0</x:v>
      </x:c>
      <x:c r="F286" s="107" t="n">
        <x:v>25.04710355</x:v>
      </x:c>
      <x:c r="G286" s="107" t="n">
        <x:v>141.63616596</x:v>
      </x:c>
      <x:c r="H286" s="107" t="n">
        <x:v>0</x:v>
      </x:c>
      <x:c r="I286" s="107" t="n">
        <x:v>70.39154449000002</x:v>
      </x:c>
      <x:c r="J286" s="107" t="n">
        <x:v>45.34444094000001</x:v>
      </x:c>
      <x:c r="K286" s="107" t="n">
        <x:v>45.11110761000001</x:v>
      </x:c>
      <x:c r="L286" s="107" t="n">
        <x:v>45.11110761000001</x:v>
      </x:c>
      <x:c r="M286" s="107" t="n">
        <x:v>45.11110761000001</x:v>
      </x:c>
      <x:c r="N286" s="108" t="n">
        <x:v>0.496988491695543</x:v>
      </x:c>
      <x:c r="O286" s="108" t="n">
        <x:v>0.32014733407007007</x:v>
      </x:c>
      <x:c r="P286" s="108" t="n">
        <x:v>0.3184999205834194</x:v>
      </x:c>
      <x:c r="Q286" s="9" t="str">
        <x:v>Budget</x:v>
      </x:c>
      <x:c r="R286" s="9" t="n">
        <x:v>2026</x:v>
      </x:c>
      <x:c r="S286" s="9" t="str">
        <x:v>2026-05</x:v>
      </x:c>
    </x:row>
    <x:row r="287" ht="17" customHeight="1">
      <x:c r="A287" s="9" t="str">
        <x:v>2026-05-01</x:v>
      </x:c>
      <x:c r="B287" s="9" t="str">
        <x:v>Technology</x:v>
      </x:c>
      <x:c r="C287" s="107" t="n">
        <x:v>0</x:v>
      </x:c>
      <x:c r="D287" s="107" t="n">
        <x:v>0.44166667</x:v>
      </x:c>
      <x:c r="E287" s="107" t="n">
        <x:v>0</x:v>
      </x:c>
      <x:c r="F287" s="107" t="n">
        <x:v>9.713131959999998</x:v>
      </x:c>
      <x:c r="G287" s="107" t="n">
        <x:v>0</x:v>
      </x:c>
      <x:c r="H287" s="107" t="n">
        <x:v>0</x:v>
      </x:c>
      <x:c r="I287" s="107" t="n">
        <x:v>0</x:v>
      </x:c>
      <x:c r="J287" s="107" t="n">
        <x:v>-9.713131959999998</x:v>
      </x:c>
      <x:c r="K287" s="107" t="n">
        <x:v>-10.154798629999998</x:v>
      </x:c>
      <x:c r="L287" s="107" t="n">
        <x:v>-10.154798629999998</x:v>
      </x:c>
      <x:c r="M287" s="107" t="n">
        <x:v>-10.154798629999998</x:v>
      </x:c>
      <x:c r="N287" s="108"/>
      <x:c r="O287" s="108"/>
      <x:c r="P287" s="108"/>
      <x:c r="Q287" s="9" t="str">
        <x:v>Budget</x:v>
      </x:c>
      <x:c r="R287" s="9" t="n">
        <x:v>2026</x:v>
      </x:c>
      <x:c r="S287" s="9" t="str">
        <x:v>2026-05</x:v>
      </x:c>
    </x:row>
    <x:row r="288" ht="17" customHeight="1">
      <x:c r="A288" s="9" t="str">
        <x:v>2026-06-01</x:v>
      </x:c>
      <x:c r="B288" s="9" t="str">
        <x:v>Customer Success</x:v>
      </x:c>
      <x:c r="C288" s="107" t="n">
        <x:v>2.1344388999999997</x:v>
      </x:c>
      <x:c r="D288" s="107" t="n">
        <x:v>0.2</x:v>
      </x:c>
      <x:c r="E288" s="107" t="n">
        <x:v>0</x:v>
      </x:c>
      <x:c r="F288" s="107" t="n">
        <x:v>3.7801245500000005</x:v>
      </x:c>
      <x:c r="G288" s="107" t="n">
        <x:v>8.71199553</x:v>
      </x:c>
      <x:c r="H288" s="107" t="n">
        <x:v>0</x:v>
      </x:c>
      <x:c r="I288" s="107" t="n">
        <x:v>6.577556629999999</x:v>
      </x:c>
      <x:c r="J288" s="107" t="n">
        <x:v>2.7974320799999988</x:v>
      </x:c>
      <x:c r="K288" s="107" t="n">
        <x:v>2.5974320799999986</x:v>
      </x:c>
      <x:c r="L288" s="107" t="n">
        <x:v>2.5974320799999986</x:v>
      </x:c>
      <x:c r="M288" s="107" t="n">
        <x:v>2.5974320799999986</x:v>
      </x:c>
      <x:c r="N288" s="108" t="n">
        <x:v>0.7550000005567036</x:v>
      </x:c>
      <x:c r="O288" s="108" t="n">
        <x:v>0.3211011840360757</x:v>
      </x:c>
      <x:c r="P288" s="108" t="n">
        <x:v>0.29814433111859034</x:v>
      </x:c>
      <x:c r="Q288" s="9" t="str">
        <x:v>Budget</x:v>
      </x:c>
      <x:c r="R288" s="9" t="n">
        <x:v>2026</x:v>
      </x:c>
      <x:c r="S288" s="9" t="str">
        <x:v>2026-06</x:v>
      </x:c>
    </x:row>
    <x:row r="289" ht="17" customHeight="1">
      <x:c r="A289" s="9" t="str">
        <x:v>2026-06-01</x:v>
      </x:c>
      <x:c r="B289" s="9" t="str">
        <x:v>Finance &amp; Corporate</x:v>
      </x:c>
      <x:c r="C289" s="107" t="n">
        <x:v>0</x:v>
      </x:c>
      <x:c r="D289" s="107" t="n">
        <x:v>0.175</x:v>
      </x:c>
      <x:c r="E289" s="107" t="n">
        <x:v>0.45303552</x:v>
      </x:c>
      <x:c r="F289" s="107" t="n">
        <x:v>7.6508946</x:v>
      </x:c>
      <x:c r="G289" s="107" t="n">
        <x:v>0</x:v>
      </x:c>
      <x:c r="H289" s="107" t="n">
        <x:v>2.9639766</x:v>
      </x:c>
      <x:c r="I289" s="107" t="n">
        <x:v>0</x:v>
      </x:c>
      <x:c r="J289" s="107" t="n">
        <x:v>-7.6508946</x:v>
      </x:c>
      <x:c r="K289" s="107" t="n">
        <x:v>-7.8258946</x:v>
      </x:c>
      <x:c r="L289" s="107" t="n">
        <x:v>-8.27893012</x:v>
      </x:c>
      <x:c r="M289" s="107" t="n">
        <x:v>-11.242906719999999</x:v>
      </x:c>
      <x:c r="N289" s="108"/>
      <x:c r="O289" s="108"/>
      <x:c r="P289" s="108"/>
      <x:c r="Q289" s="9" t="str">
        <x:v>Budget</x:v>
      </x:c>
      <x:c r="R289" s="9" t="n">
        <x:v>2026</x:v>
      </x:c>
      <x:c r="S289" s="9" t="str">
        <x:v>2026-06</x:v>
      </x:c>
    </x:row>
    <x:row r="290" ht="17" customHeight="1">
      <x:c r="A290" s="9" t="str">
        <x:v>2026-06-01</x:v>
      </x:c>
      <x:c r="B290" s="9" t="str">
        <x:v>Marketing</x:v>
      </x:c>
      <x:c r="C290" s="107" t="n">
        <x:v>0</x:v>
      </x:c>
      <x:c r="D290" s="107" t="n">
        <x:v>0</x:v>
      </x:c>
      <x:c r="E290" s="107" t="n">
        <x:v>0</x:v>
      </x:c>
      <x:c r="F290" s="107" t="n">
        <x:v>8.144542340000001</x:v>
      </x:c>
      <x:c r="G290" s="107" t="n">
        <x:v>0</x:v>
      </x:c>
      <x:c r="H290" s="107" t="n">
        <x:v>0</x:v>
      </x:c>
      <x:c r="I290" s="107" t="n">
        <x:v>0</x:v>
      </x:c>
      <x:c r="J290" s="107" t="n">
        <x:v>-8.144542340000001</x:v>
      </x:c>
      <x:c r="K290" s="107" t="n">
        <x:v>-8.144542340000001</x:v>
      </x:c>
      <x:c r="L290" s="107" t="n">
        <x:v>-8.144542340000001</x:v>
      </x:c>
      <x:c r="M290" s="107" t="n">
        <x:v>-8.144542340000001</x:v>
      </x:c>
      <x:c r="N290" s="108"/>
      <x:c r="O290" s="108"/>
      <x:c r="P290" s="108"/>
      <x:c r="Q290" s="9" t="str">
        <x:v>Budget</x:v>
      </x:c>
      <x:c r="R290" s="9" t="n">
        <x:v>2026</x:v>
      </x:c>
      <x:c r="S290" s="9" t="str">
        <x:v>2026-06</x:v>
      </x:c>
    </x:row>
    <x:row r="291" ht="17" customHeight="1">
      <x:c r="A291" s="9" t="str">
        <x:v>2026-06-01</x:v>
      </x:c>
      <x:c r="B291" s="9" t="str">
        <x:v>Operations</x:v>
      </x:c>
      <x:c r="C291" s="107" t="n">
        <x:v>0</x:v>
      </x:c>
      <x:c r="D291" s="107" t="n">
        <x:v>0.21527778</x:v>
      </x:c>
      <x:c r="E291" s="107" t="n">
        <x:v>0</x:v>
      </x:c>
      <x:c r="F291" s="107" t="n">
        <x:v>10.82830384</x:v>
      </x:c>
      <x:c r="G291" s="107" t="n">
        <x:v>0</x:v>
      </x:c>
      <x:c r="H291" s="107" t="n">
        <x:v>0</x:v>
      </x:c>
      <x:c r="I291" s="107" t="n">
        <x:v>0</x:v>
      </x:c>
      <x:c r="J291" s="107" t="n">
        <x:v>-10.82830384</x:v>
      </x:c>
      <x:c r="K291" s="107" t="n">
        <x:v>-11.04358162</x:v>
      </x:c>
      <x:c r="L291" s="107" t="n">
        <x:v>-11.04358162</x:v>
      </x:c>
      <x:c r="M291" s="107" t="n">
        <x:v>-11.04358162</x:v>
      </x:c>
      <x:c r="N291" s="108"/>
      <x:c r="O291" s="108"/>
      <x:c r="P291" s="108"/>
      <x:c r="Q291" s="9" t="str">
        <x:v>Budget</x:v>
      </x:c>
      <x:c r="R291" s="9" t="n">
        <x:v>2026</x:v>
      </x:c>
      <x:c r="S291" s="9" t="str">
        <x:v>2026-06</x:v>
      </x:c>
    </x:row>
    <x:row r="292" ht="17" customHeight="1">
      <x:c r="A292" s="9" t="str">
        <x:v>2026-06-01</x:v>
      </x:c>
      <x:c r="B292" s="9" t="str">
        <x:v>Sales</x:v>
      </x:c>
      <x:c r="C292" s="107" t="n">
        <x:v>72.99963872</x:v>
      </x:c>
      <x:c r="D292" s="107" t="n">
        <x:v>0.23333333</x:v>
      </x:c>
      <x:c r="E292" s="107" t="n">
        <x:v>0</x:v>
      </x:c>
      <x:c r="F292" s="107" t="n">
        <x:v>25.224268289999998</x:v>
      </x:c>
      <x:c r="G292" s="107" t="n">
        <x:v>145.50513959</x:v>
      </x:c>
      <x:c r="H292" s="107" t="n">
        <x:v>0</x:v>
      </x:c>
      <x:c r="I292" s="107" t="n">
        <x:v>72.50550087</x:v>
      </x:c>
      <x:c r="J292" s="107" t="n">
        <x:v>47.28123258000001</x:v>
      </x:c>
      <x:c r="K292" s="107" t="n">
        <x:v>47.04789925000001</x:v>
      </x:c>
      <x:c r="L292" s="107" t="n">
        <x:v>47.04789925000001</x:v>
      </x:c>
      <x:c r="M292" s="107" t="n">
        <x:v>47.04789925000001</x:v>
      </x:c>
      <x:c r="N292" s="108" t="n">
        <x:v>0.4983019917667776</x:v>
      </x:c>
      <x:c r="O292" s="108" t="n">
        <x:v>0.3249454466916264</x:v>
      </x:c>
      <x:c r="P292" s="108" t="n">
        <x:v>0.32334183783865067</x:v>
      </x:c>
      <x:c r="Q292" s="9" t="str">
        <x:v>Budget</x:v>
      </x:c>
      <x:c r="R292" s="9" t="n">
        <x:v>2026</x:v>
      </x:c>
      <x:c r="S292" s="9" t="str">
        <x:v>2026-06</x:v>
      </x:c>
    </x:row>
    <x:row r="293" ht="17" customHeight="1">
      <x:c r="A293" s="9" t="str">
        <x:v>2026-06-01</x:v>
      </x:c>
      <x:c r="B293" s="9" t="str">
        <x:v>Technology</x:v>
      </x:c>
      <x:c r="C293" s="107" t="n">
        <x:v>0</x:v>
      </x:c>
      <x:c r="D293" s="107" t="n">
        <x:v>0.44166667</x:v>
      </x:c>
      <x:c r="E293" s="107" t="n">
        <x:v>0</x:v>
      </x:c>
      <x:c r="F293" s="107" t="n">
        <x:v>9.88070417</x:v>
      </x:c>
      <x:c r="G293" s="107" t="n">
        <x:v>0</x:v>
      </x:c>
      <x:c r="H293" s="107" t="n">
        <x:v>0</x:v>
      </x:c>
      <x:c r="I293" s="107" t="n">
        <x:v>0</x:v>
      </x:c>
      <x:c r="J293" s="107" t="n">
        <x:v>-9.88070417</x:v>
      </x:c>
      <x:c r="K293" s="107" t="n">
        <x:v>-10.32237084</x:v>
      </x:c>
      <x:c r="L293" s="107" t="n">
        <x:v>-10.32237084</x:v>
      </x:c>
      <x:c r="M293" s="107" t="n">
        <x:v>-10.32237084</x:v>
      </x:c>
      <x:c r="N293" s="108"/>
      <x:c r="O293" s="108"/>
      <x:c r="P293" s="108"/>
      <x:c r="Q293" s="9" t="str">
        <x:v>Budget</x:v>
      </x:c>
      <x:c r="R293" s="9" t="n">
        <x:v>2026</x:v>
      </x:c>
      <x:c r="S293" s="9" t="str">
        <x:v>2026-06</x:v>
      </x:c>
    </x:row>
    <x:row r="294" ht="17" customHeight="1">
      <x:c r="A294" s="9" t="str">
        <x:v>2026-07-01</x:v>
      </x:c>
      <x:c r="B294" s="9" t="str">
        <x:v>Customer Success</x:v>
      </x:c>
      <x:c r="C294" s="107" t="n">
        <x:v>2.17803524</x:v>
      </x:c>
      <x:c r="D294" s="107" t="n">
        <x:v>0.2</x:v>
      </x:c>
      <x:c r="E294" s="107" t="n">
        <x:v>0</x:v>
      </x:c>
      <x:c r="F294" s="107" t="n">
        <x:v>3.75970516</x:v>
      </x:c>
      <x:c r="G294" s="107" t="n">
        <x:v>8.889939759999999</x:v>
      </x:c>
      <x:c r="H294" s="107" t="n">
        <x:v>0</x:v>
      </x:c>
      <x:c r="I294" s="107" t="n">
        <x:v>6.711904519999999</x:v>
      </x:c>
      <x:c r="J294" s="107" t="n">
        <x:v>2.9521993599999994</x:v>
      </x:c>
      <x:c r="K294" s="107" t="n">
        <x:v>2.752199359999999</x:v>
      </x:c>
      <x:c r="L294" s="107" t="n">
        <x:v>2.752199359999999</x:v>
      </x:c>
      <x:c r="M294" s="107" t="n">
        <x:v>2.752199359999999</x:v>
      </x:c>
      <x:c r="N294" s="108" t="n">
        <x:v>0.755000000134984</x:v>
      </x:c>
      <x:c r="O294" s="108" t="n">
        <x:v>0.3320831681316139</x:v>
      </x:c>
      <x:c r="P294" s="108" t="n">
        <x:v>0.30958582783467586</x:v>
      </x:c>
      <x:c r="Q294" s="9" t="str">
        <x:v>Budget</x:v>
      </x:c>
      <x:c r="R294" s="9" t="n">
        <x:v>2026</x:v>
      </x:c>
      <x:c r="S294" s="9" t="str">
        <x:v>2026-07</x:v>
      </x:c>
    </x:row>
    <x:row r="295" ht="17" customHeight="1">
      <x:c r="A295" s="9" t="str">
        <x:v>2026-07-01</x:v>
      </x:c>
      <x:c r="B295" s="9" t="str">
        <x:v>Finance &amp; Corporate</x:v>
      </x:c>
      <x:c r="C295" s="107" t="n">
        <x:v>0</x:v>
      </x:c>
      <x:c r="D295" s="107" t="n">
        <x:v>0.175</x:v>
      </x:c>
      <x:c r="E295" s="107" t="n">
        <x:v>0.45303552</x:v>
      </x:c>
      <x:c r="F295" s="107" t="n">
        <x:v>7.5036211900000005</x:v>
      </x:c>
      <x:c r="G295" s="107" t="n">
        <x:v>0</x:v>
      </x:c>
      <x:c r="H295" s="107" t="n">
        <x:v>2.1234175299999998</x:v>
      </x:c>
      <x:c r="I295" s="107" t="n">
        <x:v>0</x:v>
      </x:c>
      <x:c r="J295" s="107" t="n">
        <x:v>-7.5036211900000005</x:v>
      </x:c>
      <x:c r="K295" s="107" t="n">
        <x:v>-7.67862119</x:v>
      </x:c>
      <x:c r="L295" s="107" t="n">
        <x:v>-8.131656710000001</x:v>
      </x:c>
      <x:c r="M295" s="107" t="n">
        <x:v>-10.25507424</x:v>
      </x:c>
      <x:c r="N295" s="108"/>
      <x:c r="O295" s="108"/>
      <x:c r="P295" s="108"/>
      <x:c r="Q295" s="9" t="str">
        <x:v>Budget</x:v>
      </x:c>
      <x:c r="R295" s="9" t="n">
        <x:v>2026</x:v>
      </x:c>
      <x:c r="S295" s="9" t="str">
        <x:v>2026-07</x:v>
      </x:c>
    </x:row>
    <x:row r="296" ht="17" customHeight="1">
      <x:c r="A296" s="9" t="str">
        <x:v>2026-07-01</x:v>
      </x:c>
      <x:c r="B296" s="9" t="str">
        <x:v>Marketing</x:v>
      </x:c>
      <x:c r="C296" s="107" t="n">
        <x:v>0</x:v>
      </x:c>
      <x:c r="D296" s="107" t="n">
        <x:v>0</x:v>
      </x:c>
      <x:c r="E296" s="107" t="n">
        <x:v>0</x:v>
      </x:c>
      <x:c r="F296" s="107" t="n">
        <x:v>7.95099962</x:v>
      </x:c>
      <x:c r="G296" s="107" t="n">
        <x:v>0</x:v>
      </x:c>
      <x:c r="H296" s="107" t="n">
        <x:v>0</x:v>
      </x:c>
      <x:c r="I296" s="107" t="n">
        <x:v>0</x:v>
      </x:c>
      <x:c r="J296" s="107" t="n">
        <x:v>-7.95099962</x:v>
      </x:c>
      <x:c r="K296" s="107" t="n">
        <x:v>-7.95099962</x:v>
      </x:c>
      <x:c r="L296" s="107" t="n">
        <x:v>-7.95099962</x:v>
      </x:c>
      <x:c r="M296" s="107" t="n">
        <x:v>-7.95099962</x:v>
      </x:c>
      <x:c r="N296" s="108"/>
      <x:c r="O296" s="108"/>
      <x:c r="P296" s="108"/>
      <x:c r="Q296" s="9" t="str">
        <x:v>Budget</x:v>
      </x:c>
      <x:c r="R296" s="9" t="n">
        <x:v>2026</x:v>
      </x:c>
      <x:c r="S296" s="9" t="str">
        <x:v>2026-07</x:v>
      </x:c>
    </x:row>
    <x:row r="297" ht="17" customHeight="1">
      <x:c r="A297" s="9" t="str">
        <x:v>2026-07-01</x:v>
      </x:c>
      <x:c r="B297" s="9" t="str">
        <x:v>Operations</x:v>
      </x:c>
      <x:c r="C297" s="107" t="n">
        <x:v>0</x:v>
      </x:c>
      <x:c r="D297" s="107" t="n">
        <x:v>0.21527778</x:v>
      </x:c>
      <x:c r="E297" s="107" t="n">
        <x:v>0</x:v>
      </x:c>
      <x:c r="F297" s="107" t="n">
        <x:v>10.880160759999999</x:v>
      </x:c>
      <x:c r="G297" s="107" t="n">
        <x:v>0</x:v>
      </x:c>
      <x:c r="H297" s="107" t="n">
        <x:v>0</x:v>
      </x:c>
      <x:c r="I297" s="107" t="n">
        <x:v>0</x:v>
      </x:c>
      <x:c r="J297" s="107" t="n">
        <x:v>-10.880160759999999</x:v>
      </x:c>
      <x:c r="K297" s="107" t="n">
        <x:v>-11.09543854</x:v>
      </x:c>
      <x:c r="L297" s="107" t="n">
        <x:v>-11.09543854</x:v>
      </x:c>
      <x:c r="M297" s="107" t="n">
        <x:v>-11.09543854</x:v>
      </x:c>
      <x:c r="N297" s="108"/>
      <x:c r="O297" s="108"/>
      <x:c r="P297" s="108"/>
      <x:c r="Q297" s="9" t="str">
        <x:v>Budget</x:v>
      </x:c>
      <x:c r="R297" s="9" t="n">
        <x:v>2026</x:v>
      </x:c>
      <x:c r="S297" s="9" t="str">
        <x:v>2026-07</x:v>
      </x:c>
    </x:row>
    <x:row r="298" ht="17" customHeight="1">
      <x:c r="A298" s="9" t="str">
        <x:v>2026-07-01</x:v>
      </x:c>
      <x:c r="B298" s="9" t="str">
        <x:v>Sales</x:v>
      </x:c>
      <x:c r="C298" s="107" t="n">
        <x:v>68.65821004</x:v>
      </x:c>
      <x:c r="D298" s="107" t="n">
        <x:v>0.23333333</x:v>
      </x:c>
      <x:c r="E298" s="107" t="n">
        <x:v>0</x:v>
      </x:c>
      <x:c r="F298" s="107" t="n">
        <x:v>24.92367126</x:v>
      </x:c>
      <x:c r="G298" s="107" t="n">
        <x:v>137.08486822999998</x:v>
      </x:c>
      <x:c r="H298" s="107" t="n">
        <x:v>0</x:v>
      </x:c>
      <x:c r="I298" s="107" t="n">
        <x:v>68.42665818999998</x:v>
      </x:c>
      <x:c r="J298" s="107" t="n">
        <x:v>43.502986929999985</x:v>
      </x:c>
      <x:c r="K298" s="107" t="n">
        <x:v>43.269653599999984</x:v>
      </x:c>
      <x:c r="L298" s="107" t="n">
        <x:v>43.269653599999984</x:v>
      </x:c>
      <x:c r="M298" s="107" t="n">
        <x:v>43.269653599999984</x:v>
      </x:c>
      <x:c r="N298" s="108" t="n">
        <x:v>0.4991554434381061</x:v>
      </x:c>
      <x:c r="O298" s="108" t="n">
        <x:v>0.3173434638826146</x:v>
      </x:c>
      <x:c r="P298" s="108" t="n">
        <x:v>0.31564135530555043</x:v>
      </x:c>
      <x:c r="Q298" s="9" t="str">
        <x:v>Budget</x:v>
      </x:c>
      <x:c r="R298" s="9" t="n">
        <x:v>2026</x:v>
      </x:c>
      <x:c r="S298" s="9" t="str">
        <x:v>2026-07</x:v>
      </x:c>
    </x:row>
    <x:row r="299" ht="17" customHeight="1">
      <x:c r="A299" s="9" t="str">
        <x:v>2026-07-01</x:v>
      </x:c>
      <x:c r="B299" s="9" t="str">
        <x:v>Technology</x:v>
      </x:c>
      <x:c r="C299" s="107" t="n">
        <x:v>0</x:v>
      </x:c>
      <x:c r="D299" s="107" t="n">
        <x:v>0.44166667</x:v>
      </x:c>
      <x:c r="E299" s="107" t="n">
        <x:v>0</x:v>
      </x:c>
      <x:c r="F299" s="107" t="n">
        <x:v>9.90842132</x:v>
      </x:c>
      <x:c r="G299" s="107" t="n">
        <x:v>0</x:v>
      </x:c>
      <x:c r="H299" s="107" t="n">
        <x:v>0</x:v>
      </x:c>
      <x:c r="I299" s="107" t="n">
        <x:v>0</x:v>
      </x:c>
      <x:c r="J299" s="107" t="n">
        <x:v>-9.90842132</x:v>
      </x:c>
      <x:c r="K299" s="107" t="n">
        <x:v>-10.35008799</x:v>
      </x:c>
      <x:c r="L299" s="107" t="n">
        <x:v>-10.35008799</x:v>
      </x:c>
      <x:c r="M299" s="107" t="n">
        <x:v>-10.35008799</x:v>
      </x:c>
      <x:c r="N299" s="108"/>
      <x:c r="O299" s="108"/>
      <x:c r="P299" s="108"/>
      <x:c r="Q299" s="9" t="str">
        <x:v>Budget</x:v>
      </x:c>
      <x:c r="R299" s="9" t="n">
        <x:v>2026</x:v>
      </x:c>
      <x:c r="S299" s="9" t="str">
        <x:v>2026-07</x:v>
      </x:c>
    </x:row>
    <x:row r="300" ht="17" customHeight="1">
      <x:c r="A300" s="9" t="str">
        <x:v>2026-08-01</x:v>
      </x:c>
      <x:c r="B300" s="9" t="str">
        <x:v>Customer Success</x:v>
      </x:c>
      <x:c r="C300" s="107" t="n">
        <x:v>2.2768016</x:v>
      </x:c>
      <x:c r="D300" s="107" t="n">
        <x:v>0.2</x:v>
      </x:c>
      <x:c r="E300" s="107" t="n">
        <x:v>0</x:v>
      </x:c>
      <x:c r="F300" s="107" t="n">
        <x:v>3.80955277</x:v>
      </x:c>
      <x:c r="G300" s="107" t="n">
        <x:v>9.29306773</x:v>
      </x:c>
      <x:c r="H300" s="107" t="n">
        <x:v>0</x:v>
      </x:c>
      <x:c r="I300" s="107" t="n">
        <x:v>7.016266130000001</x:v>
      </x:c>
      <x:c r="J300" s="107" t="n">
        <x:v>3.2067133600000006</x:v>
      </x:c>
      <x:c r="K300" s="107" t="n">
        <x:v>3.006713360000001</x:v>
      </x:c>
      <x:c r="L300" s="107" t="n">
        <x:v>3.006713360000001</x:v>
      </x:c>
      <x:c r="M300" s="107" t="n">
        <x:v>3.006713360000001</x:v>
      </x:c>
      <x:c r="N300" s="108" t="n">
        <x:v>0.7549999993382165</x:v>
      </x:c>
      <x:c r="O300" s="108" t="n">
        <x:v>0.3450651015539301</x:v>
      </x:c>
      <x:c r="P300" s="108" t="n">
        <x:v>0.32354368302876885</x:v>
      </x:c>
      <x:c r="Q300" s="9" t="str">
        <x:v>Budget</x:v>
      </x:c>
      <x:c r="R300" s="9" t="n">
        <x:v>2026</x:v>
      </x:c>
      <x:c r="S300" s="9" t="str">
        <x:v>2026-08</x:v>
      </x:c>
    </x:row>
    <x:row r="301" ht="17" customHeight="1">
      <x:c r="A301" s="9" t="str">
        <x:v>2026-08-01</x:v>
      </x:c>
      <x:c r="B301" s="9" t="str">
        <x:v>Finance &amp; Corporate</x:v>
      </x:c>
      <x:c r="C301" s="107" t="n">
        <x:v>0</x:v>
      </x:c>
      <x:c r="D301" s="107" t="n">
        <x:v>0.175</x:v>
      </x:c>
      <x:c r="E301" s="107" t="n">
        <x:v>0.45303552</x:v>
      </x:c>
      <x:c r="F301" s="107" t="n">
        <x:v>7.90271321</x:v>
      </x:c>
      <x:c r="G301" s="107" t="n">
        <x:v>0</x:v>
      </x:c>
      <x:c r="H301" s="107" t="n">
        <x:v>1.2930075</x:v>
      </x:c>
      <x:c r="I301" s="107" t="n">
        <x:v>0</x:v>
      </x:c>
      <x:c r="J301" s="107" t="n">
        <x:v>-7.90271321</x:v>
      </x:c>
      <x:c r="K301" s="107" t="n">
        <x:v>-8.07771321</x:v>
      </x:c>
      <x:c r="L301" s="107" t="n">
        <x:v>-8.530748730000001</x:v>
      </x:c>
      <x:c r="M301" s="107" t="n">
        <x:v>-9.82375623</x:v>
      </x:c>
      <x:c r="N301" s="108"/>
      <x:c r="O301" s="108"/>
      <x:c r="P301" s="108"/>
      <x:c r="Q301" s="9" t="str">
        <x:v>Budget</x:v>
      </x:c>
      <x:c r="R301" s="9" t="n">
        <x:v>2026</x:v>
      </x:c>
      <x:c r="S301" s="9" t="str">
        <x:v>2026-08</x:v>
      </x:c>
    </x:row>
    <x:row r="302" ht="17" customHeight="1">
      <x:c r="A302" s="9" t="str">
        <x:v>2026-08-01</x:v>
      </x:c>
      <x:c r="B302" s="9" t="str">
        <x:v>Marketing</x:v>
      </x:c>
      <x:c r="C302" s="107" t="n">
        <x:v>0</x:v>
      </x:c>
      <x:c r="D302" s="107" t="n">
        <x:v>0</x:v>
      </x:c>
      <x:c r="E302" s="107" t="n">
        <x:v>0</x:v>
      </x:c>
      <x:c r="F302" s="107" t="n">
        <x:v>8.22525677</x:v>
      </x:c>
      <x:c r="G302" s="107" t="n">
        <x:v>0</x:v>
      </x:c>
      <x:c r="H302" s="107" t="n">
        <x:v>0</x:v>
      </x:c>
      <x:c r="I302" s="107" t="n">
        <x:v>0</x:v>
      </x:c>
      <x:c r="J302" s="107" t="n">
        <x:v>-8.22525677</x:v>
      </x:c>
      <x:c r="K302" s="107" t="n">
        <x:v>-8.22525677</x:v>
      </x:c>
      <x:c r="L302" s="107" t="n">
        <x:v>-8.22525677</x:v>
      </x:c>
      <x:c r="M302" s="107" t="n">
        <x:v>-8.22525677</x:v>
      </x:c>
      <x:c r="N302" s="108"/>
      <x:c r="O302" s="108"/>
      <x:c r="P302" s="108"/>
      <x:c r="Q302" s="9" t="str">
        <x:v>Budget</x:v>
      </x:c>
      <x:c r="R302" s="9" t="n">
        <x:v>2026</x:v>
      </x:c>
      <x:c r="S302" s="9" t="str">
        <x:v>2026-08</x:v>
      </x:c>
    </x:row>
    <x:row r="303" ht="17" customHeight="1">
      <x:c r="A303" s="9" t="str">
        <x:v>2026-08-01</x:v>
      </x:c>
      <x:c r="B303" s="9" t="str">
        <x:v>Operations</x:v>
      </x:c>
      <x:c r="C303" s="107" t="n">
        <x:v>0</x:v>
      </x:c>
      <x:c r="D303" s="107" t="n">
        <x:v>0.21527778</x:v>
      </x:c>
      <x:c r="E303" s="107" t="n">
        <x:v>0</x:v>
      </x:c>
      <x:c r="F303" s="107" t="n">
        <x:v>11.04590977</x:v>
      </x:c>
      <x:c r="G303" s="107" t="n">
        <x:v>0</x:v>
      </x:c>
      <x:c r="H303" s="107" t="n">
        <x:v>0</x:v>
      </x:c>
      <x:c r="I303" s="107" t="n">
        <x:v>0</x:v>
      </x:c>
      <x:c r="J303" s="107" t="n">
        <x:v>-11.04590977</x:v>
      </x:c>
      <x:c r="K303" s="107" t="n">
        <x:v>-11.261187549999999</x:v>
      </x:c>
      <x:c r="L303" s="107" t="n">
        <x:v>-11.261187549999999</x:v>
      </x:c>
      <x:c r="M303" s="107" t="n">
        <x:v>-11.261187549999999</x:v>
      </x:c>
      <x:c r="N303" s="108"/>
      <x:c r="O303" s="108"/>
      <x:c r="P303" s="108"/>
      <x:c r="Q303" s="9" t="str">
        <x:v>Budget</x:v>
      </x:c>
      <x:c r="R303" s="9" t="n">
        <x:v>2026</x:v>
      </x:c>
      <x:c r="S303" s="9" t="str">
        <x:v>2026-08</x:v>
      </x:c>
    </x:row>
    <x:row r="304" ht="17" customHeight="1">
      <x:c r="A304" s="9" t="str">
        <x:v>2026-08-01</x:v>
      </x:c>
      <x:c r="B304" s="9" t="str">
        <x:v>Sales</x:v>
      </x:c>
      <x:c r="C304" s="107" t="n">
        <x:v>66.14683578</x:v>
      </x:c>
      <x:c r="D304" s="107" t="n">
        <x:v>0.23333333</x:v>
      </x:c>
      <x:c r="E304" s="107" t="n">
        <x:v>0</x:v>
      </x:c>
      <x:c r="F304" s="107" t="n">
        <x:v>24.73926862</x:v>
      </x:c>
      <x:c r="G304" s="107" t="n">
        <x:v>131.73955041</x:v>
      </x:c>
      <x:c r="H304" s="107" t="n">
        <x:v>0</x:v>
      </x:c>
      <x:c r="I304" s="107" t="n">
        <x:v>65.59271462999999</x:v>
      </x:c>
      <x:c r="J304" s="107" t="n">
        <x:v>40.85344600999999</x:v>
      </x:c>
      <x:c r="K304" s="107" t="n">
        <x:v>40.62011267999999</x:v>
      </x:c>
      <x:c r="L304" s="107" t="n">
        <x:v>40.62011267999999</x:v>
      </x:c>
      <x:c r="M304" s="107" t="n">
        <x:v>40.62011267999999</x:v>
      </x:c>
      <x:c r="N304" s="108" t="n">
        <x:v>0.49789690663025843</x:v>
      </x:c>
      <x:c r="O304" s="108" t="n">
        <x:v>0.310107677480725</x:v>
      </x:c>
      <x:c r="P304" s="108" t="n">
        <x:v>0.3083365060346876</x:v>
      </x:c>
      <x:c r="Q304" s="9" t="str">
        <x:v>Budget</x:v>
      </x:c>
      <x:c r="R304" s="9" t="n">
        <x:v>2026</x:v>
      </x:c>
      <x:c r="S304" s="9" t="str">
        <x:v>2026-08</x:v>
      </x:c>
    </x:row>
    <x:row r="305" ht="17" customHeight="1">
      <x:c r="A305" s="9" t="str">
        <x:v>2026-08-01</x:v>
      </x:c>
      <x:c r="B305" s="9" t="str">
        <x:v>Technology</x:v>
      </x:c>
      <x:c r="C305" s="107" t="n">
        <x:v>0</x:v>
      </x:c>
      <x:c r="D305" s="107" t="n">
        <x:v>0.44166667</x:v>
      </x:c>
      <x:c r="E305" s="107" t="n">
        <x:v>0</x:v>
      </x:c>
      <x:c r="F305" s="107" t="n">
        <x:v>9.99593633</x:v>
      </x:c>
      <x:c r="G305" s="107" t="n">
        <x:v>0</x:v>
      </x:c>
      <x:c r="H305" s="107" t="n">
        <x:v>0</x:v>
      </x:c>
      <x:c r="I305" s="107" t="n">
        <x:v>0</x:v>
      </x:c>
      <x:c r="J305" s="107" t="n">
        <x:v>-9.99593633</x:v>
      </x:c>
      <x:c r="K305" s="107" t="n">
        <x:v>-10.437603</x:v>
      </x:c>
      <x:c r="L305" s="107" t="n">
        <x:v>-10.437603</x:v>
      </x:c>
      <x:c r="M305" s="107" t="n">
        <x:v>-10.437603</x:v>
      </x:c>
      <x:c r="N305" s="108"/>
      <x:c r="O305" s="108"/>
      <x:c r="P305" s="108"/>
      <x:c r="Q305" s="9" t="str">
        <x:v>Budget</x:v>
      </x:c>
      <x:c r="R305" s="9" t="n">
        <x:v>2026</x:v>
      </x:c>
      <x:c r="S305" s="9" t="str">
        <x:v>2026-08</x:v>
      </x:c>
    </x:row>
    <x:row r="306" ht="17" customHeight="1">
      <x:c r="A306" s="9" t="str">
        <x:v>2026-09-01</x:v>
      </x:c>
      <x:c r="B306" s="9" t="str">
        <x:v>Customer Success</x:v>
      </x:c>
      <x:c r="C306" s="107" t="n">
        <x:v>2.24446779</x:v>
      </x:c>
      <x:c r="D306" s="107" t="n">
        <x:v>0.2</x:v>
      </x:c>
      <x:c r="E306" s="107" t="n">
        <x:v>0</x:v>
      </x:c>
      <x:c r="F306" s="107" t="n">
        <x:v>3.81631072</x:v>
      </x:c>
      <x:c r="G306" s="107" t="n">
        <x:v>9.16109302</x:v>
      </x:c>
      <x:c r="H306" s="107" t="n">
        <x:v>0</x:v>
      </x:c>
      <x:c r="I306" s="107" t="n">
        <x:v>6.916625229999999</x:v>
      </x:c>
      <x:c r="J306" s="107" t="n">
        <x:v>3.100314509999999</x:v>
      </x:c>
      <x:c r="K306" s="107" t="n">
        <x:v>2.9003145099999994</x:v>
      </x:c>
      <x:c r="L306" s="107" t="n">
        <x:v>2.9003145099999994</x:v>
      </x:c>
      <x:c r="M306" s="107" t="n">
        <x:v>2.9003145099999994</x:v>
      </x:c>
      <x:c r="N306" s="108" t="n">
        <x:v>0.7549999999890843</x:v>
      </x:c>
      <x:c r="O306" s="108" t="n">
        <x:v>0.33842190044698395</x:v>
      </x:c>
      <x:c r="P306" s="108" t="n">
        <x:v>0.3165904443572607</x:v>
      </x:c>
      <x:c r="Q306" s="9" t="str">
        <x:v>Budget</x:v>
      </x:c>
      <x:c r="R306" s="9" t="n">
        <x:v>2026</x:v>
      </x:c>
      <x:c r="S306" s="9" t="str">
        <x:v>2026-09</x:v>
      </x:c>
    </x:row>
    <x:row r="307" ht="17" customHeight="1">
      <x:c r="A307" s="9" t="str">
        <x:v>2026-09-01</x:v>
      </x:c>
      <x:c r="B307" s="9" t="str">
        <x:v>Finance &amp; Corporate</x:v>
      </x:c>
      <x:c r="C307" s="107" t="n">
        <x:v>0</x:v>
      </x:c>
      <x:c r="D307" s="107" t="n">
        <x:v>0.175</x:v>
      </x:c>
      <x:c r="E307" s="107" t="n">
        <x:v>0.45303552</x:v>
      </x:c>
      <x:c r="F307" s="107" t="n">
        <x:v>7.41086408</x:v>
      </x:c>
      <x:c r="G307" s="107" t="n">
        <x:v>0</x:v>
      </x:c>
      <x:c r="H307" s="107" t="n">
        <x:v>3.73627996</x:v>
      </x:c>
      <x:c r="I307" s="107" t="n">
        <x:v>0</x:v>
      </x:c>
      <x:c r="J307" s="107" t="n">
        <x:v>-7.41086408</x:v>
      </x:c>
      <x:c r="K307" s="107" t="n">
        <x:v>-7.58586408</x:v>
      </x:c>
      <x:c r="L307" s="107" t="n">
        <x:v>-8.038899599999999</x:v>
      </x:c>
      <x:c r="M307" s="107" t="n">
        <x:v>-11.775179559999998</x:v>
      </x:c>
      <x:c r="N307" s="108"/>
      <x:c r="O307" s="108"/>
      <x:c r="P307" s="108"/>
      <x:c r="Q307" s="9" t="str">
        <x:v>Budget</x:v>
      </x:c>
      <x:c r="R307" s="9" t="n">
        <x:v>2026</x:v>
      </x:c>
      <x:c r="S307" s="9" t="str">
        <x:v>2026-09</x:v>
      </x:c>
    </x:row>
    <x:row r="308" ht="17" customHeight="1">
      <x:c r="A308" s="9" t="str">
        <x:v>2026-09-01</x:v>
      </x:c>
      <x:c r="B308" s="9" t="str">
        <x:v>Marketing</x:v>
      </x:c>
      <x:c r="C308" s="107" t="n">
        <x:v>0</x:v>
      </x:c>
      <x:c r="D308" s="107" t="n">
        <x:v>0</x:v>
      </x:c>
      <x:c r="E308" s="107" t="n">
        <x:v>0</x:v>
      </x:c>
      <x:c r="F308" s="107" t="n">
        <x:v>8.07222865</x:v>
      </x:c>
      <x:c r="G308" s="107" t="n">
        <x:v>0</x:v>
      </x:c>
      <x:c r="H308" s="107" t="n">
        <x:v>0</x:v>
      </x:c>
      <x:c r="I308" s="107" t="n">
        <x:v>0</x:v>
      </x:c>
      <x:c r="J308" s="107" t="n">
        <x:v>-8.07222865</x:v>
      </x:c>
      <x:c r="K308" s="107" t="n">
        <x:v>-8.07222865</x:v>
      </x:c>
      <x:c r="L308" s="107" t="n">
        <x:v>-8.07222865</x:v>
      </x:c>
      <x:c r="M308" s="107" t="n">
        <x:v>-8.07222865</x:v>
      </x:c>
      <x:c r="N308" s="108"/>
      <x:c r="O308" s="108"/>
      <x:c r="P308" s="108"/>
      <x:c r="Q308" s="9" t="str">
        <x:v>Budget</x:v>
      </x:c>
      <x:c r="R308" s="9" t="n">
        <x:v>2026</x:v>
      </x:c>
      <x:c r="S308" s="9" t="str">
        <x:v>2026-09</x:v>
      </x:c>
    </x:row>
    <x:row r="309" ht="17" customHeight="1">
      <x:c r="A309" s="9" t="str">
        <x:v>2026-09-01</x:v>
      </x:c>
      <x:c r="B309" s="9" t="str">
        <x:v>Operations</x:v>
      </x:c>
      <x:c r="C309" s="107" t="n">
        <x:v>0</x:v>
      </x:c>
      <x:c r="D309" s="107" t="n">
        <x:v>0.21527778</x:v>
      </x:c>
      <x:c r="E309" s="107" t="n">
        <x:v>0</x:v>
      </x:c>
      <x:c r="F309" s="107" t="n">
        <x:v>10.55994112</x:v>
      </x:c>
      <x:c r="G309" s="107" t="n">
        <x:v>0</x:v>
      </x:c>
      <x:c r="H309" s="107" t="n">
        <x:v>0</x:v>
      </x:c>
      <x:c r="I309" s="107" t="n">
        <x:v>0</x:v>
      </x:c>
      <x:c r="J309" s="107" t="n">
        <x:v>-10.55994112</x:v>
      </x:c>
      <x:c r="K309" s="107" t="n">
        <x:v>-10.775218899999999</x:v>
      </x:c>
      <x:c r="L309" s="107" t="n">
        <x:v>-10.775218899999999</x:v>
      </x:c>
      <x:c r="M309" s="107" t="n">
        <x:v>-10.775218899999999</x:v>
      </x:c>
      <x:c r="N309" s="108"/>
      <x:c r="O309" s="108"/>
      <x:c r="P309" s="108"/>
      <x:c r="Q309" s="9" t="str">
        <x:v>Budget</x:v>
      </x:c>
      <x:c r="R309" s="9" t="n">
        <x:v>2026</x:v>
      </x:c>
      <x:c r="S309" s="9" t="str">
        <x:v>2026-09</x:v>
      </x:c>
    </x:row>
    <x:row r="310" ht="17" customHeight="1">
      <x:c r="A310" s="9" t="str">
        <x:v>2026-09-01</x:v>
      </x:c>
      <x:c r="B310" s="9" t="str">
        <x:v>Sales</x:v>
      </x:c>
      <x:c r="C310" s="107" t="n">
        <x:v>76.87455961</x:v>
      </x:c>
      <x:c r="D310" s="107" t="n">
        <x:v>0.23333333</x:v>
      </x:c>
      <x:c r="E310" s="107" t="n">
        <x:v>0</x:v>
      </x:c>
      <x:c r="F310" s="107" t="n">
        <x:v>25.18071295</x:v>
      </x:c>
      <x:c r="G310" s="107" t="n">
        <x:v>151.60965094999997</x:v>
      </x:c>
      <x:c r="H310" s="107" t="n">
        <x:v>0</x:v>
      </x:c>
      <x:c r="I310" s="107" t="n">
        <x:v>74.73509133999998</x:v>
      </x:c>
      <x:c r="J310" s="107" t="n">
        <x:v>49.55437838999998</x:v>
      </x:c>
      <x:c r="K310" s="107" t="n">
        <x:v>49.32104505999999</x:v>
      </x:c>
      <x:c r="L310" s="107" t="n">
        <x:v>49.32104505999999</x:v>
      </x:c>
      <x:c r="M310" s="107" t="n">
        <x:v>49.32104505999999</x:v>
      </x:c>
      <x:c r="N310" s="108" t="n">
        <x:v>0.4929441554129506</x:v>
      </x:c>
      <x:c r="O310" s="108" t="n">
        <x:v>0.32685503910527924</x:v>
      </x:c>
      <x:c r="P310" s="108" t="n">
        <x:v>0.3253159990208393</x:v>
      </x:c>
      <x:c r="Q310" s="9" t="str">
        <x:v>Budget</x:v>
      </x:c>
      <x:c r="R310" s="9" t="n">
        <x:v>2026</x:v>
      </x:c>
      <x:c r="S310" s="9" t="str">
        <x:v>2026-09</x:v>
      </x:c>
    </x:row>
    <x:row r="311" ht="17" customHeight="1">
      <x:c r="A311" s="9" t="str">
        <x:v>2026-09-01</x:v>
      </x:c>
      <x:c r="B311" s="9" t="str">
        <x:v>Technology</x:v>
      </x:c>
      <x:c r="C311" s="107" t="n">
        <x:v>0</x:v>
      </x:c>
      <x:c r="D311" s="107" t="n">
        <x:v>0.44166667</x:v>
      </x:c>
      <x:c r="E311" s="107" t="n">
        <x:v>0</x:v>
      </x:c>
      <x:c r="F311" s="107" t="n">
        <x:v>9.94822593</x:v>
      </x:c>
      <x:c r="G311" s="107" t="n">
        <x:v>0</x:v>
      </x:c>
      <x:c r="H311" s="107" t="n">
        <x:v>0</x:v>
      </x:c>
      <x:c r="I311" s="107" t="n">
        <x:v>0</x:v>
      </x:c>
      <x:c r="J311" s="107" t="n">
        <x:v>-9.94822593</x:v>
      </x:c>
      <x:c r="K311" s="107" t="n">
        <x:v>-10.3898926</x:v>
      </x:c>
      <x:c r="L311" s="107" t="n">
        <x:v>-10.3898926</x:v>
      </x:c>
      <x:c r="M311" s="107" t="n">
        <x:v>-10.3898926</x:v>
      </x:c>
      <x:c r="N311" s="108"/>
      <x:c r="O311" s="108"/>
      <x:c r="P311" s="108"/>
      <x:c r="Q311" s="9" t="str">
        <x:v>Budget</x:v>
      </x:c>
      <x:c r="R311" s="9" t="n">
        <x:v>2026</x:v>
      </x:c>
      <x:c r="S311" s="9" t="str">
        <x:v>2026-09</x:v>
      </x:c>
    </x:row>
    <x:row r="312" ht="17" customHeight="1">
      <x:c r="A312" s="9" t="str">
        <x:v>2026-10-01</x:v>
      </x:c>
      <x:c r="B312" s="9" t="str">
        <x:v>Customer Success</x:v>
      </x:c>
      <x:c r="C312" s="107" t="n">
        <x:v>2.51641633</x:v>
      </x:c>
      <x:c r="D312" s="107" t="n">
        <x:v>0.2</x:v>
      </x:c>
      <x:c r="E312" s="107" t="n">
        <x:v>0</x:v>
      </x:c>
      <x:c r="F312" s="107" t="n">
        <x:v>3.94978367</x:v>
      </x:c>
      <x:c r="G312" s="107" t="n">
        <x:v>10.27108707</x:v>
      </x:c>
      <x:c r="H312" s="107" t="n">
        <x:v>0</x:v>
      </x:c>
      <x:c r="I312" s="107" t="n">
        <x:v>7.75467074</x:v>
      </x:c>
      <x:c r="J312" s="107" t="n">
        <x:v>3.8048870700000004</x:v>
      </x:c>
      <x:c r="K312" s="107" t="n">
        <x:v>3.60488707</x:v>
      </x:c>
      <x:c r="L312" s="107" t="n">
        <x:v>3.60488707</x:v>
      </x:c>
      <x:c r="M312" s="107" t="n">
        <x:v>3.60488707</x:v>
      </x:c>
      <x:c r="N312" s="108" t="n">
        <x:v>0.7550000002093255</x:v>
      </x:c>
      <x:c r="O312" s="108" t="n">
        <x:v>0.370446384503291</x:v>
      </x:c>
      <x:c r="P312" s="108" t="n">
        <x:v>0.3509742489214435</x:v>
      </x:c>
      <x:c r="Q312" s="9" t="str">
        <x:v>Budget</x:v>
      </x:c>
      <x:c r="R312" s="9" t="n">
        <x:v>2026</x:v>
      </x:c>
      <x:c r="S312" s="9" t="str">
        <x:v>2026-10</x:v>
      </x:c>
    </x:row>
    <x:row r="313" ht="17" customHeight="1">
      <x:c r="A313" s="9" t="str">
        <x:v>2026-10-01</x:v>
      </x:c>
      <x:c r="B313" s="9" t="str">
        <x:v>Finance &amp; Corporate</x:v>
      </x:c>
      <x:c r="C313" s="107" t="n">
        <x:v>0</x:v>
      </x:c>
      <x:c r="D313" s="107" t="n">
        <x:v>0.175</x:v>
      </x:c>
      <x:c r="E313" s="107" t="n">
        <x:v>0.45303552</x:v>
      </x:c>
      <x:c r="F313" s="107" t="n">
        <x:v>7.4507783100000005</x:v>
      </x:c>
      <x:c r="G313" s="107" t="n">
        <x:v>0</x:v>
      </x:c>
      <x:c r="H313" s="107" t="n">
        <x:v>4.263510950000001</x:v>
      </x:c>
      <x:c r="I313" s="107" t="n">
        <x:v>0</x:v>
      </x:c>
      <x:c r="J313" s="107" t="n">
        <x:v>-7.4507783100000005</x:v>
      </x:c>
      <x:c r="K313" s="107" t="n">
        <x:v>-7.62577831</x:v>
      </x:c>
      <x:c r="L313" s="107" t="n">
        <x:v>-8.07881383</x:v>
      </x:c>
      <x:c r="M313" s="107" t="n">
        <x:v>-12.342324780000002</x:v>
      </x:c>
      <x:c r="N313" s="108"/>
      <x:c r="O313" s="108"/>
      <x:c r="P313" s="108"/>
      <x:c r="Q313" s="9" t="str">
        <x:v>Budget</x:v>
      </x:c>
      <x:c r="R313" s="9" t="n">
        <x:v>2026</x:v>
      </x:c>
      <x:c r="S313" s="9" t="str">
        <x:v>2026-10</x:v>
      </x:c>
    </x:row>
    <x:row r="314" ht="17" customHeight="1">
      <x:c r="A314" s="9" t="str">
        <x:v>2026-10-01</x:v>
      </x:c>
      <x:c r="B314" s="9" t="str">
        <x:v>Marketing</x:v>
      </x:c>
      <x:c r="C314" s="107" t="n">
        <x:v>0</x:v>
      </x:c>
      <x:c r="D314" s="107" t="n">
        <x:v>0</x:v>
      </x:c>
      <x:c r="E314" s="107" t="n">
        <x:v>0</x:v>
      </x:c>
      <x:c r="F314" s="107" t="n">
        <x:v>8.11396915</x:v>
      </x:c>
      <x:c r="G314" s="107" t="n">
        <x:v>0</x:v>
      </x:c>
      <x:c r="H314" s="107" t="n">
        <x:v>0</x:v>
      </x:c>
      <x:c r="I314" s="107" t="n">
        <x:v>0</x:v>
      </x:c>
      <x:c r="J314" s="107" t="n">
        <x:v>-8.11396915</x:v>
      </x:c>
      <x:c r="K314" s="107" t="n">
        <x:v>-8.11396915</x:v>
      </x:c>
      <x:c r="L314" s="107" t="n">
        <x:v>-8.11396915</x:v>
      </x:c>
      <x:c r="M314" s="107" t="n">
        <x:v>-8.11396915</x:v>
      </x:c>
      <x:c r="N314" s="108"/>
      <x:c r="O314" s="108"/>
      <x:c r="P314" s="108"/>
      <x:c r="Q314" s="9" t="str">
        <x:v>Budget</x:v>
      </x:c>
      <x:c r="R314" s="9" t="n">
        <x:v>2026</x:v>
      </x:c>
      <x:c r="S314" s="9" t="str">
        <x:v>2026-10</x:v>
      </x:c>
    </x:row>
    <x:row r="315" ht="17" customHeight="1">
      <x:c r="A315" s="9" t="str">
        <x:v>2026-10-01</x:v>
      </x:c>
      <x:c r="B315" s="9" t="str">
        <x:v>Operations</x:v>
      </x:c>
      <x:c r="C315" s="107" t="n">
        <x:v>0</x:v>
      </x:c>
      <x:c r="D315" s="107" t="n">
        <x:v>0.21527778</x:v>
      </x:c>
      <x:c r="E315" s="107" t="n">
        <x:v>0</x:v>
      </x:c>
      <x:c r="F315" s="107" t="n">
        <x:v>11.12402384</x:v>
      </x:c>
      <x:c r="G315" s="107" t="n">
        <x:v>0</x:v>
      </x:c>
      <x:c r="H315" s="107" t="n">
        <x:v>0</x:v>
      </x:c>
      <x:c r="I315" s="107" t="n">
        <x:v>0</x:v>
      </x:c>
      <x:c r="J315" s="107" t="n">
        <x:v>-11.12402384</x:v>
      </x:c>
      <x:c r="K315" s="107" t="n">
        <x:v>-11.339301619999999</x:v>
      </x:c>
      <x:c r="L315" s="107" t="n">
        <x:v>-11.339301619999999</x:v>
      </x:c>
      <x:c r="M315" s="107" t="n">
        <x:v>-11.339301619999999</x:v>
      </x:c>
      <x:c r="N315" s="108"/>
      <x:c r="O315" s="108"/>
      <x:c r="P315" s="108"/>
      <x:c r="Q315" s="9" t="str">
        <x:v>Budget</x:v>
      </x:c>
      <x:c r="R315" s="9" t="n">
        <x:v>2026</x:v>
      </x:c>
      <x:c r="S315" s="9" t="str">
        <x:v>2026-10</x:v>
      </x:c>
    </x:row>
    <x:row r="316" ht="17" customHeight="1">
      <x:c r="A316" s="9" t="str">
        <x:v>2026-10-01</x:v>
      </x:c>
      <x:c r="B316" s="9" t="str">
        <x:v>Sales</x:v>
      </x:c>
      <x:c r="C316" s="107" t="n">
        <x:v>80.22574843</x:v>
      </x:c>
      <x:c r="D316" s="107" t="n">
        <x:v>0.23333333</x:v>
      </x:c>
      <x:c r="E316" s="107" t="n">
        <x:v>0</x:v>
      </x:c>
      <x:c r="F316" s="107" t="n">
        <x:v>26.58580268</x:v>
      </x:c>
      <x:c r="G316" s="107" t="n">
        <x:v>159.05641835</x:v>
      </x:c>
      <x:c r="H316" s="107" t="n">
        <x:v>0</x:v>
      </x:c>
      <x:c r="I316" s="107" t="n">
        <x:v>78.83066992</x:v>
      </x:c>
      <x:c r="J316" s="107" t="n">
        <x:v>52.244867240000005</x:v>
      </x:c>
      <x:c r="K316" s="107" t="n">
        <x:v>52.011533910000004</x:v>
      </x:c>
      <x:c r="L316" s="107" t="n">
        <x:v>52.011533910000004</x:v>
      </x:c>
      <x:c r="M316" s="107" t="n">
        <x:v>52.011533910000004</x:v>
      </x:c>
      <x:c r="N316" s="108" t="n">
        <x:v>0.49561451677187224</x:v>
      </x:c>
      <x:c r="O316" s="108" t="n">
        <x:v>0.3284675197767648</x:v>
      </x:c>
      <x:c r="P316" s="108" t="n">
        <x:v>0.32700053509032134</x:v>
      </x:c>
      <x:c r="Q316" s="9" t="str">
        <x:v>Budget</x:v>
      </x:c>
      <x:c r="R316" s="9" t="n">
        <x:v>2026</x:v>
      </x:c>
      <x:c r="S316" s="9" t="str">
        <x:v>2026-10</x:v>
      </x:c>
    </x:row>
    <x:row r="317" ht="17" customHeight="1">
      <x:c r="A317" s="9" t="str">
        <x:v>2026-10-01</x:v>
      </x:c>
      <x:c r="B317" s="9" t="str">
        <x:v>Technology</x:v>
      </x:c>
      <x:c r="C317" s="107" t="n">
        <x:v>0</x:v>
      </x:c>
      <x:c r="D317" s="107" t="n">
        <x:v>0.72291667</x:v>
      </x:c>
      <x:c r="E317" s="107" t="n">
        <x:v>0</x:v>
      </x:c>
      <x:c r="F317" s="107" t="n">
        <x:v>10.30737592</x:v>
      </x:c>
      <x:c r="G317" s="107" t="n">
        <x:v>0</x:v>
      </x:c>
      <x:c r="H317" s="107" t="n">
        <x:v>0</x:v>
      </x:c>
      <x:c r="I317" s="107" t="n">
        <x:v>0</x:v>
      </x:c>
      <x:c r="J317" s="107" t="n">
        <x:v>-10.30737592</x:v>
      </x:c>
      <x:c r="K317" s="107" t="n">
        <x:v>-11.03029259</x:v>
      </x:c>
      <x:c r="L317" s="107" t="n">
        <x:v>-11.03029259</x:v>
      </x:c>
      <x:c r="M317" s="107" t="n">
        <x:v>-11.03029259</x:v>
      </x:c>
      <x:c r="N317" s="108"/>
      <x:c r="O317" s="108"/>
      <x:c r="P317" s="108"/>
      <x:c r="Q317" s="9" t="str">
        <x:v>Budget</x:v>
      </x:c>
      <x:c r="R317" s="9" t="n">
        <x:v>2026</x:v>
      </x:c>
      <x:c r="S317" s="9" t="str">
        <x:v>2026-10</x:v>
      </x:c>
    </x:row>
    <x:row r="318" ht="17" customHeight="1">
      <x:c r="A318" s="9" t="str">
        <x:v>2026-11-01</x:v>
      </x:c>
      <x:c r="B318" s="9" t="str">
        <x:v>Customer Success</x:v>
      </x:c>
      <x:c r="C318" s="107" t="n">
        <x:v>2.28254037</x:v>
      </x:c>
      <x:c r="D318" s="107" t="n">
        <x:v>0.2</x:v>
      </x:c>
      <x:c r="E318" s="107" t="n">
        <x:v>0</x:v>
      </x:c>
      <x:c r="F318" s="107" t="n">
        <x:v>3.9652107599999997</x:v>
      </x:c>
      <x:c r="G318" s="107" t="n">
        <x:v>9.31649132</x:v>
      </x:c>
      <x:c r="H318" s="107" t="n">
        <x:v>0</x:v>
      </x:c>
      <x:c r="I318" s="107" t="n">
        <x:v>7.03395095</x:v>
      </x:c>
      <x:c r="J318" s="107" t="n">
        <x:v>3.06874019</x:v>
      </x:c>
      <x:c r="K318" s="107" t="n">
        <x:v>2.8687401900000005</x:v>
      </x:c>
      <x:c r="L318" s="107" t="n">
        <x:v>2.8687401900000005</x:v>
      </x:c>
      <x:c r="M318" s="107" t="n">
        <x:v>2.8687401900000005</x:v>
      </x:c>
      <x:c r="N318" s="108" t="n">
        <x:v>0.7550000003649443</x:v>
      </x:c>
      <x:c r="O318" s="108" t="n">
        <x:v>0.3293879728532823</x:v>
      </x:c>
      <x:c r="P318" s="108" t="n">
        <x:v>0.3079206636345581</x:v>
      </x:c>
      <x:c r="Q318" s="9" t="str">
        <x:v>Budget</x:v>
      </x:c>
      <x:c r="R318" s="9" t="n">
        <x:v>2026</x:v>
      </x:c>
      <x:c r="S318" s="9" t="str">
        <x:v>2026-11</x:v>
      </x:c>
    </x:row>
    <x:row r="319" ht="17" customHeight="1">
      <x:c r="A319" s="9" t="str">
        <x:v>2026-11-01</x:v>
      </x:c>
      <x:c r="B319" s="9" t="str">
        <x:v>Finance &amp; Corporate</x:v>
      </x:c>
      <x:c r="C319" s="107" t="n">
        <x:v>0</x:v>
      </x:c>
      <x:c r="D319" s="107" t="n">
        <x:v>0.175</x:v>
      </x:c>
      <x:c r="E319" s="107" t="n">
        <x:v>0.45303552</x:v>
      </x:c>
      <x:c r="F319" s="107" t="n">
        <x:v>7.7309843</x:v>
      </x:c>
      <x:c r="G319" s="107" t="n">
        <x:v>0</x:v>
      </x:c>
      <x:c r="H319" s="107" t="n">
        <x:v>5.34468958</x:v>
      </x:c>
      <x:c r="I319" s="107" t="n">
        <x:v>0</x:v>
      </x:c>
      <x:c r="J319" s="107" t="n">
        <x:v>-7.7309843</x:v>
      </x:c>
      <x:c r="K319" s="107" t="n">
        <x:v>-7.9059843</x:v>
      </x:c>
      <x:c r="L319" s="107" t="n">
        <x:v>-8.35901982</x:v>
      </x:c>
      <x:c r="M319" s="107" t="n">
        <x:v>-13.703709400000001</x:v>
      </x:c>
      <x:c r="N319" s="108"/>
      <x:c r="O319" s="108"/>
      <x:c r="P319" s="108"/>
      <x:c r="Q319" s="9" t="str">
        <x:v>Budget</x:v>
      </x:c>
      <x:c r="R319" s="9" t="n">
        <x:v>2026</x:v>
      </x:c>
      <x:c r="S319" s="9" t="str">
        <x:v>2026-11</x:v>
      </x:c>
    </x:row>
    <x:row r="320" ht="17" customHeight="1">
      <x:c r="A320" s="9" t="str">
        <x:v>2026-11-01</x:v>
      </x:c>
      <x:c r="B320" s="9" t="str">
        <x:v>Marketing</x:v>
      </x:c>
      <x:c r="C320" s="107" t="n">
        <x:v>0</x:v>
      </x:c>
      <x:c r="D320" s="107" t="n">
        <x:v>0</x:v>
      </x:c>
      <x:c r="E320" s="107" t="n">
        <x:v>0</x:v>
      </x:c>
      <x:c r="F320" s="107" t="n">
        <x:v>8.275794730000001</x:v>
      </x:c>
      <x:c r="G320" s="107" t="n">
        <x:v>0</x:v>
      </x:c>
      <x:c r="H320" s="107" t="n">
        <x:v>0</x:v>
      </x:c>
      <x:c r="I320" s="107" t="n">
        <x:v>0</x:v>
      </x:c>
      <x:c r="J320" s="107" t="n">
        <x:v>-8.275794730000001</x:v>
      </x:c>
      <x:c r="K320" s="107" t="n">
        <x:v>-8.275794730000001</x:v>
      </x:c>
      <x:c r="L320" s="107" t="n">
        <x:v>-8.275794730000001</x:v>
      </x:c>
      <x:c r="M320" s="107" t="n">
        <x:v>-8.275794730000001</x:v>
      </x:c>
      <x:c r="N320" s="108"/>
      <x:c r="O320" s="108"/>
      <x:c r="P320" s="108"/>
      <x:c r="Q320" s="9" t="str">
        <x:v>Budget</x:v>
      </x:c>
      <x:c r="R320" s="9" t="n">
        <x:v>2026</x:v>
      </x:c>
      <x:c r="S320" s="9" t="str">
        <x:v>2026-11</x:v>
      </x:c>
    </x:row>
    <x:row r="321" ht="17" customHeight="1">
      <x:c r="A321" s="9" t="str">
        <x:v>2026-11-01</x:v>
      </x:c>
      <x:c r="B321" s="9" t="str">
        <x:v>Operations</x:v>
      </x:c>
      <x:c r="C321" s="107" t="n">
        <x:v>0</x:v>
      </x:c>
      <x:c r="D321" s="107" t="n">
        <x:v>0.21527778</x:v>
      </x:c>
      <x:c r="E321" s="107" t="n">
        <x:v>0</x:v>
      </x:c>
      <x:c r="F321" s="107" t="n">
        <x:v>11.26169084</x:v>
      </x:c>
      <x:c r="G321" s="107" t="n">
        <x:v>0</x:v>
      </x:c>
      <x:c r="H321" s="107" t="n">
        <x:v>0</x:v>
      </x:c>
      <x:c r="I321" s="107" t="n">
        <x:v>0</x:v>
      </x:c>
      <x:c r="J321" s="107" t="n">
        <x:v>-11.26169084</x:v>
      </x:c>
      <x:c r="K321" s="107" t="n">
        <x:v>-11.47696862</x:v>
      </x:c>
      <x:c r="L321" s="107" t="n">
        <x:v>-11.47696862</x:v>
      </x:c>
      <x:c r="M321" s="107" t="n">
        <x:v>-11.47696862</x:v>
      </x:c>
      <x:c r="N321" s="108"/>
      <x:c r="O321" s="108"/>
      <x:c r="P321" s="108"/>
      <x:c r="Q321" s="9" t="str">
        <x:v>Budget</x:v>
      </x:c>
      <x:c r="R321" s="9" t="n">
        <x:v>2026</x:v>
      </x:c>
      <x:c r="S321" s="9" t="str">
        <x:v>2026-11</x:v>
      </x:c>
    </x:row>
    <x:row r="322" ht="17" customHeight="1">
      <x:c r="A322" s="9" t="str">
        <x:v>2026-11-01</x:v>
      </x:c>
      <x:c r="B322" s="9" t="str">
        <x:v>Sales</x:v>
      </x:c>
      <x:c r="C322" s="107" t="n">
        <x:v>84.64110445</x:v>
      </x:c>
      <x:c r="D322" s="107" t="n">
        <x:v>0.23333333</x:v>
      </x:c>
      <x:c r="E322" s="107" t="n">
        <x:v>0</x:v>
      </x:c>
      <x:c r="F322" s="107" t="n">
        <x:v>27.46828954</x:v>
      </x:c>
      <x:c r="G322" s="107" t="n">
        <x:v>170.07846451</x:v>
      </x:c>
      <x:c r="H322" s="107" t="n">
        <x:v>0</x:v>
      </x:c>
      <x:c r="I322" s="107" t="n">
        <x:v>85.43736005999999</x:v>
      </x:c>
      <x:c r="J322" s="107" t="n">
        <x:v>57.96907051999999</x:v>
      </x:c>
      <x:c r="K322" s="107" t="n">
        <x:v>57.73573718999999</x:v>
      </x:c>
      <x:c r="L322" s="107" t="n">
        <x:v>57.73573718999999</x:v>
      </x:c>
      <x:c r="M322" s="107" t="n">
        <x:v>57.73573718999999</x:v>
      </x:c>
      <x:c r="N322" s="108" t="n">
        <x:v>0.5023408478324813</x:v>
      </x:c>
      <x:c r="O322" s="108" t="n">
        <x:v>0.34083721702809483</x:v>
      </x:c>
      <x:c r="P322" s="108" t="n">
        <x:v>0.3394653012439758</x:v>
      </x:c>
      <x:c r="Q322" s="9" t="str">
        <x:v>Budget</x:v>
      </x:c>
      <x:c r="R322" s="9" t="n">
        <x:v>2026</x:v>
      </x:c>
      <x:c r="S322" s="9" t="str">
        <x:v>2026-11</x:v>
      </x:c>
    </x:row>
    <x:row r="323" ht="17" customHeight="1">
      <x:c r="A323" s="9" t="str">
        <x:v>2026-11-01</x:v>
      </x:c>
      <x:c r="B323" s="9" t="str">
        <x:v>Technology</x:v>
      </x:c>
      <x:c r="C323" s="107" t="n">
        <x:v>0</x:v>
      </x:c>
      <x:c r="D323" s="107" t="n">
        <x:v>0.72291667</x:v>
      </x:c>
      <x:c r="E323" s="107" t="n">
        <x:v>0</x:v>
      </x:c>
      <x:c r="F323" s="107" t="n">
        <x:v>10.391019199999999</x:v>
      </x:c>
      <x:c r="G323" s="107" t="n">
        <x:v>0</x:v>
      </x:c>
      <x:c r="H323" s="107" t="n">
        <x:v>0</x:v>
      </x:c>
      <x:c r="I323" s="107" t="n">
        <x:v>0</x:v>
      </x:c>
      <x:c r="J323" s="107" t="n">
        <x:v>-10.391019199999999</x:v>
      </x:c>
      <x:c r="K323" s="107" t="n">
        <x:v>-11.113935869999999</x:v>
      </x:c>
      <x:c r="L323" s="107" t="n">
        <x:v>-11.113935869999999</x:v>
      </x:c>
      <x:c r="M323" s="107" t="n">
        <x:v>-11.113935869999999</x:v>
      </x:c>
      <x:c r="N323" s="108"/>
      <x:c r="O323" s="108"/>
      <x:c r="P323" s="108"/>
      <x:c r="Q323" s="9" t="str">
        <x:v>Budget</x:v>
      </x:c>
      <x:c r="R323" s="9" t="n">
        <x:v>2026</x:v>
      </x:c>
      <x:c r="S323" s="9" t="str">
        <x:v>2026-11</x:v>
      </x:c>
    </x:row>
    <x:row r="324" ht="17" customHeight="1">
      <x:c r="A324" s="9" t="str">
        <x:v>2026-12-01</x:v>
      </x:c>
      <x:c r="B324" s="9" t="str">
        <x:v>Customer Success</x:v>
      </x:c>
      <x:c r="C324" s="107" t="n">
        <x:v>2.3853853199999997</x:v>
      </x:c>
      <x:c r="D324" s="107" t="n">
        <x:v>0.2</x:v>
      </x:c>
      <x:c r="E324" s="107" t="n">
        <x:v>0</x:v>
      </x:c>
      <x:c r="F324" s="107" t="n">
        <x:v>4.03183956</x:v>
      </x:c>
      <x:c r="G324" s="107" t="n">
        <x:v>9.736266630000001</x:v>
      </x:c>
      <x:c r="H324" s="107" t="n">
        <x:v>0</x:v>
      </x:c>
      <x:c r="I324" s="107" t="n">
        <x:v>7.35088131</x:v>
      </x:c>
      <x:c r="J324" s="107" t="n">
        <x:v>3.3190417500000007</x:v>
      </x:c>
      <x:c r="K324" s="107" t="n">
        <x:v>3.1190417500000005</x:v>
      </x:c>
      <x:c r="L324" s="107" t="n">
        <x:v>3.1190417500000005</x:v>
      </x:c>
      <x:c r="M324" s="107" t="n">
        <x:v>3.1190417500000005</x:v>
      </x:c>
      <x:c r="N324" s="108" t="n">
        <x:v>0.7550000004467832</x:v>
      </x:c>
      <x:c r="O324" s="108" t="n">
        <x:v>0.34089470596184773</x:v>
      </x:c>
      <x:c r="P324" s="108" t="n">
        <x:v>0.32035295134476</x:v>
      </x:c>
      <x:c r="Q324" s="9" t="str">
        <x:v>Budget</x:v>
      </x:c>
      <x:c r="R324" s="9" t="n">
        <x:v>2026</x:v>
      </x:c>
      <x:c r="S324" s="9" t="str">
        <x:v>2026-12</x:v>
      </x:c>
    </x:row>
    <x:row r="325" ht="17" customHeight="1">
      <x:c r="A325" s="9" t="str">
        <x:v>2026-12-01</x:v>
      </x:c>
      <x:c r="B325" s="9" t="str">
        <x:v>Finance &amp; Corporate</x:v>
      </x:c>
      <x:c r="C325" s="107" t="n">
        <x:v>0</x:v>
      </x:c>
      <x:c r="D325" s="107" t="n">
        <x:v>0.175</x:v>
      </x:c>
      <x:c r="E325" s="107" t="n">
        <x:v>0.45303552</x:v>
      </x:c>
      <x:c r="F325" s="107" t="n">
        <x:v>7.55180725</x:v>
      </x:c>
      <x:c r="G325" s="107" t="n">
        <x:v>0</x:v>
      </x:c>
      <x:c r="H325" s="107" t="n">
        <x:v>7.169359200000001</x:v>
      </x:c>
      <x:c r="I325" s="107" t="n">
        <x:v>0</x:v>
      </x:c>
      <x:c r="J325" s="107" t="n">
        <x:v>-7.55180725</x:v>
      </x:c>
      <x:c r="K325" s="107" t="n">
        <x:v>-7.72680725</x:v>
      </x:c>
      <x:c r="L325" s="107" t="n">
        <x:v>-8.179842769999999</x:v>
      </x:c>
      <x:c r="M325" s="107" t="n">
        <x:v>-15.34920197</x:v>
      </x:c>
      <x:c r="N325" s="108"/>
      <x:c r="O325" s="108"/>
      <x:c r="P325" s="108"/>
      <x:c r="Q325" s="9" t="str">
        <x:v>Budget</x:v>
      </x:c>
      <x:c r="R325" s="9" t="n">
        <x:v>2026</x:v>
      </x:c>
      <x:c r="S325" s="9" t="str">
        <x:v>2026-12</x:v>
      </x:c>
    </x:row>
    <x:row r="326" ht="17" customHeight="1">
      <x:c r="A326" s="9" t="str">
        <x:v>2026-12-01</x:v>
      </x:c>
      <x:c r="B326" s="9" t="str">
        <x:v>Marketing</x:v>
      </x:c>
      <x:c r="C326" s="107" t="n">
        <x:v>0</x:v>
      </x:c>
      <x:c r="D326" s="107" t="n">
        <x:v>0</x:v>
      </x:c>
      <x:c r="E326" s="107" t="n">
        <x:v>0</x:v>
      </x:c>
      <x:c r="F326" s="107" t="n">
        <x:v>8.107324280000002</x:v>
      </x:c>
      <x:c r="G326" s="107" t="n">
        <x:v>0</x:v>
      </x:c>
      <x:c r="H326" s="107" t="n">
        <x:v>0</x:v>
      </x:c>
      <x:c r="I326" s="107" t="n">
        <x:v>0</x:v>
      </x:c>
      <x:c r="J326" s="107" t="n">
        <x:v>-8.107324280000002</x:v>
      </x:c>
      <x:c r="K326" s="107" t="n">
        <x:v>-8.107324280000002</x:v>
      </x:c>
      <x:c r="L326" s="107" t="n">
        <x:v>-8.107324280000002</x:v>
      </x:c>
      <x:c r="M326" s="107" t="n">
        <x:v>-8.107324280000002</x:v>
      </x:c>
      <x:c r="N326" s="108"/>
      <x:c r="O326" s="108"/>
      <x:c r="P326" s="108"/>
      <x:c r="Q326" s="9" t="str">
        <x:v>Budget</x:v>
      </x:c>
      <x:c r="R326" s="9" t="n">
        <x:v>2026</x:v>
      </x:c>
      <x:c r="S326" s="9" t="str">
        <x:v>2026-12</x:v>
      </x:c>
    </x:row>
    <x:row r="327" ht="17" customHeight="1">
      <x:c r="A327" s="9" t="str">
        <x:v>2026-12-01</x:v>
      </x:c>
      <x:c r="B327" s="9" t="str">
        <x:v>Operations</x:v>
      </x:c>
      <x:c r="C327" s="107" t="n">
        <x:v>0</x:v>
      </x:c>
      <x:c r="D327" s="107" t="n">
        <x:v>0.21527778</x:v>
      </x:c>
      <x:c r="E327" s="107" t="n">
        <x:v>0</x:v>
      </x:c>
      <x:c r="F327" s="107" t="n">
        <x:v>11.38537314</x:v>
      </x:c>
      <x:c r="G327" s="107" t="n">
        <x:v>0</x:v>
      </x:c>
      <x:c r="H327" s="107" t="n">
        <x:v>0</x:v>
      </x:c>
      <x:c r="I327" s="107" t="n">
        <x:v>0</x:v>
      </x:c>
      <x:c r="J327" s="107" t="n">
        <x:v>-11.38537314</x:v>
      </x:c>
      <x:c r="K327" s="107" t="n">
        <x:v>-11.60065092</x:v>
      </x:c>
      <x:c r="L327" s="107" t="n">
        <x:v>-11.60065092</x:v>
      </x:c>
      <x:c r="M327" s="107" t="n">
        <x:v>-11.60065092</x:v>
      </x:c>
      <x:c r="N327" s="108"/>
      <x:c r="O327" s="108"/>
      <x:c r="P327" s="108"/>
      <x:c r="Q327" s="9" t="str">
        <x:v>Budget</x:v>
      </x:c>
      <x:c r="R327" s="9" t="n">
        <x:v>2026</x:v>
      </x:c>
      <x:c r="S327" s="9" t="str">
        <x:v>2026-12</x:v>
      </x:c>
    </x:row>
    <x:row r="328" ht="17" customHeight="1">
      <x:c r="A328" s="9" t="str">
        <x:v>2026-12-01</x:v>
      </x:c>
      <x:c r="B328" s="9" t="str">
        <x:v>Sales</x:v>
      </x:c>
      <x:c r="C328" s="107" t="n">
        <x:v>90.6425381</x:v>
      </x:c>
      <x:c r="D328" s="107" t="n">
        <x:v>0.23333333</x:v>
      </x:c>
      <x:c r="E328" s="107" t="n">
        <x:v>0</x:v>
      </x:c>
      <x:c r="F328" s="107" t="n">
        <x:v>28.17685895</x:v>
      </x:c>
      <x:c r="G328" s="107" t="n">
        <x:v>183.40872461</x:v>
      </x:c>
      <x:c r="H328" s="107" t="n">
        <x:v>0</x:v>
      </x:c>
      <x:c r="I328" s="107" t="n">
        <x:v>92.76618651000003</x:v>
      </x:c>
      <x:c r="J328" s="107" t="n">
        <x:v>64.58932756000002</x:v>
      </x:c>
      <x:c r="K328" s="107" t="n">
        <x:v>64.35599423000002</x:v>
      </x:c>
      <x:c r="L328" s="107" t="n">
        <x:v>64.35599423000002</x:v>
      </x:c>
      <x:c r="M328" s="107" t="n">
        <x:v>64.35599423000002</x:v>
      </x:c>
      <x:c r="N328" s="108" t="n">
        <x:v>0.5057893876491311</x:v>
      </x:c>
      <x:c r="O328" s="108" t="n">
        <x:v>0.3521606057582192</x:v>
      </x:c>
      <x:c r="P328" s="108" t="n">
        <x:v>0.35088840166598667</x:v>
      </x:c>
      <x:c r="Q328" s="9" t="str">
        <x:v>Budget</x:v>
      </x:c>
      <x:c r="R328" s="9" t="n">
        <x:v>2026</x:v>
      </x:c>
      <x:c r="S328" s="9" t="str">
        <x:v>2026-12</x:v>
      </x:c>
    </x:row>
    <x:row r="329" ht="17" customHeight="1">
      <x:c r="A329" s="9" t="str">
        <x:v>2026-12-01</x:v>
      </x:c>
      <x:c r="B329" s="9" t="str">
        <x:v>Technology</x:v>
      </x:c>
      <x:c r="C329" s="107" t="n">
        <x:v>0</x:v>
      </x:c>
      <x:c r="D329" s="107" t="n">
        <x:v>0.72291667</x:v>
      </x:c>
      <x:c r="E329" s="107" t="n">
        <x:v>0</x:v>
      </x:c>
      <x:c r="F329" s="107" t="n">
        <x:v>10.18686455</x:v>
      </x:c>
      <x:c r="G329" s="107" t="n">
        <x:v>0</x:v>
      </x:c>
      <x:c r="H329" s="107" t="n">
        <x:v>0</x:v>
      </x:c>
      <x:c r="I329" s="107" t="n">
        <x:v>0</x:v>
      </x:c>
      <x:c r="J329" s="107" t="n">
        <x:v>-10.18686455</x:v>
      </x:c>
      <x:c r="K329" s="107" t="n">
        <x:v>-10.90978122</x:v>
      </x:c>
      <x:c r="L329" s="107" t="n">
        <x:v>-10.90978122</x:v>
      </x:c>
      <x:c r="M329" s="107" t="n">
        <x:v>-10.90978122</x:v>
      </x:c>
      <x:c r="N329" s="108"/>
      <x:c r="O329" s="108"/>
      <x:c r="P329" s="108"/>
      <x:c r="Q329" s="9" t="str">
        <x:v>Budget</x:v>
      </x:c>
      <x:c r="R329" s="9" t="n">
        <x:v>2026</x:v>
      </x:c>
      <x:c r="S329" s="9" t="str">
        <x:v>2026-12</x:v>
      </x:c>
    </x:row>
    <x:row r="330" ht="17" customHeight="1">
      <x:c r="A330" s="9" t="str">
        <x:v>2026-01-01</x:v>
      </x:c>
      <x:c r="B330" s="9" t="str">
        <x:v>Customer Success</x:v>
      </x:c>
      <x:c r="C330" s="107" t="n">
        <x:v>1.9683948500000001</x:v>
      </x:c>
      <x:c r="D330" s="107" t="n">
        <x:v>0.19479167</x:v>
      </x:c>
      <x:c r="E330" s="107" t="n">
        <x:v>0</x:v>
      </x:c>
      <x:c r="F330" s="107" t="n">
        <x:v>3.3456762</x:v>
      </x:c>
      <x:c r="G330" s="107" t="n">
        <x:v>7.8494106200000004</x:v>
      </x:c>
      <x:c r="H330" s="107" t="n">
        <x:v>0</x:v>
      </x:c>
      <x:c r="I330" s="107" t="n">
        <x:v>5.881015769999999</x:v>
      </x:c>
      <x:c r="J330" s="107" t="n">
        <x:v>2.535339569999999</x:v>
      </x:c>
      <x:c r="K330" s="107" t="n">
        <x:v>2.3405478999999993</x:v>
      </x:c>
      <x:c r="L330" s="107" t="n">
        <x:v>2.3405478999999993</x:v>
      </x:c>
      <x:c r="M330" s="107" t="n">
        <x:v>2.3405478999999993</x:v>
      </x:c>
      <x:c r="N330" s="108" t="n">
        <x:v>0.7492302358364836</x:v>
      </x:c>
      <x:c r="O330" s="108" t="n">
        <x:v>0.32299744436098815</x:v>
      </x:c>
      <x:c r="P330" s="108" t="n">
        <x:v>0.29818135568502074</x:v>
      </x:c>
      <x:c r="Q330" s="9" t="str">
        <x:v>Forecast</x:v>
      </x:c>
      <x:c r="R330" s="9" t="n">
        <x:v>2026</x:v>
      </x:c>
      <x:c r="S330" s="9" t="str">
        <x:v>2026-01</x:v>
      </x:c>
    </x:row>
    <x:row r="331" ht="17" customHeight="1">
      <x:c r="A331" s="9" t="str">
        <x:v>2026-01-01</x:v>
      </x:c>
      <x:c r="B331" s="9" t="str">
        <x:v>Finance &amp; Corporate</x:v>
      </x:c>
      <x:c r="C331" s="107" t="n">
        <x:v>0</x:v>
      </x:c>
      <x:c r="D331" s="107" t="n">
        <x:v>0</x:v>
      </x:c>
      <x:c r="E331" s="107" t="n">
        <x:v>0.50022672</x:v>
      </x:c>
      <x:c r="F331" s="107" t="n">
        <x:v>6.85678265</x:v>
      </x:c>
      <x:c r="G331" s="107" t="n">
        <x:v>0</x:v>
      </x:c>
      <x:c r="H331" s="107" t="n">
        <x:v>0.70307781</x:v>
      </x:c>
      <x:c r="I331" s="107" t="n">
        <x:v>0</x:v>
      </x:c>
      <x:c r="J331" s="107" t="n">
        <x:v>-6.85678265</x:v>
      </x:c>
      <x:c r="K331" s="107" t="n">
        <x:v>-6.85678265</x:v>
      </x:c>
      <x:c r="L331" s="107" t="n">
        <x:v>-7.35700937</x:v>
      </x:c>
      <x:c r="M331" s="107" t="n">
        <x:v>-8.06008718</x:v>
      </x:c>
      <x:c r="N331" s="108"/>
      <x:c r="O331" s="108"/>
      <x:c r="P331" s="108"/>
      <x:c r="Q331" s="9" t="str">
        <x:v>Forecast</x:v>
      </x:c>
      <x:c r="R331" s="9" t="n">
        <x:v>2026</x:v>
      </x:c>
      <x:c r="S331" s="9" t="str">
        <x:v>2026-01</x:v>
      </x:c>
    </x:row>
    <x:row r="332" ht="17" customHeight="1">
      <x:c r="A332" s="9" t="str">
        <x:v>2026-01-01</x:v>
      </x:c>
      <x:c r="B332" s="9" t="str">
        <x:v>Marketing</x:v>
      </x:c>
      <x:c r="C332" s="107" t="n">
        <x:v>0</x:v>
      </x:c>
      <x:c r="D332" s="107" t="n">
        <x:v>0</x:v>
      </x:c>
      <x:c r="E332" s="107" t="n">
        <x:v>0</x:v>
      </x:c>
      <x:c r="F332" s="107" t="n">
        <x:v>7.5219299</x:v>
      </x:c>
      <x:c r="G332" s="107" t="n">
        <x:v>0</x:v>
      </x:c>
      <x:c r="H332" s="107" t="n">
        <x:v>0</x:v>
      </x:c>
      <x:c r="I332" s="107" t="n">
        <x:v>0</x:v>
      </x:c>
      <x:c r="J332" s="107" t="n">
        <x:v>-7.5219299</x:v>
      </x:c>
      <x:c r="K332" s="107" t="n">
        <x:v>-7.5219299</x:v>
      </x:c>
      <x:c r="L332" s="107" t="n">
        <x:v>-7.5219299</x:v>
      </x:c>
      <x:c r="M332" s="107" t="n">
        <x:v>-7.5219299</x:v>
      </x:c>
      <x:c r="N332" s="108"/>
      <x:c r="O332" s="108"/>
      <x:c r="P332" s="108"/>
      <x:c r="Q332" s="9" t="str">
        <x:v>Forecast</x:v>
      </x:c>
      <x:c r="R332" s="9" t="n">
        <x:v>2026</x:v>
      </x:c>
      <x:c r="S332" s="9" t="str">
        <x:v>2026-01</x:v>
      </x:c>
    </x:row>
    <x:row r="333" ht="17" customHeight="1">
      <x:c r="A333" s="9" t="str">
        <x:v>2026-01-01</x:v>
      </x:c>
      <x:c r="B333" s="9" t="str">
        <x:v>Operations</x:v>
      </x:c>
      <x:c r="C333" s="107" t="n">
        <x:v>0</x:v>
      </x:c>
      <x:c r="D333" s="107" t="n">
        <x:v>0.22083333</x:v>
      </x:c>
      <x:c r="E333" s="107" t="n">
        <x:v>0</x:v>
      </x:c>
      <x:c r="F333" s="107" t="n">
        <x:v>10.26876308</x:v>
      </x:c>
      <x:c r="G333" s="107" t="n">
        <x:v>0</x:v>
      </x:c>
      <x:c r="H333" s="107" t="n">
        <x:v>0</x:v>
      </x:c>
      <x:c r="I333" s="107" t="n">
        <x:v>0</x:v>
      </x:c>
      <x:c r="J333" s="107" t="n">
        <x:v>-10.26876308</x:v>
      </x:c>
      <x:c r="K333" s="107" t="n">
        <x:v>-10.48959641</x:v>
      </x:c>
      <x:c r="L333" s="107" t="n">
        <x:v>-10.48959641</x:v>
      </x:c>
      <x:c r="M333" s="107" t="n">
        <x:v>-10.48959641</x:v>
      </x:c>
      <x:c r="N333" s="108"/>
      <x:c r="O333" s="108"/>
      <x:c r="P333" s="108"/>
      <x:c r="Q333" s="9" t="str">
        <x:v>Forecast</x:v>
      </x:c>
      <x:c r="R333" s="9" t="n">
        <x:v>2026</x:v>
      </x:c>
      <x:c r="S333" s="9" t="str">
        <x:v>2026-01</x:v>
      </x:c>
    </x:row>
    <x:row r="334" ht="17" customHeight="1">
      <x:c r="A334" s="9" t="str">
        <x:v>2026-01-01</x:v>
      </x:c>
      <x:c r="B334" s="9" t="str">
        <x:v>Sales</x:v>
      </x:c>
      <x:c r="C334" s="107" t="n">
        <x:v>59.41785597</x:v>
      </x:c>
      <x:c r="D334" s="107" t="n">
        <x:v>0.24166667</x:v>
      </x:c>
      <x:c r="E334" s="107" t="n">
        <x:v>0</x:v>
      </x:c>
      <x:c r="F334" s="107" t="n">
        <x:v>21.33422886</x:v>
      </x:c>
      <x:c r="G334" s="107" t="n">
        <x:v>116.30229340000001</x:v>
      </x:c>
      <x:c r="H334" s="107" t="n">
        <x:v>0</x:v>
      </x:c>
      <x:c r="I334" s="107" t="n">
        <x:v>56.884437430000006</x:v>
      </x:c>
      <x:c r="J334" s="107" t="n">
        <x:v>35.55020857000001</x:v>
      </x:c>
      <x:c r="K334" s="107" t="n">
        <x:v>35.30854190000001</x:v>
      </x:c>
      <x:c r="L334" s="107" t="n">
        <x:v>35.30854190000001</x:v>
      </x:c>
      <x:c r="M334" s="107" t="n">
        <x:v>35.30854190000001</x:v>
      </x:c>
      <x:c r="N334" s="108" t="n">
        <x:v>0.48910847556854803</x:v>
      </x:c>
      <x:c r="O334" s="108" t="n">
        <x:v>0.3056707441506051</x:v>
      </x:c>
      <x:c r="P334" s="108" t="n">
        <x:v>0.30359282579719105</x:v>
      </x:c>
      <x:c r="Q334" s="9" t="str">
        <x:v>Forecast</x:v>
      </x:c>
      <x:c r="R334" s="9" t="n">
        <x:v>2026</x:v>
      </x:c>
      <x:c r="S334" s="9" t="str">
        <x:v>2026-01</x:v>
      </x:c>
    </x:row>
    <x:row r="335" ht="17" customHeight="1">
      <x:c r="A335" s="9" t="str">
        <x:v>2026-01-01</x:v>
      </x:c>
      <x:c r="B335" s="9" t="str">
        <x:v>Technology</x:v>
      </x:c>
      <x:c r="C335" s="107" t="n">
        <x:v>0</x:v>
      </x:c>
      <x:c r="D335" s="107" t="n">
        <x:v>0.42604167</x:v>
      </x:c>
      <x:c r="E335" s="107" t="n">
        <x:v>0</x:v>
      </x:c>
      <x:c r="F335" s="107" t="n">
        <x:v>9.042201209999998</x:v>
      </x:c>
      <x:c r="G335" s="107" t="n">
        <x:v>0</x:v>
      </x:c>
      <x:c r="H335" s="107" t="n">
        <x:v>0</x:v>
      </x:c>
      <x:c r="I335" s="107" t="n">
        <x:v>0</x:v>
      </x:c>
      <x:c r="J335" s="107" t="n">
        <x:v>-9.042201209999998</x:v>
      </x:c>
      <x:c r="K335" s="107" t="n">
        <x:v>-9.468242879999998</x:v>
      </x:c>
      <x:c r="L335" s="107" t="n">
        <x:v>-9.468242879999998</x:v>
      </x:c>
      <x:c r="M335" s="107" t="n">
        <x:v>-9.468242879999998</x:v>
      </x:c>
      <x:c r="N335" s="108"/>
      <x:c r="O335" s="108"/>
      <x:c r="P335" s="108"/>
      <x:c r="Q335" s="9" t="str">
        <x:v>Forecast</x:v>
      </x:c>
      <x:c r="R335" s="9" t="n">
        <x:v>2026</x:v>
      </x:c>
      <x:c r="S335" s="9" t="str">
        <x:v>2026-01</x:v>
      </x:c>
    </x:row>
    <x:row r="336" ht="17" customHeight="1">
      <x:c r="A336" s="9" t="str">
        <x:v>2026-02-01</x:v>
      </x:c>
      <x:c r="B336" s="9" t="str">
        <x:v>Customer Success</x:v>
      </x:c>
      <x:c r="C336" s="107" t="n">
        <x:v>2.08376024</x:v>
      </x:c>
      <x:c r="D336" s="107" t="n">
        <x:v>0.19479167</x:v>
      </x:c>
      <x:c r="E336" s="107" t="n">
        <x:v>0</x:v>
      </x:c>
      <x:c r="F336" s="107" t="n">
        <x:v>3.39609439</x:v>
      </x:c>
      <x:c r="G336" s="107" t="n">
        <x:v>8.2086197</x:v>
      </x:c>
      <x:c r="H336" s="107" t="n">
        <x:v>0</x:v>
      </x:c>
      <x:c r="I336" s="107" t="n">
        <x:v>6.12485946</x:v>
      </x:c>
      <x:c r="J336" s="107" t="n">
        <x:v>2.7287650699999997</x:v>
      </x:c>
      <x:c r="K336" s="107" t="n">
        <x:v>2.5339734</x:v>
      </x:c>
      <x:c r="L336" s="107" t="n">
        <x:v>2.5339734</x:v>
      </x:c>
      <x:c r="M336" s="107" t="n">
        <x:v>2.5339734</x:v>
      </x:c>
      <x:c r="N336" s="108" t="n">
        <x:v>0.7461497406196075</x:v>
      </x:c>
      <x:c r="O336" s="108" t="n">
        <x:v>0.33242678668619524</x:v>
      </x:c>
      <x:c r="P336" s="108" t="n">
        <x:v>0.30869664969373595</x:v>
      </x:c>
      <x:c r="Q336" s="9" t="str">
        <x:v>Forecast</x:v>
      </x:c>
      <x:c r="R336" s="9" t="n">
        <x:v>2026</x:v>
      </x:c>
      <x:c r="S336" s="9" t="str">
        <x:v>2026-02</x:v>
      </x:c>
    </x:row>
    <x:row r="337" ht="17" customHeight="1">
      <x:c r="A337" s="9" t="str">
        <x:v>2026-02-01</x:v>
      </x:c>
      <x:c r="B337" s="9" t="str">
        <x:v>Finance &amp; Corporate</x:v>
      </x:c>
      <x:c r="C337" s="107" t="n">
        <x:v>0</x:v>
      </x:c>
      <x:c r="D337" s="107" t="n">
        <x:v>0</x:v>
      </x:c>
      <x:c r="E337" s="107" t="n">
        <x:v>0.50022672</x:v>
      </x:c>
      <x:c r="F337" s="107" t="n">
        <x:v>7.019379219999999</x:v>
      </x:c>
      <x:c r="G337" s="107" t="n">
        <x:v>0</x:v>
      </x:c>
      <x:c r="H337" s="107" t="n">
        <x:v>0.85266519</x:v>
      </x:c>
      <x:c r="I337" s="107" t="n">
        <x:v>0</x:v>
      </x:c>
      <x:c r="J337" s="107" t="n">
        <x:v>-7.019379219999999</x:v>
      </x:c>
      <x:c r="K337" s="107" t="n">
        <x:v>-7.019379219999999</x:v>
      </x:c>
      <x:c r="L337" s="107" t="n">
        <x:v>-7.519605939999999</x:v>
      </x:c>
      <x:c r="M337" s="107" t="n">
        <x:v>-8.37227113</x:v>
      </x:c>
      <x:c r="N337" s="108"/>
      <x:c r="O337" s="108"/>
      <x:c r="P337" s="108"/>
      <x:c r="Q337" s="9" t="str">
        <x:v>Forecast</x:v>
      </x:c>
      <x:c r="R337" s="9" t="n">
        <x:v>2026</x:v>
      </x:c>
      <x:c r="S337" s="9" t="str">
        <x:v>2026-02</x:v>
      </x:c>
    </x:row>
    <x:row r="338" ht="17" customHeight="1">
      <x:c r="A338" s="9" t="str">
        <x:v>2026-02-01</x:v>
      </x:c>
      <x:c r="B338" s="9" t="str">
        <x:v>Marketing</x:v>
      </x:c>
      <x:c r="C338" s="107" t="n">
        <x:v>0</x:v>
      </x:c>
      <x:c r="D338" s="107" t="n">
        <x:v>0</x:v>
      </x:c>
      <x:c r="E338" s="107" t="n">
        <x:v>0</x:v>
      </x:c>
      <x:c r="F338" s="107" t="n">
        <x:v>7.53468797</x:v>
      </x:c>
      <x:c r="G338" s="107" t="n">
        <x:v>0</x:v>
      </x:c>
      <x:c r="H338" s="107" t="n">
        <x:v>0</x:v>
      </x:c>
      <x:c r="I338" s="107" t="n">
        <x:v>0</x:v>
      </x:c>
      <x:c r="J338" s="107" t="n">
        <x:v>-7.53468797</x:v>
      </x:c>
      <x:c r="K338" s="107" t="n">
        <x:v>-7.53468797</x:v>
      </x:c>
      <x:c r="L338" s="107" t="n">
        <x:v>-7.53468797</x:v>
      </x:c>
      <x:c r="M338" s="107" t="n">
        <x:v>-7.53468797</x:v>
      </x:c>
      <x:c r="N338" s="108"/>
      <x:c r="O338" s="108"/>
      <x:c r="P338" s="108"/>
      <x:c r="Q338" s="9" t="str">
        <x:v>Forecast</x:v>
      </x:c>
      <x:c r="R338" s="9" t="n">
        <x:v>2026</x:v>
      </x:c>
      <x:c r="S338" s="9" t="str">
        <x:v>2026-02</x:v>
      </x:c>
    </x:row>
    <x:row r="339" ht="17" customHeight="1">
      <x:c r="A339" s="9" t="str">
        <x:v>2026-02-01</x:v>
      </x:c>
      <x:c r="B339" s="9" t="str">
        <x:v>Operations</x:v>
      </x:c>
      <x:c r="C339" s="107" t="n">
        <x:v>0</x:v>
      </x:c>
      <x:c r="D339" s="107" t="n">
        <x:v>0.22083333</x:v>
      </x:c>
      <x:c r="E339" s="107" t="n">
        <x:v>0</x:v>
      </x:c>
      <x:c r="F339" s="107" t="n">
        <x:v>10.337986</x:v>
      </x:c>
      <x:c r="G339" s="107" t="n">
        <x:v>0</x:v>
      </x:c>
      <x:c r="H339" s="107" t="n">
        <x:v>0</x:v>
      </x:c>
      <x:c r="I339" s="107" t="n">
        <x:v>0</x:v>
      </x:c>
      <x:c r="J339" s="107" t="n">
        <x:v>-10.337986</x:v>
      </x:c>
      <x:c r="K339" s="107" t="n">
        <x:v>-10.55881933</x:v>
      </x:c>
      <x:c r="L339" s="107" t="n">
        <x:v>-10.55881933</x:v>
      </x:c>
      <x:c r="M339" s="107" t="n">
        <x:v>-10.55881933</x:v>
      </x:c>
      <x:c r="N339" s="108"/>
      <x:c r="O339" s="108"/>
      <x:c r="P339" s="108"/>
      <x:c r="Q339" s="9" t="str">
        <x:v>Forecast</x:v>
      </x:c>
      <x:c r="R339" s="9" t="n">
        <x:v>2026</x:v>
      </x:c>
      <x:c r="S339" s="9" t="str">
        <x:v>2026-02</x:v>
      </x:c>
    </x:row>
    <x:row r="340" ht="17" customHeight="1">
      <x:c r="A340" s="9" t="str">
        <x:v>2026-02-01</x:v>
      </x:c>
      <x:c r="B340" s="9" t="str">
        <x:v>Sales</x:v>
      </x:c>
      <x:c r="C340" s="107" t="n">
        <x:v>61.060208659999994</x:v>
      </x:c>
      <x:c r="D340" s="107" t="n">
        <x:v>0.24166667</x:v>
      </x:c>
      <x:c r="E340" s="107" t="n">
        <x:v>0</x:v>
      </x:c>
      <x:c r="F340" s="107" t="n">
        <x:v>21.5623292</x:v>
      </x:c>
      <x:c r="G340" s="107" t="n">
        <x:v>119.13739786</x:v>
      </x:c>
      <x:c r="H340" s="107" t="n">
        <x:v>0</x:v>
      </x:c>
      <x:c r="I340" s="107" t="n">
        <x:v>58.07718920000001</x:v>
      </x:c>
      <x:c r="J340" s="107" t="n">
        <x:v>36.51486</x:v>
      </x:c>
      <x:c r="K340" s="107" t="n">
        <x:v>36.27319333</x:v>
      </x:c>
      <x:c r="L340" s="107" t="n">
        <x:v>36.27319333</x:v>
      </x:c>
      <x:c r="M340" s="107" t="n">
        <x:v>36.27319333</x:v>
      </x:c>
      <x:c r="N340" s="108" t="n">
        <x:v>0.4874807595533294</x:v>
      </x:c>
      <x:c r="O340" s="108" t="n">
        <x:v>0.30649368423262957</x:v>
      </x:c>
      <x:c r="P340" s="108" t="n">
        <x:v>0.30446521395930715</x:v>
      </x:c>
      <x:c r="Q340" s="9" t="str">
        <x:v>Forecast</x:v>
      </x:c>
      <x:c r="R340" s="9" t="n">
        <x:v>2026</x:v>
      </x:c>
      <x:c r="S340" s="9" t="str">
        <x:v>2026-02</x:v>
      </x:c>
    </x:row>
    <x:row r="341" ht="17" customHeight="1">
      <x:c r="A341" s="9" t="str">
        <x:v>2026-02-01</x:v>
      </x:c>
      <x:c r="B341" s="9" t="str">
        <x:v>Technology</x:v>
      </x:c>
      <x:c r="C341" s="107" t="n">
        <x:v>0</x:v>
      </x:c>
      <x:c r="D341" s="107" t="n">
        <x:v>0.42604167</x:v>
      </x:c>
      <x:c r="E341" s="107" t="n">
        <x:v>0</x:v>
      </x:c>
      <x:c r="F341" s="107" t="n">
        <x:v>9.35735105</x:v>
      </x:c>
      <x:c r="G341" s="107" t="n">
        <x:v>0</x:v>
      </x:c>
      <x:c r="H341" s="107" t="n">
        <x:v>0</x:v>
      </x:c>
      <x:c r="I341" s="107" t="n">
        <x:v>0</x:v>
      </x:c>
      <x:c r="J341" s="107" t="n">
        <x:v>-9.35735105</x:v>
      </x:c>
      <x:c r="K341" s="107" t="n">
        <x:v>-9.78339272</x:v>
      </x:c>
      <x:c r="L341" s="107" t="n">
        <x:v>-9.78339272</x:v>
      </x:c>
      <x:c r="M341" s="107" t="n">
        <x:v>-9.78339272</x:v>
      </x:c>
      <x:c r="N341" s="108"/>
      <x:c r="O341" s="108"/>
      <x:c r="P341" s="108"/>
      <x:c r="Q341" s="9" t="str">
        <x:v>Forecast</x:v>
      </x:c>
      <x:c r="R341" s="9" t="n">
        <x:v>2026</x:v>
      </x:c>
      <x:c r="S341" s="9" t="str">
        <x:v>2026-02</x:v>
      </x:c>
    </x:row>
    <x:row r="342" ht="17" customHeight="1">
      <x:c r="A342" s="9" t="str">
        <x:v>2026-03-01</x:v>
      </x:c>
      <x:c r="B342" s="9" t="str">
        <x:v>Customer Success</x:v>
      </x:c>
      <x:c r="C342" s="107" t="n">
        <x:v>2.0130106</x:v>
      </x:c>
      <x:c r="D342" s="107" t="n">
        <x:v>0.19479167</x:v>
      </x:c>
      <x:c r="E342" s="107" t="n">
        <x:v>0</x:v>
      </x:c>
      <x:c r="F342" s="107" t="n">
        <x:v>3.3737713300000003</x:v>
      </x:c>
      <x:c r="G342" s="107" t="n">
        <x:v>7.89658806</x:v>
      </x:c>
      <x:c r="H342" s="107" t="n">
        <x:v>0</x:v>
      </x:c>
      <x:c r="I342" s="107" t="n">
        <x:v>5.88357746</x:v>
      </x:c>
      <x:c r="J342" s="107" t="n">
        <x:v>2.50980613</x:v>
      </x:c>
      <x:c r="K342" s="107" t="n">
        <x:v>2.31501446</x:v>
      </x:c>
      <x:c r="L342" s="107" t="n">
        <x:v>2.31501446</x:v>
      </x:c>
      <x:c r="M342" s="107" t="n">
        <x:v>2.31501446</x:v>
      </x:c>
      <x:c r="N342" s="108" t="n">
        <x:v>0.7450784332797018</x:v>
      </x:c>
      <x:c r="O342" s="108" t="n">
        <x:v>0.3178342482765905</x:v>
      </x:c>
      <x:c r="P342" s="108" t="n">
        <x:v>0.2931664210428624</x:v>
      </x:c>
      <x:c r="Q342" s="9" t="str">
        <x:v>Forecast</x:v>
      </x:c>
      <x:c r="R342" s="9" t="n">
        <x:v>2026</x:v>
      </x:c>
      <x:c r="S342" s="9" t="str">
        <x:v>2026-03</x:v>
      </x:c>
    </x:row>
    <x:row r="343" ht="17" customHeight="1">
      <x:c r="A343" s="9" t="str">
        <x:v>2026-03-01</x:v>
      </x:c>
      <x:c r="B343" s="9" t="str">
        <x:v>Finance &amp; Corporate</x:v>
      </x:c>
      <x:c r="C343" s="107" t="n">
        <x:v>0</x:v>
      </x:c>
      <x:c r="D343" s="107" t="n">
        <x:v>0.17</x:v>
      </x:c>
      <x:c r="E343" s="107" t="n">
        <x:v>0.50022672</x:v>
      </x:c>
      <x:c r="F343" s="107" t="n">
        <x:v>7.02589179</x:v>
      </x:c>
      <x:c r="G343" s="107" t="n">
        <x:v>0</x:v>
      </x:c>
      <x:c r="H343" s="107" t="n">
        <x:v>2.28186116</x:v>
      </x:c>
      <x:c r="I343" s="107" t="n">
        <x:v>0</x:v>
      </x:c>
      <x:c r="J343" s="107" t="n">
        <x:v>-7.02589179</x:v>
      </x:c>
      <x:c r="K343" s="107" t="n">
        <x:v>-7.19589179</x:v>
      </x:c>
      <x:c r="L343" s="107" t="n">
        <x:v>-7.69611851</x:v>
      </x:c>
      <x:c r="M343" s="107" t="n">
        <x:v>-9.97797967</x:v>
      </x:c>
      <x:c r="N343" s="108"/>
      <x:c r="O343" s="108"/>
      <x:c r="P343" s="108"/>
      <x:c r="Q343" s="9" t="str">
        <x:v>Forecast</x:v>
      </x:c>
      <x:c r="R343" s="9" t="n">
        <x:v>2026</x:v>
      </x:c>
      <x:c r="S343" s="9" t="str">
        <x:v>2026-03</x:v>
      </x:c>
    </x:row>
    <x:row r="344" ht="17" customHeight="1">
      <x:c r="A344" s="9" t="str">
        <x:v>2026-03-01</x:v>
      </x:c>
      <x:c r="B344" s="9" t="str">
        <x:v>Marketing</x:v>
      </x:c>
      <x:c r="C344" s="107" t="n">
        <x:v>0</x:v>
      </x:c>
      <x:c r="D344" s="107" t="n">
        <x:v>0</x:v>
      </x:c>
      <x:c r="E344" s="107" t="n">
        <x:v>0</x:v>
      </x:c>
      <x:c r="F344" s="107" t="n">
        <x:v>7.4833212300000005</x:v>
      </x:c>
      <x:c r="G344" s="107" t="n">
        <x:v>0</x:v>
      </x:c>
      <x:c r="H344" s="107" t="n">
        <x:v>0</x:v>
      </x:c>
      <x:c r="I344" s="107" t="n">
        <x:v>0</x:v>
      </x:c>
      <x:c r="J344" s="107" t="n">
        <x:v>-7.4833212300000005</x:v>
      </x:c>
      <x:c r="K344" s="107" t="n">
        <x:v>-7.4833212300000005</x:v>
      </x:c>
      <x:c r="L344" s="107" t="n">
        <x:v>-7.4833212300000005</x:v>
      </x:c>
      <x:c r="M344" s="107" t="n">
        <x:v>-7.4833212300000005</x:v>
      </x:c>
      <x:c r="N344" s="108"/>
      <x:c r="O344" s="108"/>
      <x:c r="P344" s="108"/>
      <x:c r="Q344" s="9" t="str">
        <x:v>Forecast</x:v>
      </x:c>
      <x:c r="R344" s="9" t="n">
        <x:v>2026</x:v>
      </x:c>
      <x:c r="S344" s="9" t="str">
        <x:v>2026-03</x:v>
      </x:c>
    </x:row>
    <x:row r="345" ht="17" customHeight="1">
      <x:c r="A345" s="9" t="str">
        <x:v>2026-03-01</x:v>
      </x:c>
      <x:c r="B345" s="9" t="str">
        <x:v>Operations</x:v>
      </x:c>
      <x:c r="C345" s="107" t="n">
        <x:v>0</x:v>
      </x:c>
      <x:c r="D345" s="107" t="n">
        <x:v>0.22083333</x:v>
      </x:c>
      <x:c r="E345" s="107" t="n">
        <x:v>0</x:v>
      </x:c>
      <x:c r="F345" s="107" t="n">
        <x:v>10.480504940000001</x:v>
      </x:c>
      <x:c r="G345" s="107" t="n">
        <x:v>0</x:v>
      </x:c>
      <x:c r="H345" s="107" t="n">
        <x:v>0</x:v>
      </x:c>
      <x:c r="I345" s="107" t="n">
        <x:v>0</x:v>
      </x:c>
      <x:c r="J345" s="107" t="n">
        <x:v>-10.480504940000001</x:v>
      </x:c>
      <x:c r="K345" s="107" t="n">
        <x:v>-10.70133827</x:v>
      </x:c>
      <x:c r="L345" s="107" t="n">
        <x:v>-10.70133827</x:v>
      </x:c>
      <x:c r="M345" s="107" t="n">
        <x:v>-10.70133827</x:v>
      </x:c>
      <x:c r="N345" s="108"/>
      <x:c r="O345" s="108"/>
      <x:c r="P345" s="108"/>
      <x:c r="Q345" s="9" t="str">
        <x:v>Forecast</x:v>
      </x:c>
      <x:c r="R345" s="9" t="n">
        <x:v>2026</x:v>
      </x:c>
      <x:c r="S345" s="9" t="str">
        <x:v>2026-03</x:v>
      </x:c>
    </x:row>
    <x:row r="346" ht="17" customHeight="1">
      <x:c r="A346" s="9" t="str">
        <x:v>2026-03-01</x:v>
      </x:c>
      <x:c r="B346" s="9" t="str">
        <x:v>Sales</x:v>
      </x:c>
      <x:c r="C346" s="107" t="n">
        <x:v>68.37652536</x:v>
      </x:c>
      <x:c r="D346" s="107" t="n">
        <x:v>0.24166667</x:v>
      </x:c>
      <x:c r="E346" s="107" t="n">
        <x:v>0</x:v>
      </x:c>
      <x:c r="F346" s="107" t="n">
        <x:v>21.908193280000003</x:v>
      </x:c>
      <x:c r="G346" s="107" t="n">
        <x:v>132.77533267</x:v>
      </x:c>
      <x:c r="H346" s="107" t="n">
        <x:v>0</x:v>
      </x:c>
      <x:c r="I346" s="107" t="n">
        <x:v>64.39880731000001</x:v>
      </x:c>
      <x:c r="J346" s="107" t="n">
        <x:v>42.49061403</x:v>
      </x:c>
      <x:c r="K346" s="107" t="n">
        <x:v>42.24894736</x:v>
      </x:c>
      <x:c r="L346" s="107" t="n">
        <x:v>42.24894736</x:v>
      </x:c>
      <x:c r="M346" s="107" t="n">
        <x:v>42.24894736</x:v>
      </x:c>
      <x:c r="N346" s="108" t="n">
        <x:v>0.48502086957715923</x:v>
      </x:c>
      <x:c r="O346" s="108" t="n">
        <x:v>0.3200188858543946</x:v>
      </x:c>
      <x:c r="P346" s="108" t="n">
        <x:v>0.3181987686297544</x:v>
      </x:c>
      <x:c r="Q346" s="9" t="str">
        <x:v>Forecast</x:v>
      </x:c>
      <x:c r="R346" s="9" t="n">
        <x:v>2026</x:v>
      </x:c>
      <x:c r="S346" s="9" t="str">
        <x:v>2026-03</x:v>
      </x:c>
    </x:row>
    <x:row r="347" ht="17" customHeight="1">
      <x:c r="A347" s="9" t="str">
        <x:v>2026-03-01</x:v>
      </x:c>
      <x:c r="B347" s="9" t="str">
        <x:v>Technology</x:v>
      </x:c>
      <x:c r="C347" s="107" t="n">
        <x:v>0</x:v>
      </x:c>
      <x:c r="D347" s="107" t="n">
        <x:v>0.42604167</x:v>
      </x:c>
      <x:c r="E347" s="107" t="n">
        <x:v>0</x:v>
      </x:c>
      <x:c r="F347" s="107" t="n">
        <x:v>9.129697519999999</x:v>
      </x:c>
      <x:c r="G347" s="107" t="n">
        <x:v>0</x:v>
      </x:c>
      <x:c r="H347" s="107" t="n">
        <x:v>0</x:v>
      </x:c>
      <x:c r="I347" s="107" t="n">
        <x:v>0</x:v>
      </x:c>
      <x:c r="J347" s="107" t="n">
        <x:v>-9.129697519999999</x:v>
      </x:c>
      <x:c r="K347" s="107" t="n">
        <x:v>-9.555739189999999</x:v>
      </x:c>
      <x:c r="L347" s="107" t="n">
        <x:v>-9.555739189999999</x:v>
      </x:c>
      <x:c r="M347" s="107" t="n">
        <x:v>-9.555739189999999</x:v>
      </x:c>
      <x:c r="N347" s="108"/>
      <x:c r="O347" s="108"/>
      <x:c r="P347" s="108"/>
      <x:c r="Q347" s="9" t="str">
        <x:v>Forecast</x:v>
      </x:c>
      <x:c r="R347" s="9" t="n">
        <x:v>2026</x:v>
      </x:c>
      <x:c r="S347" s="9" t="str">
        <x:v>2026-03</x:v>
      </x:c>
    </x:row>
    <x:row r="348" ht="17" customHeight="1">
      <x:c r="A348" s="9" t="str">
        <x:v>2026-04-01</x:v>
      </x:c>
      <x:c r="B348" s="9" t="str">
        <x:v>Customer Success</x:v>
      </x:c>
      <x:c r="C348" s="107" t="n">
        <x:v>2.04762368</x:v>
      </x:c>
      <x:c r="D348" s="107" t="n">
        <x:v>0.19479167</x:v>
      </x:c>
      <x:c r="E348" s="107" t="n">
        <x:v>0</x:v>
      </x:c>
      <x:c r="F348" s="107" t="n">
        <x:v>3.53202974</x:v>
      </x:c>
      <x:c r="G348" s="107" t="n">
        <x:v>8.12134074</x:v>
      </x:c>
      <x:c r="H348" s="107" t="n">
        <x:v>0</x:v>
      </x:c>
      <x:c r="I348" s="107" t="n">
        <x:v>6.073717060000001</x:v>
      </x:c>
      <x:c r="J348" s="107" t="n">
        <x:v>2.5416873200000003</x:v>
      </x:c>
      <x:c r="K348" s="107" t="n">
        <x:v>2.3468956500000004</x:v>
      </x:c>
      <x:c r="L348" s="107" t="n">
        <x:v>2.3468956500000004</x:v>
      </x:c>
      <x:c r="M348" s="107" t="n">
        <x:v>2.3468956500000004</x:v>
      </x:c>
      <x:c r="N348" s="108" t="n">
        <x:v>0.7478712264940629</x:v>
      </x:c>
      <x:c r="O348" s="108" t="n">
        <x:v>0.312964004512388</x:v>
      </x:c>
      <x:c r="P348" s="108" t="n">
        <x:v>0.2889788429194759</x:v>
      </x:c>
      <x:c r="Q348" s="9" t="str">
        <x:v>Forecast</x:v>
      </x:c>
      <x:c r="R348" s="9" t="n">
        <x:v>2026</x:v>
      </x:c>
      <x:c r="S348" s="9" t="str">
        <x:v>2026-04</x:v>
      </x:c>
    </x:row>
    <x:row r="349" ht="17" customHeight="1">
      <x:c r="A349" s="9" t="str">
        <x:v>2026-04-01</x:v>
      </x:c>
      <x:c r="B349" s="9" t="str">
        <x:v>Finance &amp; Corporate</x:v>
      </x:c>
      <x:c r="C349" s="107" t="n">
        <x:v>0</x:v>
      </x:c>
      <x:c r="D349" s="107" t="n">
        <x:v>0.17</x:v>
      </x:c>
      <x:c r="E349" s="107" t="n">
        <x:v>0.50022672</x:v>
      </x:c>
      <x:c r="F349" s="107" t="n">
        <x:v>7.287657479999999</x:v>
      </x:c>
      <x:c r="G349" s="107" t="n">
        <x:v>0</x:v>
      </x:c>
      <x:c r="H349" s="107" t="n">
        <x:v>2.49067492</x:v>
      </x:c>
      <x:c r="I349" s="107" t="n">
        <x:v>0</x:v>
      </x:c>
      <x:c r="J349" s="107" t="n">
        <x:v>-7.287657479999999</x:v>
      </x:c>
      <x:c r="K349" s="107" t="n">
        <x:v>-7.45765748</x:v>
      </x:c>
      <x:c r="L349" s="107" t="n">
        <x:v>-7.9578842</x:v>
      </x:c>
      <x:c r="M349" s="107" t="n">
        <x:v>-10.448559119999999</x:v>
      </x:c>
      <x:c r="N349" s="108"/>
      <x:c r="O349" s="108"/>
      <x:c r="P349" s="108"/>
      <x:c r="Q349" s="9" t="str">
        <x:v>Forecast</x:v>
      </x:c>
      <x:c r="R349" s="9" t="n">
        <x:v>2026</x:v>
      </x:c>
      <x:c r="S349" s="9" t="str">
        <x:v>2026-04</x:v>
      </x:c>
    </x:row>
    <x:row r="350" ht="17" customHeight="1">
      <x:c r="A350" s="9" t="str">
        <x:v>2026-04-01</x:v>
      </x:c>
      <x:c r="B350" s="9" t="str">
        <x:v>Marketing</x:v>
      </x:c>
      <x:c r="C350" s="107" t="n">
        <x:v>0</x:v>
      </x:c>
      <x:c r="D350" s="107" t="n">
        <x:v>0</x:v>
      </x:c>
      <x:c r="E350" s="107" t="n">
        <x:v>0</x:v>
      </x:c>
      <x:c r="F350" s="107" t="n">
        <x:v>7.73073838</x:v>
      </x:c>
      <x:c r="G350" s="107" t="n">
        <x:v>0</x:v>
      </x:c>
      <x:c r="H350" s="107" t="n">
        <x:v>0</x:v>
      </x:c>
      <x:c r="I350" s="107" t="n">
        <x:v>0</x:v>
      </x:c>
      <x:c r="J350" s="107" t="n">
        <x:v>-7.73073838</x:v>
      </x:c>
      <x:c r="K350" s="107" t="n">
        <x:v>-7.73073838</x:v>
      </x:c>
      <x:c r="L350" s="107" t="n">
        <x:v>-7.73073838</x:v>
      </x:c>
      <x:c r="M350" s="107" t="n">
        <x:v>-7.73073838</x:v>
      </x:c>
      <x:c r="N350" s="108"/>
      <x:c r="O350" s="108"/>
      <x:c r="P350" s="108"/>
      <x:c r="Q350" s="9" t="str">
        <x:v>Forecast</x:v>
      </x:c>
      <x:c r="R350" s="9" t="n">
        <x:v>2026</x:v>
      </x:c>
      <x:c r="S350" s="9" t="str">
        <x:v>2026-04</x:v>
      </x:c>
    </x:row>
    <x:row r="351" ht="17" customHeight="1">
      <x:c r="A351" s="9" t="str">
        <x:v>2026-04-01</x:v>
      </x:c>
      <x:c r="B351" s="9" t="str">
        <x:v>Operations</x:v>
      </x:c>
      <x:c r="C351" s="107" t="n">
        <x:v>0</x:v>
      </x:c>
      <x:c r="D351" s="107" t="n">
        <x:v>0.22083333</x:v>
      </x:c>
      <x:c r="E351" s="107" t="n">
        <x:v>0</x:v>
      </x:c>
      <x:c r="F351" s="107" t="n">
        <x:v>10.66877266</x:v>
      </x:c>
      <x:c r="G351" s="107" t="n">
        <x:v>0</x:v>
      </x:c>
      <x:c r="H351" s="107" t="n">
        <x:v>0</x:v>
      </x:c>
      <x:c r="I351" s="107" t="n">
        <x:v>0</x:v>
      </x:c>
      <x:c r="J351" s="107" t="n">
        <x:v>-10.66877266</x:v>
      </x:c>
      <x:c r="K351" s="107" t="n">
        <x:v>-10.88960599</x:v>
      </x:c>
      <x:c r="L351" s="107" t="n">
        <x:v>-10.88960599</x:v>
      </x:c>
      <x:c r="M351" s="107" t="n">
        <x:v>-10.88960599</x:v>
      </x:c>
      <x:c r="N351" s="108"/>
      <x:c r="O351" s="108"/>
      <x:c r="P351" s="108"/>
      <x:c r="Q351" s="9" t="str">
        <x:v>Forecast</x:v>
      </x:c>
      <x:c r="R351" s="9" t="n">
        <x:v>2026</x:v>
      </x:c>
      <x:c r="S351" s="9" t="str">
        <x:v>2026-04</x:v>
      </x:c>
    </x:row>
    <x:row r="352" ht="17" customHeight="1">
      <x:c r="A352" s="9" t="str">
        <x:v>2026-04-01</x:v>
      </x:c>
      <x:c r="B352" s="9" t="str">
        <x:v>Sales</x:v>
      </x:c>
      <x:c r="C352" s="107" t="n">
        <x:v>71.31149575</x:v>
      </x:c>
      <x:c r="D352" s="107" t="n">
        <x:v>0.24166667</x:v>
      </x:c>
      <x:c r="E352" s="107" t="n">
        <x:v>0</x:v>
      </x:c>
      <x:c r="F352" s="107" t="n">
        <x:v>23.12769959</x:v>
      </x:c>
      <x:c r="G352" s="107" t="n">
        <x:v>138.71560525</x:v>
      </x:c>
      <x:c r="H352" s="107" t="n">
        <x:v>0</x:v>
      </x:c>
      <x:c r="I352" s="107" t="n">
        <x:v>67.4041095</x:v>
      </x:c>
      <x:c r="J352" s="107" t="n">
        <x:v>44.27640991</x:v>
      </x:c>
      <x:c r="K352" s="107" t="n">
        <x:v>44.03474324</x:v>
      </x:c>
      <x:c r="L352" s="107" t="n">
        <x:v>44.03474324</x:v>
      </x:c>
      <x:c r="M352" s="107" t="n">
        <x:v>44.03474324</x:v>
      </x:c>
      <x:c r="N352" s="108" t="n">
        <x:v>0.485915837504519</x:v>
      </x:c>
      <x:c r="O352" s="108" t="n">
        <x:v>0.31918838424994</x:v>
      </x:c>
      <x:c r="P352" s="108" t="n">
        <x:v>0.31744621061659534</x:v>
      </x:c>
      <x:c r="Q352" s="9" t="str">
        <x:v>Forecast</x:v>
      </x:c>
      <x:c r="R352" s="9" t="n">
        <x:v>2026</x:v>
      </x:c>
      <x:c r="S352" s="9" t="str">
        <x:v>2026-04</x:v>
      </x:c>
    </x:row>
    <x:row r="353" ht="17" customHeight="1">
      <x:c r="A353" s="9" t="str">
        <x:v>2026-04-01</x:v>
      </x:c>
      <x:c r="B353" s="9" t="str">
        <x:v>Technology</x:v>
      </x:c>
      <x:c r="C353" s="107" t="n">
        <x:v>0</x:v>
      </x:c>
      <x:c r="D353" s="107" t="n">
        <x:v>0.42604167</x:v>
      </x:c>
      <x:c r="E353" s="107" t="n">
        <x:v>0</x:v>
      </x:c>
      <x:c r="F353" s="107" t="n">
        <x:v>9.41466898</x:v>
      </x:c>
      <x:c r="G353" s="107" t="n">
        <x:v>0</x:v>
      </x:c>
      <x:c r="H353" s="107" t="n">
        <x:v>0</x:v>
      </x:c>
      <x:c r="I353" s="107" t="n">
        <x:v>0</x:v>
      </x:c>
      <x:c r="J353" s="107" t="n">
        <x:v>-9.41466898</x:v>
      </x:c>
      <x:c r="K353" s="107" t="n">
        <x:v>-9.84071065</x:v>
      </x:c>
      <x:c r="L353" s="107" t="n">
        <x:v>-9.84071065</x:v>
      </x:c>
      <x:c r="M353" s="107" t="n">
        <x:v>-9.84071065</x:v>
      </x:c>
      <x:c r="N353" s="108"/>
      <x:c r="O353" s="108"/>
      <x:c r="P353" s="108"/>
      <x:c r="Q353" s="9" t="str">
        <x:v>Forecast</x:v>
      </x:c>
      <x:c r="R353" s="9" t="n">
        <x:v>2026</x:v>
      </x:c>
      <x:c r="S353" s="9" t="str">
        <x:v>2026-04</x:v>
      </x:c>
    </x:row>
    <x:row r="354" ht="17" customHeight="1">
      <x:c r="A354" s="9" t="str">
        <x:v>2026-05-01</x:v>
      </x:c>
      <x:c r="B354" s="9" t="str">
        <x:v>Customer Success</x:v>
      </x:c>
      <x:c r="C354" s="107" t="n">
        <x:v>2.14695571</x:v>
      </x:c>
      <x:c r="D354" s="107" t="n">
        <x:v>0.19479167</x:v>
      </x:c>
      <x:c r="E354" s="107" t="n">
        <x:v>0</x:v>
      </x:c>
      <x:c r="F354" s="107" t="n">
        <x:v>3.5352907200000003</x:v>
      </x:c>
      <x:c r="G354" s="107" t="n">
        <x:v>8.43886352</x:v>
      </x:c>
      <x:c r="H354" s="107" t="n">
        <x:v>0</x:v>
      </x:c>
      <x:c r="I354" s="107" t="n">
        <x:v>6.29190781</x:v>
      </x:c>
      <x:c r="J354" s="107" t="n">
        <x:v>2.7566170899999993</x:v>
      </x:c>
      <x:c r="K354" s="107" t="n">
        <x:v>2.5618254199999995</x:v>
      </x:c>
      <x:c r="L354" s="107" t="n">
        <x:v>2.5618254199999995</x:v>
      </x:c>
      <x:c r="M354" s="107" t="n">
        <x:v>2.5618254199999995</x:v>
      </x:c>
      <x:c r="N354" s="108" t="n">
        <x:v>0.7455871036530284</x:v>
      </x:c>
      <x:c r="O354" s="108" t="n">
        <x:v>0.32665738502191105</x:v>
      </x:c>
      <x:c r="P354" s="108" t="n">
        <x:v>0.30357469509117024</x:v>
      </x:c>
      <x:c r="Q354" s="9" t="str">
        <x:v>Forecast</x:v>
      </x:c>
      <x:c r="R354" s="9" t="n">
        <x:v>2026</x:v>
      </x:c>
      <x:c r="S354" s="9" t="str">
        <x:v>2026-05</x:v>
      </x:c>
    </x:row>
    <x:row r="355" ht="17" customHeight="1">
      <x:c r="A355" s="9" t="str">
        <x:v>2026-05-01</x:v>
      </x:c>
      <x:c r="B355" s="9" t="str">
        <x:v>Finance &amp; Corporate</x:v>
      </x:c>
      <x:c r="C355" s="107" t="n">
        <x:v>0</x:v>
      </x:c>
      <x:c r="D355" s="107" t="n">
        <x:v>0.17</x:v>
      </x:c>
      <x:c r="E355" s="107" t="n">
        <x:v>0.50022672</x:v>
      </x:c>
      <x:c r="F355" s="107" t="n">
        <x:v>7.1676914</x:v>
      </x:c>
      <x:c r="G355" s="107" t="n">
        <x:v>0</x:v>
      </x:c>
      <x:c r="H355" s="107" t="n">
        <x:v>2.6021447400000004</x:v>
      </x:c>
      <x:c r="I355" s="107" t="n">
        <x:v>0</x:v>
      </x:c>
      <x:c r="J355" s="107" t="n">
        <x:v>-7.1676914</x:v>
      </x:c>
      <x:c r="K355" s="107" t="n">
        <x:v>-7.3376914</x:v>
      </x:c>
      <x:c r="L355" s="107" t="n">
        <x:v>-7.837918119999999</x:v>
      </x:c>
      <x:c r="M355" s="107" t="n">
        <x:v>-10.44006286</x:v>
      </x:c>
      <x:c r="N355" s="108"/>
      <x:c r="O355" s="108"/>
      <x:c r="P355" s="108"/>
      <x:c r="Q355" s="9" t="str">
        <x:v>Forecast</x:v>
      </x:c>
      <x:c r="R355" s="9" t="n">
        <x:v>2026</x:v>
      </x:c>
      <x:c r="S355" s="9" t="str">
        <x:v>2026-05</x:v>
      </x:c>
    </x:row>
    <x:row r="356" ht="17" customHeight="1">
      <x:c r="A356" s="9" t="str">
        <x:v>2026-05-01</x:v>
      </x:c>
      <x:c r="B356" s="9" t="str">
        <x:v>Marketing</x:v>
      </x:c>
      <x:c r="C356" s="107" t="n">
        <x:v>0</x:v>
      </x:c>
      <x:c r="D356" s="107" t="n">
        <x:v>0</x:v>
      </x:c>
      <x:c r="E356" s="107" t="n">
        <x:v>0</x:v>
      </x:c>
      <x:c r="F356" s="107" t="n">
        <x:v>7.70576105</x:v>
      </x:c>
      <x:c r="G356" s="107" t="n">
        <x:v>0</x:v>
      </x:c>
      <x:c r="H356" s="107" t="n">
        <x:v>0</x:v>
      </x:c>
      <x:c r="I356" s="107" t="n">
        <x:v>0</x:v>
      </x:c>
      <x:c r="J356" s="107" t="n">
        <x:v>-7.70576105</x:v>
      </x:c>
      <x:c r="K356" s="107" t="n">
        <x:v>-7.70576105</x:v>
      </x:c>
      <x:c r="L356" s="107" t="n">
        <x:v>-7.70576105</x:v>
      </x:c>
      <x:c r="M356" s="107" t="n">
        <x:v>-7.70576105</x:v>
      </x:c>
      <x:c r="N356" s="108"/>
      <x:c r="O356" s="108"/>
      <x:c r="P356" s="108"/>
      <x:c r="Q356" s="9" t="str">
        <x:v>Forecast</x:v>
      </x:c>
      <x:c r="R356" s="9" t="n">
        <x:v>2026</x:v>
      </x:c>
      <x:c r="S356" s="9" t="str">
        <x:v>2026-05</x:v>
      </x:c>
    </x:row>
    <x:row r="357" ht="17" customHeight="1">
      <x:c r="A357" s="9" t="str">
        <x:v>2026-05-01</x:v>
      </x:c>
      <x:c r="B357" s="9" t="str">
        <x:v>Operations</x:v>
      </x:c>
      <x:c r="C357" s="107" t="n">
        <x:v>0</x:v>
      </x:c>
      <x:c r="D357" s="107" t="n">
        <x:v>0.22083333</x:v>
      </x:c>
      <x:c r="E357" s="107" t="n">
        <x:v>0</x:v>
      </x:c>
      <x:c r="F357" s="107" t="n">
        <x:v>10.77351653</x:v>
      </x:c>
      <x:c r="G357" s="107" t="n">
        <x:v>0</x:v>
      </x:c>
      <x:c r="H357" s="107" t="n">
        <x:v>0</x:v>
      </x:c>
      <x:c r="I357" s="107" t="n">
        <x:v>0</x:v>
      </x:c>
      <x:c r="J357" s="107" t="n">
        <x:v>-10.77351653</x:v>
      </x:c>
      <x:c r="K357" s="107" t="n">
        <x:v>-10.99434986</x:v>
      </x:c>
      <x:c r="L357" s="107" t="n">
        <x:v>-10.99434986</x:v>
      </x:c>
      <x:c r="M357" s="107" t="n">
        <x:v>-10.99434986</x:v>
      </x:c>
      <x:c r="N357" s="108"/>
      <x:c r="O357" s="108"/>
      <x:c r="P357" s="108"/>
      <x:c r="Q357" s="9" t="str">
        <x:v>Forecast</x:v>
      </x:c>
      <x:c r="R357" s="9" t="n">
        <x:v>2026</x:v>
      </x:c>
      <x:c r="S357" s="9" t="str">
        <x:v>2026-05</x:v>
      </x:c>
    </x:row>
    <x:row r="358" ht="17" customHeight="1">
      <x:c r="A358" s="9" t="str">
        <x:v>2026-05-01</x:v>
      </x:c>
      <x:c r="B358" s="9" t="str">
        <x:v>Sales</x:v>
      </x:c>
      <x:c r="C358" s="107" t="n">
        <x:v>71.41843625</x:v>
      </x:c>
      <x:c r="D358" s="107" t="n">
        <x:v>0.24166667</x:v>
      </x:c>
      <x:c r="E358" s="107" t="n">
        <x:v>0</x:v>
      </x:c>
      <x:c r="F358" s="107" t="n">
        <x:v>23.23793921</x:v>
      </x:c>
      <x:c r="G358" s="107" t="n">
        <x:v>139.06495113999998</x:v>
      </x:c>
      <x:c r="H358" s="107" t="n">
        <x:v>0</x:v>
      </x:c>
      <x:c r="I358" s="107" t="n">
        <x:v>67.64651488999999</x:v>
      </x:c>
      <x:c r="J358" s="107" t="n">
        <x:v>44.408575679999984</x:v>
      </x:c>
      <x:c r="K358" s="107" t="n">
        <x:v>44.16690900999998</x:v>
      </x:c>
      <x:c r="L358" s="107" t="n">
        <x:v>44.16690900999998</x:v>
      </x:c>
      <x:c r="M358" s="107" t="n">
        <x:v>44.16690900999998</x:v>
      </x:c>
      <x:c r="N358" s="108" t="n">
        <x:v>0.4864382746008995</x:v>
      </x:c>
      <x:c r="O358" s="108" t="n">
        <x:v>0.31933693799879753</x:v>
      </x:c>
      <x:c r="P358" s="108" t="n">
        <x:v>0.31759914089018815</x:v>
      </x:c>
      <x:c r="Q358" s="9" t="str">
        <x:v>Forecast</x:v>
      </x:c>
      <x:c r="R358" s="9" t="n">
        <x:v>2026</x:v>
      </x:c>
      <x:c r="S358" s="9" t="str">
        <x:v>2026-05</x:v>
      </x:c>
    </x:row>
    <x:row r="359" ht="17" customHeight="1">
      <x:c r="A359" s="9" t="str">
        <x:v>2026-05-01</x:v>
      </x:c>
      <x:c r="B359" s="9" t="str">
        <x:v>Technology</x:v>
      </x:c>
      <x:c r="C359" s="107" t="n">
        <x:v>0</x:v>
      </x:c>
      <x:c r="D359" s="107" t="n">
        <x:v>0.42604167</x:v>
      </x:c>
      <x:c r="E359" s="107" t="n">
        <x:v>0</x:v>
      </x:c>
      <x:c r="F359" s="107" t="n">
        <x:v>9.356084789999999</x:v>
      </x:c>
      <x:c r="G359" s="107" t="n">
        <x:v>0</x:v>
      </x:c>
      <x:c r="H359" s="107" t="n">
        <x:v>0</x:v>
      </x:c>
      <x:c r="I359" s="107" t="n">
        <x:v>0</x:v>
      </x:c>
      <x:c r="J359" s="107" t="n">
        <x:v>-9.356084789999999</x:v>
      </x:c>
      <x:c r="K359" s="107" t="n">
        <x:v>-9.782126459999999</x:v>
      </x:c>
      <x:c r="L359" s="107" t="n">
        <x:v>-9.782126459999999</x:v>
      </x:c>
      <x:c r="M359" s="107" t="n">
        <x:v>-9.782126459999999</x:v>
      </x:c>
      <x:c r="N359" s="108"/>
      <x:c r="O359" s="108"/>
      <x:c r="P359" s="108"/>
      <x:c r="Q359" s="9" t="str">
        <x:v>Forecast</x:v>
      </x:c>
      <x:c r="R359" s="9" t="n">
        <x:v>2026</x:v>
      </x:c>
      <x:c r="S359" s="9" t="str">
        <x:v>2026-05</x:v>
      </x:c>
    </x:row>
    <x:row r="360" ht="17" customHeight="1">
      <x:c r="A360" s="9" t="str">
        <x:v>2026-06-01</x:v>
      </x:c>
      <x:c r="B360" s="9" t="str">
        <x:v>Customer Success</x:v>
      </x:c>
      <x:c r="C360" s="107" t="n">
        <x:v>2.09927065</x:v>
      </x:c>
      <x:c r="D360" s="107" t="n">
        <x:v>0.19479167</x:v>
      </x:c>
      <x:c r="E360" s="107" t="n">
        <x:v>0</x:v>
      </x:c>
      <x:c r="F360" s="107" t="n">
        <x:v>3.55779546</x:v>
      </x:c>
      <x:c r="G360" s="107" t="n">
        <x:v>8.2915537</x:v>
      </x:c>
      <x:c r="H360" s="107" t="n">
        <x:v>0</x:v>
      </x:c>
      <x:c r="I360" s="107" t="n">
        <x:v>6.19228305</x:v>
      </x:c>
      <x:c r="J360" s="107" t="n">
        <x:v>2.634487590000001</x:v>
      </x:c>
      <x:c r="K360" s="107" t="n">
        <x:v>2.439695920000001</x:v>
      </x:c>
      <x:c r="L360" s="107" t="n">
        <x:v>2.439695920000001</x:v>
      </x:c>
      <x:c r="M360" s="107" t="n">
        <x:v>2.439695920000001</x:v>
      </x:c>
      <x:c r="N360" s="108" t="n">
        <x:v>0.7468181807711142</x:v>
      </x:c>
      <x:c r="O360" s="108" t="n">
        <x:v>0.3177314753446029</x:v>
      </x:c>
      <x:c r="P360" s="108" t="n">
        <x:v>0.2942386925625291</x:v>
      </x:c>
      <x:c r="Q360" s="9" t="str">
        <x:v>Forecast</x:v>
      </x:c>
      <x:c r="R360" s="9" t="n">
        <x:v>2026</x:v>
      </x:c>
      <x:c r="S360" s="9" t="str">
        <x:v>2026-06</x:v>
      </x:c>
    </x:row>
    <x:row r="361" ht="17" customHeight="1">
      <x:c r="A361" s="9" t="str">
        <x:v>2026-06-01</x:v>
      </x:c>
      <x:c r="B361" s="9" t="str">
        <x:v>Finance &amp; Corporate</x:v>
      </x:c>
      <x:c r="C361" s="107" t="n">
        <x:v>0</x:v>
      </x:c>
      <x:c r="D361" s="107" t="n">
        <x:v>0.17</x:v>
      </x:c>
      <x:c r="E361" s="107" t="n">
        <x:v>0.50022672</x:v>
      </x:c>
      <x:c r="F361" s="107" t="n">
        <x:v>7.339223690000001</x:v>
      </x:c>
      <x:c r="G361" s="107" t="n">
        <x:v>0</x:v>
      </x:c>
      <x:c r="H361" s="107" t="n">
        <x:v>2.78384901</x:v>
      </x:c>
      <x:c r="I361" s="107" t="n">
        <x:v>0</x:v>
      </x:c>
      <x:c r="J361" s="107" t="n">
        <x:v>-7.339223690000001</x:v>
      </x:c>
      <x:c r="K361" s="107" t="n">
        <x:v>-7.509223690000001</x:v>
      </x:c>
      <x:c r="L361" s="107" t="n">
        <x:v>-8.00945041</x:v>
      </x:c>
      <x:c r="M361" s="107" t="n">
        <x:v>-10.79329942</x:v>
      </x:c>
      <x:c r="N361" s="108"/>
      <x:c r="O361" s="108"/>
      <x:c r="P361" s="108"/>
      <x:c r="Q361" s="9" t="str">
        <x:v>Forecast</x:v>
      </x:c>
      <x:c r="R361" s="9" t="n">
        <x:v>2026</x:v>
      </x:c>
      <x:c r="S361" s="9" t="str">
        <x:v>2026-06</x:v>
      </x:c>
    </x:row>
    <x:row r="362" ht="17" customHeight="1">
      <x:c r="A362" s="9" t="str">
        <x:v>2026-06-01</x:v>
      </x:c>
      <x:c r="B362" s="9" t="str">
        <x:v>Marketing</x:v>
      </x:c>
      <x:c r="C362" s="107" t="n">
        <x:v>0</x:v>
      </x:c>
      <x:c r="D362" s="107" t="n">
        <x:v>0</x:v>
      </x:c>
      <x:c r="E362" s="107" t="n">
        <x:v>0</x:v>
      </x:c>
      <x:c r="F362" s="107" t="n">
        <x:v>7.807641609999999</x:v>
      </x:c>
      <x:c r="G362" s="107" t="n">
        <x:v>0</x:v>
      </x:c>
      <x:c r="H362" s="107" t="n">
        <x:v>0</x:v>
      </x:c>
      <x:c r="I362" s="107" t="n">
        <x:v>0</x:v>
      </x:c>
      <x:c r="J362" s="107" t="n">
        <x:v>-7.807641609999999</x:v>
      </x:c>
      <x:c r="K362" s="107" t="n">
        <x:v>-7.807641609999999</x:v>
      </x:c>
      <x:c r="L362" s="107" t="n">
        <x:v>-7.807641609999999</x:v>
      </x:c>
      <x:c r="M362" s="107" t="n">
        <x:v>-7.807641609999999</x:v>
      </x:c>
      <x:c r="N362" s="108"/>
      <x:c r="O362" s="108"/>
      <x:c r="P362" s="108"/>
      <x:c r="Q362" s="9" t="str">
        <x:v>Forecast</x:v>
      </x:c>
      <x:c r="R362" s="9" t="n">
        <x:v>2026</x:v>
      </x:c>
      <x:c r="S362" s="9" t="str">
        <x:v>2026-06</x:v>
      </x:c>
    </x:row>
    <x:row r="363" ht="17" customHeight="1">
      <x:c r="A363" s="9" t="str">
        <x:v>2026-06-01</x:v>
      </x:c>
      <x:c r="B363" s="9" t="str">
        <x:v>Operations</x:v>
      </x:c>
      <x:c r="C363" s="107" t="n">
        <x:v>0</x:v>
      </x:c>
      <x:c r="D363" s="107" t="n">
        <x:v>0.22083333</x:v>
      </x:c>
      <x:c r="E363" s="107" t="n">
        <x:v>0</x:v>
      </x:c>
      <x:c r="F363" s="107" t="n">
        <x:v>10.743381150000001</x:v>
      </x:c>
      <x:c r="G363" s="107" t="n">
        <x:v>0</x:v>
      </x:c>
      <x:c r="H363" s="107" t="n">
        <x:v>0</x:v>
      </x:c>
      <x:c r="I363" s="107" t="n">
        <x:v>0</x:v>
      </x:c>
      <x:c r="J363" s="107" t="n">
        <x:v>-10.743381150000001</x:v>
      </x:c>
      <x:c r="K363" s="107" t="n">
        <x:v>-10.96421448</x:v>
      </x:c>
      <x:c r="L363" s="107" t="n">
        <x:v>-10.96421448</x:v>
      </x:c>
      <x:c r="M363" s="107" t="n">
        <x:v>-10.96421448</x:v>
      </x:c>
      <x:c r="N363" s="108"/>
      <x:c r="O363" s="108"/>
      <x:c r="P363" s="108"/>
      <x:c r="Q363" s="9" t="str">
        <x:v>Forecast</x:v>
      </x:c>
      <x:c r="R363" s="9" t="n">
        <x:v>2026</x:v>
      </x:c>
      <x:c r="S363" s="9" t="str">
        <x:v>2026-06</x:v>
      </x:c>
    </x:row>
    <x:row r="364" ht="17" customHeight="1">
      <x:c r="A364" s="9" t="str">
        <x:v>2026-06-01</x:v>
      </x:c>
      <x:c r="B364" s="9" t="str">
        <x:v>Sales</x:v>
      </x:c>
      <x:c r="C364" s="107" t="n">
        <x:v>71.77238553000001</x:v>
      </x:c>
      <x:c r="D364" s="107" t="n">
        <x:v>0.24166667</x:v>
      </x:c>
      <x:c r="E364" s="107" t="n">
        <x:v>0</x:v>
      </x:c>
      <x:c r="F364" s="107" t="n">
        <x:v>23.66461665</x:v>
      </x:c>
      <x:c r="G364" s="107" t="n">
        <x:v>141.15609407</x:v>
      </x:c>
      <x:c r="H364" s="107" t="n">
        <x:v>0</x:v>
      </x:c>
      <x:c r="I364" s="107" t="n">
        <x:v>69.38370853999999</x:v>
      </x:c>
      <x:c r="J364" s="107" t="n">
        <x:v>45.719091889999994</x:v>
      </x:c>
      <x:c r="K364" s="107" t="n">
        <x:v>45.47742521999999</x:v>
      </x:c>
      <x:c r="L364" s="107" t="n">
        <x:v>45.47742521999999</x:v>
      </x:c>
      <x:c r="M364" s="107" t="n">
        <x:v>45.47742521999999</x:v>
      </x:c>
      <x:c r="N364" s="108" t="n">
        <x:v>0.4915388811027335</x:v>
      </x:c>
      <x:c r="O364" s="108" t="n">
        <x:v>0.3238903158323981</x:v>
      </x:c>
      <x:c r="P364" s="108" t="n">
        <x:v>0.3221782631463826</x:v>
      </x:c>
      <x:c r="Q364" s="9" t="str">
        <x:v>Forecast</x:v>
      </x:c>
      <x:c r="R364" s="9" t="n">
        <x:v>2026</x:v>
      </x:c>
      <x:c r="S364" s="9" t="str">
        <x:v>2026-06</x:v>
      </x:c>
    </x:row>
    <x:row r="365" ht="17" customHeight="1">
      <x:c r="A365" s="9" t="str">
        <x:v>2026-06-01</x:v>
      </x:c>
      <x:c r="B365" s="9" t="str">
        <x:v>Technology</x:v>
      </x:c>
      <x:c r="C365" s="107" t="n">
        <x:v>0</x:v>
      </x:c>
      <x:c r="D365" s="107" t="n">
        <x:v>0.42604167</x:v>
      </x:c>
      <x:c r="E365" s="107" t="n">
        <x:v>0</x:v>
      </x:c>
      <x:c r="F365" s="107" t="n">
        <x:v>9.574376939999999</x:v>
      </x:c>
      <x:c r="G365" s="107" t="n">
        <x:v>0</x:v>
      </x:c>
      <x:c r="H365" s="107" t="n">
        <x:v>0</x:v>
      </x:c>
      <x:c r="I365" s="107" t="n">
        <x:v>0</x:v>
      </x:c>
      <x:c r="J365" s="107" t="n">
        <x:v>-9.574376939999999</x:v>
      </x:c>
      <x:c r="K365" s="107" t="n">
        <x:v>-10.000418609999999</x:v>
      </x:c>
      <x:c r="L365" s="107" t="n">
        <x:v>-10.000418609999999</x:v>
      </x:c>
      <x:c r="M365" s="107" t="n">
        <x:v>-10.000418609999999</x:v>
      </x:c>
      <x:c r="N365" s="108"/>
      <x:c r="O365" s="108"/>
      <x:c r="P365" s="108"/>
      <x:c r="Q365" s="9" t="str">
        <x:v>Forecast</x:v>
      </x:c>
      <x:c r="R365" s="9" t="n">
        <x:v>2026</x:v>
      </x:c>
      <x:c r="S365" s="9" t="str">
        <x:v>2026-06</x:v>
      </x:c>
    </x:row>
    <x:row r="366" ht="17" customHeight="1">
      <x:c r="A366" s="9" t="str">
        <x:v>2026-07-01</x:v>
      </x:c>
      <x:c r="B366" s="9" t="str">
        <x:v>Customer Success</x:v>
      </x:c>
      <x:c r="C366" s="107" t="n">
        <x:v>2.26616193</x:v>
      </x:c>
      <x:c r="D366" s="107" t="n">
        <x:v>0.19479167</x:v>
      </x:c>
      <x:c r="E366" s="107" t="n">
        <x:v>0</x:v>
      </x:c>
      <x:c r="F366" s="107" t="n">
        <x:v>3.52250066</x:v>
      </x:c>
      <x:c r="G366" s="107" t="n">
        <x:v>8.9941585</x:v>
      </x:c>
      <x:c r="H366" s="107" t="n">
        <x:v>0</x:v>
      </x:c>
      <x:c r="I366" s="107" t="n">
        <x:v>6.72799657</x:v>
      </x:c>
      <x:c r="J366" s="107" t="n">
        <x:v>3.2054959100000002</x:v>
      </x:c>
      <x:c r="K366" s="107" t="n">
        <x:v>3.0107042400000004</x:v>
      </x:c>
      <x:c r="L366" s="107" t="n">
        <x:v>3.0107042400000004</x:v>
      </x:c>
      <x:c r="M366" s="107" t="n">
        <x:v>3.0107042400000004</x:v>
      </x:c>
      <x:c r="N366" s="108" t="n">
        <x:v>0.7480406944129349</x:v>
      </x:c>
      <x:c r="O366" s="108" t="n">
        <x:v>0.3563975340216653</x:v>
      </x:c>
      <x:c r="P366" s="108" t="n">
        <x:v>0.3347399581628454</x:v>
      </x:c>
      <x:c r="Q366" s="9" t="str">
        <x:v>Forecast</x:v>
      </x:c>
      <x:c r="R366" s="9" t="n">
        <x:v>2026</x:v>
      </x:c>
      <x:c r="S366" s="9" t="str">
        <x:v>2026-07</x:v>
      </x:c>
    </x:row>
    <x:row r="367" ht="17" customHeight="1">
      <x:c r="A367" s="9" t="str">
        <x:v>2026-07-01</x:v>
      </x:c>
      <x:c r="B367" s="9" t="str">
        <x:v>Finance &amp; Corporate</x:v>
      </x:c>
      <x:c r="C367" s="107" t="n">
        <x:v>0</x:v>
      </x:c>
      <x:c r="D367" s="107" t="n">
        <x:v>0.17</x:v>
      </x:c>
      <x:c r="E367" s="107" t="n">
        <x:v>0.45303552</x:v>
      </x:c>
      <x:c r="F367" s="107" t="n">
        <x:v>7.154514140000001</x:v>
      </x:c>
      <x:c r="G367" s="107" t="n">
        <x:v>0</x:v>
      </x:c>
      <x:c r="H367" s="107" t="n">
        <x:v>2.82897548</x:v>
      </x:c>
      <x:c r="I367" s="107" t="n">
        <x:v>0</x:v>
      </x:c>
      <x:c r="J367" s="107" t="n">
        <x:v>-7.154514140000001</x:v>
      </x:c>
      <x:c r="K367" s="107" t="n">
        <x:v>-7.324514140000001</x:v>
      </x:c>
      <x:c r="L367" s="107" t="n">
        <x:v>-7.77754966</x:v>
      </x:c>
      <x:c r="M367" s="107" t="n">
        <x:v>-10.60652514</x:v>
      </x:c>
      <x:c r="N367" s="108"/>
      <x:c r="O367" s="108"/>
      <x:c r="P367" s="108"/>
      <x:c r="Q367" s="9" t="str">
        <x:v>Forecast</x:v>
      </x:c>
      <x:c r="R367" s="9" t="n">
        <x:v>2026</x:v>
      </x:c>
      <x:c r="S367" s="9" t="str">
        <x:v>2026-07</x:v>
      </x:c>
    </x:row>
    <x:row r="368" ht="17" customHeight="1">
      <x:c r="A368" s="9" t="str">
        <x:v>2026-07-01</x:v>
      </x:c>
      <x:c r="B368" s="9" t="str">
        <x:v>Marketing</x:v>
      </x:c>
      <x:c r="C368" s="107" t="n">
        <x:v>0</x:v>
      </x:c>
      <x:c r="D368" s="107" t="n">
        <x:v>0</x:v>
      </x:c>
      <x:c r="E368" s="107" t="n">
        <x:v>0</x:v>
      </x:c>
      <x:c r="F368" s="107" t="n">
        <x:v>7.6309347</x:v>
      </x:c>
      <x:c r="G368" s="107" t="n">
        <x:v>0</x:v>
      </x:c>
      <x:c r="H368" s="107" t="n">
        <x:v>0</x:v>
      </x:c>
      <x:c r="I368" s="107" t="n">
        <x:v>0</x:v>
      </x:c>
      <x:c r="J368" s="107" t="n">
        <x:v>-7.6309347</x:v>
      </x:c>
      <x:c r="K368" s="107" t="n">
        <x:v>-7.6309347</x:v>
      </x:c>
      <x:c r="L368" s="107" t="n">
        <x:v>-7.6309347</x:v>
      </x:c>
      <x:c r="M368" s="107" t="n">
        <x:v>-7.6309347</x:v>
      </x:c>
      <x:c r="N368" s="108"/>
      <x:c r="O368" s="108"/>
      <x:c r="P368" s="108"/>
      <x:c r="Q368" s="9" t="str">
        <x:v>Forecast</x:v>
      </x:c>
      <x:c r="R368" s="9" t="n">
        <x:v>2026</x:v>
      </x:c>
      <x:c r="S368" s="9" t="str">
        <x:v>2026-07</x:v>
      </x:c>
    </x:row>
    <x:row r="369" ht="17" customHeight="1">
      <x:c r="A369" s="9" t="str">
        <x:v>2026-07-01</x:v>
      </x:c>
      <x:c r="B369" s="9" t="str">
        <x:v>Operations</x:v>
      </x:c>
      <x:c r="C369" s="107" t="n">
        <x:v>0</x:v>
      </x:c>
      <x:c r="D369" s="107" t="n">
        <x:v>0.22083333</x:v>
      </x:c>
      <x:c r="E369" s="107" t="n">
        <x:v>0</x:v>
      </x:c>
      <x:c r="F369" s="107" t="n">
        <x:v>10.4126297</x:v>
      </x:c>
      <x:c r="G369" s="107" t="n">
        <x:v>0</x:v>
      </x:c>
      <x:c r="H369" s="107" t="n">
        <x:v>0</x:v>
      </x:c>
      <x:c r="I369" s="107" t="n">
        <x:v>0</x:v>
      </x:c>
      <x:c r="J369" s="107" t="n">
        <x:v>-10.4126297</x:v>
      </x:c>
      <x:c r="K369" s="107" t="n">
        <x:v>-10.63346303</x:v>
      </x:c>
      <x:c r="L369" s="107" t="n">
        <x:v>-10.63346303</x:v>
      </x:c>
      <x:c r="M369" s="107" t="n">
        <x:v>-10.63346303</x:v>
      </x:c>
      <x:c r="N369" s="108"/>
      <x:c r="O369" s="108"/>
      <x:c r="P369" s="108"/>
      <x:c r="Q369" s="9" t="str">
        <x:v>Forecast</x:v>
      </x:c>
      <x:c r="R369" s="9" t="n">
        <x:v>2026</x:v>
      </x:c>
      <x:c r="S369" s="9" t="str">
        <x:v>2026-07</x:v>
      </x:c>
    </x:row>
    <x:row r="370" ht="17" customHeight="1">
      <x:c r="A370" s="9" t="str">
        <x:v>2026-07-01</x:v>
      </x:c>
      <x:c r="B370" s="9" t="str">
        <x:v>Sales</x:v>
      </x:c>
      <x:c r="C370" s="107" t="n">
        <x:v>69.05552713</x:v>
      </x:c>
      <x:c r="D370" s="107" t="n">
        <x:v>0.24166667</x:v>
      </x:c>
      <x:c r="E370" s="107" t="n">
        <x:v>0</x:v>
      </x:c>
      <x:c r="F370" s="107" t="n">
        <x:v>22.91283023</x:v>
      </x:c>
      <x:c r="G370" s="107" t="n">
        <x:v>136.26514319999998</x:v>
      </x:c>
      <x:c r="H370" s="107" t="n">
        <x:v>0</x:v>
      </x:c>
      <x:c r="I370" s="107" t="n">
        <x:v>67.20961607</x:v>
      </x:c>
      <x:c r="J370" s="107" t="n">
        <x:v>44.29678583999999</x:v>
      </x:c>
      <x:c r="K370" s="107" t="n">
        <x:v>44.05511916999998</x:v>
      </x:c>
      <x:c r="L370" s="107" t="n">
        <x:v>44.05511916999998</x:v>
      </x:c>
      <x:c r="M370" s="107" t="n">
        <x:v>44.05511916999998</x:v>
      </x:c>
      <x:c r="N370" s="108" t="n">
        <x:v>0.49322676725444486</x:v>
      </x:c>
      <x:c r="O370" s="108" t="n">
        <x:v>0.32507789446186114</x:v>
      </x:c>
      <x:c r="P370" s="108" t="n">
        <x:v>0.32330439124361476</x:v>
      </x:c>
      <x:c r="Q370" s="9" t="str">
        <x:v>Forecast</x:v>
      </x:c>
      <x:c r="R370" s="9" t="n">
        <x:v>2026</x:v>
      </x:c>
      <x:c r="S370" s="9" t="str">
        <x:v>2026-07</x:v>
      </x:c>
    </x:row>
    <x:row r="371" ht="17" customHeight="1">
      <x:c r="A371" s="9" t="str">
        <x:v>2026-07-01</x:v>
      </x:c>
      <x:c r="B371" s="9" t="str">
        <x:v>Technology</x:v>
      </x:c>
      <x:c r="C371" s="107" t="n">
        <x:v>0</x:v>
      </x:c>
      <x:c r="D371" s="107" t="n">
        <x:v>0.42604167</x:v>
      </x:c>
      <x:c r="E371" s="107" t="n">
        <x:v>0</x:v>
      </x:c>
      <x:c r="F371" s="107" t="n">
        <x:v>9.28193244</x:v>
      </x:c>
      <x:c r="G371" s="107" t="n">
        <x:v>0</x:v>
      </x:c>
      <x:c r="H371" s="107" t="n">
        <x:v>0</x:v>
      </x:c>
      <x:c r="I371" s="107" t="n">
        <x:v>0</x:v>
      </x:c>
      <x:c r="J371" s="107" t="n">
        <x:v>-9.28193244</x:v>
      </x:c>
      <x:c r="K371" s="107" t="n">
        <x:v>-9.707974109999999</x:v>
      </x:c>
      <x:c r="L371" s="107" t="n">
        <x:v>-9.707974109999999</x:v>
      </x:c>
      <x:c r="M371" s="107" t="n">
        <x:v>-9.707974109999999</x:v>
      </x:c>
      <x:c r="N371" s="108"/>
      <x:c r="O371" s="108"/>
      <x:c r="P371" s="108"/>
      <x:c r="Q371" s="9" t="str">
        <x:v>Forecast</x:v>
      </x:c>
      <x:c r="R371" s="9" t="n">
        <x:v>2026</x:v>
      </x:c>
      <x:c r="S371" s="9" t="str">
        <x:v>2026-07</x:v>
      </x:c>
    </x:row>
    <x:row r="372" ht="17" customHeight="1">
      <x:c r="A372" s="9" t="str">
        <x:v>2026-08-01</x:v>
      </x:c>
      <x:c r="B372" s="9" t="str">
        <x:v>Customer Success</x:v>
      </x:c>
      <x:c r="C372" s="107" t="n">
        <x:v>2.33723788</x:v>
      </x:c>
      <x:c r="D372" s="107" t="n">
        <x:v>0.19479167</x:v>
      </x:c>
      <x:c r="E372" s="107" t="n">
        <x:v>0</x:v>
      </x:c>
      <x:c r="F372" s="107" t="n">
        <x:v>3.5487885300000004</x:v>
      </x:c>
      <x:c r="G372" s="107" t="n">
        <x:v>9.27625151</x:v>
      </x:c>
      <x:c r="H372" s="107" t="n">
        <x:v>0</x:v>
      </x:c>
      <x:c r="I372" s="107" t="n">
        <x:v>6.93901363</x:v>
      </x:c>
      <x:c r="J372" s="107" t="n">
        <x:v>3.3902250999999994</x:v>
      </x:c>
      <x:c r="K372" s="107" t="n">
        <x:v>3.1954334299999996</x:v>
      </x:c>
      <x:c r="L372" s="107" t="n">
        <x:v>3.1954334299999996</x:v>
      </x:c>
      <x:c r="M372" s="107" t="n">
        <x:v>3.1954334299999996</x:v>
      </x:c>
      <x:c r="N372" s="108" t="n">
        <x:v>0.748040695373513</x:v>
      </x:c>
      <x:c r="O372" s="108" t="n">
        <x:v>0.3654736071294815</x:v>
      </x:c>
      <x:c r="P372" s="108" t="n">
        <x:v>0.34447464329263316</x:v>
      </x:c>
      <x:c r="Q372" s="9" t="str">
        <x:v>Forecast</x:v>
      </x:c>
      <x:c r="R372" s="9" t="n">
        <x:v>2026</x:v>
      </x:c>
      <x:c r="S372" s="9" t="str">
        <x:v>2026-08</x:v>
      </x:c>
    </x:row>
    <x:row r="373" ht="17" customHeight="1">
      <x:c r="A373" s="9" t="str">
        <x:v>2026-08-01</x:v>
      </x:c>
      <x:c r="B373" s="9" t="str">
        <x:v>Finance &amp; Corporate</x:v>
      </x:c>
      <x:c r="C373" s="107" t="n">
        <x:v>0</x:v>
      </x:c>
      <x:c r="D373" s="107" t="n">
        <x:v>0.17</x:v>
      </x:c>
      <x:c r="E373" s="107" t="n">
        <x:v>0.45303552</x:v>
      </x:c>
      <x:c r="F373" s="107" t="n">
        <x:v>7.1895193399999995</x:v>
      </x:c>
      <x:c r="G373" s="107" t="n">
        <x:v>0</x:v>
      </x:c>
      <x:c r="H373" s="107" t="n">
        <x:v>2.0290663600000003</x:v>
      </x:c>
      <x:c r="I373" s="107" t="n">
        <x:v>0</x:v>
      </x:c>
      <x:c r="J373" s="107" t="n">
        <x:v>-7.1895193399999995</x:v>
      </x:c>
      <x:c r="K373" s="107" t="n">
        <x:v>-7.359519339999999</x:v>
      </x:c>
      <x:c r="L373" s="107" t="n">
        <x:v>-7.81255486</x:v>
      </x:c>
      <x:c r="M373" s="107" t="n">
        <x:v>-9.841621219999999</x:v>
      </x:c>
      <x:c r="N373" s="108"/>
      <x:c r="O373" s="108"/>
      <x:c r="P373" s="108"/>
      <x:c r="Q373" s="9" t="str">
        <x:v>Forecast</x:v>
      </x:c>
      <x:c r="R373" s="9" t="n">
        <x:v>2026</x:v>
      </x:c>
      <x:c r="S373" s="9" t="str">
        <x:v>2026-08</x:v>
      </x:c>
    </x:row>
    <x:row r="374" ht="17" customHeight="1">
      <x:c r="A374" s="9" t="str">
        <x:v>2026-08-01</x:v>
      </x:c>
      <x:c r="B374" s="9" t="str">
        <x:v>Marketing</x:v>
      </x:c>
      <x:c r="C374" s="107" t="n">
        <x:v>0</x:v>
      </x:c>
      <x:c r="D374" s="107" t="n">
        <x:v>0</x:v>
      </x:c>
      <x:c r="E374" s="107" t="n">
        <x:v>0</x:v>
      </x:c>
      <x:c r="F374" s="107" t="n">
        <x:v>7.6743914900000005</x:v>
      </x:c>
      <x:c r="G374" s="107" t="n">
        <x:v>0</x:v>
      </x:c>
      <x:c r="H374" s="107" t="n">
        <x:v>0</x:v>
      </x:c>
      <x:c r="I374" s="107" t="n">
        <x:v>0</x:v>
      </x:c>
      <x:c r="J374" s="107" t="n">
        <x:v>-7.6743914900000005</x:v>
      </x:c>
      <x:c r="K374" s="107" t="n">
        <x:v>-7.6743914900000005</x:v>
      </x:c>
      <x:c r="L374" s="107" t="n">
        <x:v>-7.6743914900000005</x:v>
      </x:c>
      <x:c r="M374" s="107" t="n">
        <x:v>-7.6743914900000005</x:v>
      </x:c>
      <x:c r="N374" s="108"/>
      <x:c r="O374" s="108"/>
      <x:c r="P374" s="108"/>
      <x:c r="Q374" s="9" t="str">
        <x:v>Forecast</x:v>
      </x:c>
      <x:c r="R374" s="9" t="n">
        <x:v>2026</x:v>
      </x:c>
      <x:c r="S374" s="9" t="str">
        <x:v>2026-08</x:v>
      </x:c>
    </x:row>
    <x:row r="375" ht="17" customHeight="1">
      <x:c r="A375" s="9" t="str">
        <x:v>2026-08-01</x:v>
      </x:c>
      <x:c r="B375" s="9" t="str">
        <x:v>Operations</x:v>
      </x:c>
      <x:c r="C375" s="107" t="n">
        <x:v>0</x:v>
      </x:c>
      <x:c r="D375" s="107" t="n">
        <x:v>0.22083333</x:v>
      </x:c>
      <x:c r="E375" s="107" t="n">
        <x:v>0</x:v>
      </x:c>
      <x:c r="F375" s="107" t="n">
        <x:v>10.574193639999999</x:v>
      </x:c>
      <x:c r="G375" s="107" t="n">
        <x:v>0</x:v>
      </x:c>
      <x:c r="H375" s="107" t="n">
        <x:v>0</x:v>
      </x:c>
      <x:c r="I375" s="107" t="n">
        <x:v>0</x:v>
      </x:c>
      <x:c r="J375" s="107" t="n">
        <x:v>-10.574193639999999</x:v>
      </x:c>
      <x:c r="K375" s="107" t="n">
        <x:v>-10.795026969999999</x:v>
      </x:c>
      <x:c r="L375" s="107" t="n">
        <x:v>-10.795026969999999</x:v>
      </x:c>
      <x:c r="M375" s="107" t="n">
        <x:v>-10.795026969999999</x:v>
      </x:c>
      <x:c r="N375" s="108"/>
      <x:c r="O375" s="108"/>
      <x:c r="P375" s="108"/>
      <x:c r="Q375" s="9" t="str">
        <x:v>Forecast</x:v>
      </x:c>
      <x:c r="R375" s="9" t="n">
        <x:v>2026</x:v>
      </x:c>
      <x:c r="S375" s="9" t="str">
        <x:v>2026-08</x:v>
      </x:c>
    </x:row>
    <x:row r="376" ht="17" customHeight="1">
      <x:c r="A376" s="9" t="str">
        <x:v>2026-08-01</x:v>
      </x:c>
      <x:c r="B376" s="9" t="str">
        <x:v>Sales</x:v>
      </x:c>
      <x:c r="C376" s="107" t="n">
        <x:v>67.25312513</x:v>
      </x:c>
      <x:c r="D376" s="107" t="n">
        <x:v>0.24166667</x:v>
      </x:c>
      <x:c r="E376" s="107" t="n">
        <x:v>0</x:v>
      </x:c>
      <x:c r="F376" s="107" t="n">
        <x:v>23.540391</x:v>
      </x:c>
      <x:c r="G376" s="107" t="n">
        <x:v>132.13840173</x:v>
      </x:c>
      <x:c r="H376" s="107" t="n">
        <x:v>0</x:v>
      </x:c>
      <x:c r="I376" s="107" t="n">
        <x:v>64.88527660000001</x:v>
      </x:c>
      <x:c r="J376" s="107" t="n">
        <x:v>41.34488560000001</x:v>
      </x:c>
      <x:c r="K376" s="107" t="n">
        <x:v>41.103218930000004</x:v>
      </x:c>
      <x:c r="L376" s="107" t="n">
        <x:v>41.103218930000004</x:v>
      </x:c>
      <x:c r="M376" s="107" t="n">
        <x:v>41.103218930000004</x:v>
      </x:c>
      <x:c r="N376" s="108" t="n">
        <x:v>0.49104027103779324</x:v>
      </x:c>
      <x:c r="O376" s="108" t="n">
        <x:v>0.3128907649759569</x:v>
      </x:c>
      <x:c r="P376" s="108" t="n">
        <x:v>0.3110618744578636</x:v>
      </x:c>
      <x:c r="Q376" s="9" t="str">
        <x:v>Forecast</x:v>
      </x:c>
      <x:c r="R376" s="9" t="n">
        <x:v>2026</x:v>
      </x:c>
      <x:c r="S376" s="9" t="str">
        <x:v>2026-08</x:v>
      </x:c>
    </x:row>
    <x:row r="377" ht="17" customHeight="1">
      <x:c r="A377" s="9" t="str">
        <x:v>2026-08-01</x:v>
      </x:c>
      <x:c r="B377" s="9" t="str">
        <x:v>Technology</x:v>
      </x:c>
      <x:c r="C377" s="107" t="n">
        <x:v>0</x:v>
      </x:c>
      <x:c r="D377" s="107" t="n">
        <x:v>0.42604167</x:v>
      </x:c>
      <x:c r="E377" s="107" t="n">
        <x:v>0</x:v>
      </x:c>
      <x:c r="F377" s="107" t="n">
        <x:v>9.47437194</x:v>
      </x:c>
      <x:c r="G377" s="107" t="n">
        <x:v>0</x:v>
      </x:c>
      <x:c r="H377" s="107" t="n">
        <x:v>0</x:v>
      </x:c>
      <x:c r="I377" s="107" t="n">
        <x:v>0</x:v>
      </x:c>
      <x:c r="J377" s="107" t="n">
        <x:v>-9.47437194</x:v>
      </x:c>
      <x:c r="K377" s="107" t="n">
        <x:v>-9.90041361</x:v>
      </x:c>
      <x:c r="L377" s="107" t="n">
        <x:v>-9.90041361</x:v>
      </x:c>
      <x:c r="M377" s="107" t="n">
        <x:v>-9.90041361</x:v>
      </x:c>
      <x:c r="N377" s="108"/>
      <x:c r="O377" s="108"/>
      <x:c r="P377" s="108"/>
      <x:c r="Q377" s="9" t="str">
        <x:v>Forecast</x:v>
      </x:c>
      <x:c r="R377" s="9" t="n">
        <x:v>2026</x:v>
      </x:c>
      <x:c r="S377" s="9" t="str">
        <x:v>2026-08</x:v>
      </x:c>
    </x:row>
    <x:row r="378" ht="17" customHeight="1">
      <x:c r="A378" s="9" t="str">
        <x:v>2026-09-01</x:v>
      </x:c>
      <x:c r="B378" s="9" t="str">
        <x:v>Customer Success</x:v>
      </x:c>
      <x:c r="C378" s="107" t="n">
        <x:v>2.36878083</x:v>
      </x:c>
      <x:c r="D378" s="107" t="n">
        <x:v>0.19479167</x:v>
      </x:c>
      <x:c r="E378" s="107" t="n">
        <x:v>0</x:v>
      </x:c>
      <x:c r="F378" s="107" t="n">
        <x:v>3.56509651</x:v>
      </x:c>
      <x:c r="G378" s="107" t="n">
        <x:v>9.40144216</x:v>
      </x:c>
      <x:c r="H378" s="107" t="n">
        <x:v>0</x:v>
      </x:c>
      <x:c r="I378" s="107" t="n">
        <x:v>7.03266133</x:v>
      </x:c>
      <x:c r="J378" s="107" t="n">
        <x:v>3.4675648199999998</x:v>
      </x:c>
      <x:c r="K378" s="107" t="n">
        <x:v>3.27277315</x:v>
      </x:c>
      <x:c r="L378" s="107" t="n">
        <x:v>3.27277315</x:v>
      </x:c>
      <x:c r="M378" s="107" t="n">
        <x:v>3.27277315</x:v>
      </x:c>
      <x:c r="N378" s="108" t="n">
        <x:v>0.7480406952798825</x:v>
      </x:c>
      <x:c r="O378" s="108" t="n">
        <x:v>0.3688332875942514</x:v>
      </x:c>
      <x:c r="P378" s="108" t="n">
        <x:v>0.3481139482966302</x:v>
      </x:c>
      <x:c r="Q378" s="9" t="str">
        <x:v>Forecast</x:v>
      </x:c>
      <x:c r="R378" s="9" t="n">
        <x:v>2026</x:v>
      </x:c>
      <x:c r="S378" s="9" t="str">
        <x:v>2026-09</x:v>
      </x:c>
    </x:row>
    <x:row r="379" ht="17" customHeight="1">
      <x:c r="A379" s="9" t="str">
        <x:v>2026-09-01</x:v>
      </x:c>
      <x:c r="B379" s="9" t="str">
        <x:v>Finance &amp; Corporate</x:v>
      </x:c>
      <x:c r="C379" s="107" t="n">
        <x:v>0</x:v>
      </x:c>
      <x:c r="D379" s="107" t="n">
        <x:v>0.17</x:v>
      </x:c>
      <x:c r="E379" s="107" t="n">
        <x:v>0.45303552</x:v>
      </x:c>
      <x:c r="F379" s="107" t="n">
        <x:v>7.22480367</x:v>
      </x:c>
      <x:c r="G379" s="107" t="n">
        <x:v>0</x:v>
      </x:c>
      <x:c r="H379" s="107" t="n">
        <x:v>3.52007268</x:v>
      </x:c>
      <x:c r="I379" s="107" t="n">
        <x:v>0</x:v>
      </x:c>
      <x:c r="J379" s="107" t="n">
        <x:v>-7.22480367</x:v>
      </x:c>
      <x:c r="K379" s="107" t="n">
        <x:v>-7.39480367</x:v>
      </x:c>
      <x:c r="L379" s="107" t="n">
        <x:v>-7.847839189999999</x:v>
      </x:c>
      <x:c r="M379" s="107" t="n">
        <x:v>-11.367911869999999</x:v>
      </x:c>
      <x:c r="N379" s="108"/>
      <x:c r="O379" s="108"/>
      <x:c r="P379" s="108"/>
      <x:c r="Q379" s="9" t="str">
        <x:v>Forecast</x:v>
      </x:c>
      <x:c r="R379" s="9" t="n">
        <x:v>2026</x:v>
      </x:c>
      <x:c r="S379" s="9" t="str">
        <x:v>2026-09</x:v>
      </x:c>
    </x:row>
    <x:row r="380" ht="17" customHeight="1">
      <x:c r="A380" s="9" t="str">
        <x:v>2026-09-01</x:v>
      </x:c>
      <x:c r="B380" s="9" t="str">
        <x:v>Marketing</x:v>
      </x:c>
      <x:c r="C380" s="107" t="n">
        <x:v>0</x:v>
      </x:c>
      <x:c r="D380" s="107" t="n">
        <x:v>0</x:v>
      </x:c>
      <x:c r="E380" s="107" t="n">
        <x:v>0</x:v>
      </x:c>
      <x:c r="F380" s="107" t="n">
        <x:v>7.71819482</x:v>
      </x:c>
      <x:c r="G380" s="107" t="n">
        <x:v>0</x:v>
      </x:c>
      <x:c r="H380" s="107" t="n">
        <x:v>0</x:v>
      </x:c>
      <x:c r="I380" s="107" t="n">
        <x:v>0</x:v>
      </x:c>
      <x:c r="J380" s="107" t="n">
        <x:v>-7.71819482</x:v>
      </x:c>
      <x:c r="K380" s="107" t="n">
        <x:v>-7.71819482</x:v>
      </x:c>
      <x:c r="L380" s="107" t="n">
        <x:v>-7.71819482</x:v>
      </x:c>
      <x:c r="M380" s="107" t="n">
        <x:v>-7.71819482</x:v>
      </x:c>
      <x:c r="N380" s="108"/>
      <x:c r="O380" s="108"/>
      <x:c r="P380" s="108"/>
      <x:c r="Q380" s="9" t="str">
        <x:v>Forecast</x:v>
      </x:c>
      <x:c r="R380" s="9" t="n">
        <x:v>2026</x:v>
      </x:c>
      <x:c r="S380" s="9" t="str">
        <x:v>2026-09</x:v>
      </x:c>
    </x:row>
    <x:row r="381" ht="17" customHeight="1">
      <x:c r="A381" s="9" t="str">
        <x:v>2026-09-01</x:v>
      </x:c>
      <x:c r="B381" s="9" t="str">
        <x:v>Operations</x:v>
      </x:c>
      <x:c r="C381" s="107" t="n">
        <x:v>0</x:v>
      </x:c>
      <x:c r="D381" s="107" t="n">
        <x:v>0.22083333</x:v>
      </x:c>
      <x:c r="E381" s="107" t="n">
        <x:v>0</x:v>
      </x:c>
      <x:c r="F381" s="107" t="n">
        <x:v>10.63299634</x:v>
      </x:c>
      <x:c r="G381" s="107" t="n">
        <x:v>0</x:v>
      </x:c>
      <x:c r="H381" s="107" t="n">
        <x:v>0</x:v>
      </x:c>
      <x:c r="I381" s="107" t="n">
        <x:v>0</x:v>
      </x:c>
      <x:c r="J381" s="107" t="n">
        <x:v>-10.63299634</x:v>
      </x:c>
      <x:c r="K381" s="107" t="n">
        <x:v>-10.85382967</x:v>
      </x:c>
      <x:c r="L381" s="107" t="n">
        <x:v>-10.85382967</x:v>
      </x:c>
      <x:c r="M381" s="107" t="n">
        <x:v>-10.85382967</x:v>
      </x:c>
      <x:c r="N381" s="108"/>
      <x:c r="O381" s="108"/>
      <x:c r="P381" s="108"/>
      <x:c r="Q381" s="9" t="str">
        <x:v>Forecast</x:v>
      </x:c>
      <x:c r="R381" s="9" t="n">
        <x:v>2026</x:v>
      </x:c>
      <x:c r="S381" s="9" t="str">
        <x:v>2026-09</x:v>
      </x:c>
    </x:row>
    <x:row r="382" ht="17" customHeight="1">
      <x:c r="A382" s="9" t="str">
        <x:v>2026-09-01</x:v>
      </x:c>
      <x:c r="B382" s="9" t="str">
        <x:v>Sales</x:v>
      </x:c>
      <x:c r="C382" s="107" t="n">
        <x:v>75.15821801999999</x:v>
      </x:c>
      <x:c r="D382" s="107" t="n">
        <x:v>0.24166667</x:v>
      </x:c>
      <x:c r="E382" s="107" t="n">
        <x:v>0</x:v>
      </x:c>
      <x:c r="F382" s="107" t="n">
        <x:v>24.162699</x:v>
      </x:c>
      <x:c r="G382" s="107" t="n">
        <x:v>146.73958797999998</x:v>
      </x:c>
      <x:c r="H382" s="107" t="n">
        <x:v>0</x:v>
      </x:c>
      <x:c r="I382" s="107" t="n">
        <x:v>71.58136995999999</x:v>
      </x:c>
      <x:c r="J382" s="107" t="n">
        <x:v>47.41867095999999</x:v>
      </x:c>
      <x:c r="K382" s="107" t="n">
        <x:v>47.17700428999999</x:v>
      </x:c>
      <x:c r="L382" s="107" t="n">
        <x:v>47.17700428999999</x:v>
      </x:c>
      <x:c r="M382" s="107" t="n">
        <x:v>47.17700428999999</x:v>
      </x:c>
      <x:c r="N382" s="108" t="n">
        <x:v>0.48781225942760753</x:v>
      </x:c>
      <x:c r="O382" s="108" t="n">
        <x:v>0.3231484537523914</x:v>
      </x:c>
      <x:c r="P382" s="108" t="n">
        <x:v>0.32150154528463054</x:v>
      </x:c>
      <x:c r="Q382" s="9" t="str">
        <x:v>Forecast</x:v>
      </x:c>
      <x:c r="R382" s="9" t="n">
        <x:v>2026</x:v>
      </x:c>
      <x:c r="S382" s="9" t="str">
        <x:v>2026-09</x:v>
      </x:c>
    </x:row>
    <x:row r="383" ht="17" customHeight="1">
      <x:c r="A383" s="9" t="str">
        <x:v>2026-09-01</x:v>
      </x:c>
      <x:c r="B383" s="9" t="str">
        <x:v>Technology</x:v>
      </x:c>
      <x:c r="C383" s="107" t="n">
        <x:v>0</x:v>
      </x:c>
      <x:c r="D383" s="107" t="n">
        <x:v>0.42604167</x:v>
      </x:c>
      <x:c r="E383" s="107" t="n">
        <x:v>0</x:v>
      </x:c>
      <x:c r="F383" s="107" t="n">
        <x:v>9.52358138</x:v>
      </x:c>
      <x:c r="G383" s="107" t="n">
        <x:v>0</x:v>
      </x:c>
      <x:c r="H383" s="107" t="n">
        <x:v>0</x:v>
      </x:c>
      <x:c r="I383" s="107" t="n">
        <x:v>0</x:v>
      </x:c>
      <x:c r="J383" s="107" t="n">
        <x:v>-9.52358138</x:v>
      </x:c>
      <x:c r="K383" s="107" t="n">
        <x:v>-9.94962305</x:v>
      </x:c>
      <x:c r="L383" s="107" t="n">
        <x:v>-9.94962305</x:v>
      </x:c>
      <x:c r="M383" s="107" t="n">
        <x:v>-9.94962305</x:v>
      </x:c>
      <x:c r="N383" s="108"/>
      <x:c r="O383" s="108"/>
      <x:c r="P383" s="108"/>
      <x:c r="Q383" s="9" t="str">
        <x:v>Forecast</x:v>
      </x:c>
      <x:c r="R383" s="9" t="n">
        <x:v>2026</x:v>
      </x:c>
      <x:c r="S383" s="9" t="str">
        <x:v>2026-09</x:v>
      </x:c>
    </x:row>
    <x:row r="384" ht="17" customHeight="1">
      <x:c r="A384" s="9" t="str">
        <x:v>2026-10-01</x:v>
      </x:c>
      <x:c r="B384" s="9" t="str">
        <x:v>Customer Success</x:v>
      </x:c>
      <x:c r="C384" s="107" t="n">
        <x:v>2.44035924</x:v>
      </x:c>
      <x:c r="D384" s="107" t="n">
        <x:v>0.19479167</x:v>
      </x:c>
      <x:c r="E384" s="107" t="n">
        <x:v>0</x:v>
      </x:c>
      <x:c r="F384" s="107" t="n">
        <x:v>3.47196096</x:v>
      </x:c>
      <x:c r="G384" s="107" t="n">
        <x:v>9.68552935</x:v>
      </x:c>
      <x:c r="H384" s="107" t="n">
        <x:v>0</x:v>
      </x:c>
      <x:c r="I384" s="107" t="n">
        <x:v>7.245170109999999</x:v>
      </x:c>
      <x:c r="J384" s="107" t="n">
        <x:v>3.7732091499999996</x:v>
      </x:c>
      <x:c r="K384" s="107" t="n">
        <x:v>3.5784174799999997</x:v>
      </x:c>
      <x:c r="L384" s="107" t="n">
        <x:v>3.5784174799999997</x:v>
      </x:c>
      <x:c r="M384" s="107" t="n">
        <x:v>3.5784174799999997</x:v>
      </x:c>
      <x:c r="N384" s="108" t="n">
        <x:v>0.7480406953699438</x:v>
      </x:c>
      <x:c r="O384" s="108" t="n">
        <x:v>0.3895718048699114</x:v>
      </x:c>
      <x:c r="P384" s="108" t="n">
        <x:v>0.36946018649977036</x:v>
      </x:c>
      <x:c r="Q384" s="9" t="str">
        <x:v>Forecast</x:v>
      </x:c>
      <x:c r="R384" s="9" t="n">
        <x:v>2026</x:v>
      </x:c>
      <x:c r="S384" s="9" t="str">
        <x:v>2026-10</x:v>
      </x:c>
    </x:row>
    <x:row r="385" ht="17" customHeight="1">
      <x:c r="A385" s="9" t="str">
        <x:v>2026-10-01</x:v>
      </x:c>
      <x:c r="B385" s="9" t="str">
        <x:v>Finance &amp; Corporate</x:v>
      </x:c>
      <x:c r="C385" s="107" t="n">
        <x:v>0</x:v>
      </x:c>
      <x:c r="D385" s="107" t="n">
        <x:v>0.17</x:v>
      </x:c>
      <x:c r="E385" s="107" t="n">
        <x:v>0.45303552</x:v>
      </x:c>
      <x:c r="F385" s="107" t="n">
        <x:v>7.12871829</x:v>
      </x:c>
      <x:c r="G385" s="107" t="n">
        <x:v>0</x:v>
      </x:c>
      <x:c r="H385" s="107" t="n">
        <x:v>4.38604983</x:v>
      </x:c>
      <x:c r="I385" s="107" t="n">
        <x:v>0</x:v>
      </x:c>
      <x:c r="J385" s="107" t="n">
        <x:v>-7.12871829</x:v>
      </x:c>
      <x:c r="K385" s="107" t="n">
        <x:v>-7.29871829</x:v>
      </x:c>
      <x:c r="L385" s="107" t="n">
        <x:v>-7.75175381</x:v>
      </x:c>
      <x:c r="M385" s="107" t="n">
        <x:v>-12.137803640000001</x:v>
      </x:c>
      <x:c r="N385" s="108"/>
      <x:c r="O385" s="108"/>
      <x:c r="P385" s="108"/>
      <x:c r="Q385" s="9" t="str">
        <x:v>Forecast</x:v>
      </x:c>
      <x:c r="R385" s="9" t="n">
        <x:v>2026</x:v>
      </x:c>
      <x:c r="S385" s="9" t="str">
        <x:v>2026-10</x:v>
      </x:c>
    </x:row>
    <x:row r="386" ht="17" customHeight="1">
      <x:c r="A386" s="9" t="str">
        <x:v>2026-10-01</x:v>
      </x:c>
      <x:c r="B386" s="9" t="str">
        <x:v>Marketing</x:v>
      </x:c>
      <x:c r="C386" s="107" t="n">
        <x:v>0</x:v>
      </x:c>
      <x:c r="D386" s="107" t="n">
        <x:v>0</x:v>
      </x:c>
      <x:c r="E386" s="107" t="n">
        <x:v>0</x:v>
      </x:c>
      <x:c r="F386" s="107" t="n">
        <x:v>7.641168589999999</x:v>
      </x:c>
      <x:c r="G386" s="107" t="n">
        <x:v>0</x:v>
      </x:c>
      <x:c r="H386" s="107" t="n">
        <x:v>0</x:v>
      </x:c>
      <x:c r="I386" s="107" t="n">
        <x:v>0</x:v>
      </x:c>
      <x:c r="J386" s="107" t="n">
        <x:v>-7.641168589999999</x:v>
      </x:c>
      <x:c r="K386" s="107" t="n">
        <x:v>-7.641168589999999</x:v>
      </x:c>
      <x:c r="L386" s="107" t="n">
        <x:v>-7.641168589999999</x:v>
      </x:c>
      <x:c r="M386" s="107" t="n">
        <x:v>-7.641168589999999</x:v>
      </x:c>
      <x:c r="N386" s="108"/>
      <x:c r="O386" s="108"/>
      <x:c r="P386" s="108"/>
      <x:c r="Q386" s="9" t="str">
        <x:v>Forecast</x:v>
      </x:c>
      <x:c r="R386" s="9" t="n">
        <x:v>2026</x:v>
      </x:c>
      <x:c r="S386" s="9" t="str">
        <x:v>2026-10</x:v>
      </x:c>
    </x:row>
    <x:row r="387" ht="17" customHeight="1">
      <x:c r="A387" s="9" t="str">
        <x:v>2026-10-01</x:v>
      </x:c>
      <x:c r="B387" s="9" t="str">
        <x:v>Operations</x:v>
      </x:c>
      <x:c r="C387" s="107" t="n">
        <x:v>0</x:v>
      </x:c>
      <x:c r="D387" s="107" t="n">
        <x:v>0.22083333</x:v>
      </x:c>
      <x:c r="E387" s="107" t="n">
        <x:v>0</x:v>
      </x:c>
      <x:c r="F387" s="107" t="n">
        <x:v>10.58904152</x:v>
      </x:c>
      <x:c r="G387" s="107" t="n">
        <x:v>0</x:v>
      </x:c>
      <x:c r="H387" s="107" t="n">
        <x:v>0</x:v>
      </x:c>
      <x:c r="I387" s="107" t="n">
        <x:v>0</x:v>
      </x:c>
      <x:c r="J387" s="107" t="n">
        <x:v>-10.58904152</x:v>
      </x:c>
      <x:c r="K387" s="107" t="n">
        <x:v>-10.80987485</x:v>
      </x:c>
      <x:c r="L387" s="107" t="n">
        <x:v>-10.80987485</x:v>
      </x:c>
      <x:c r="M387" s="107" t="n">
        <x:v>-10.80987485</x:v>
      </x:c>
      <x:c r="N387" s="108"/>
      <x:c r="O387" s="108"/>
      <x:c r="P387" s="108"/>
      <x:c r="Q387" s="9" t="str">
        <x:v>Forecast</x:v>
      </x:c>
      <x:c r="R387" s="9" t="n">
        <x:v>2026</x:v>
      </x:c>
      <x:c r="S387" s="9" t="str">
        <x:v>2026-10</x:v>
      </x:c>
    </x:row>
    <x:row r="388" ht="17" customHeight="1">
      <x:c r="A388" s="9" t="str">
        <x:v>2026-10-01</x:v>
      </x:c>
      <x:c r="B388" s="9" t="str">
        <x:v>Sales</x:v>
      </x:c>
      <x:c r="C388" s="107" t="n">
        <x:v>77.88109837</x:v>
      </x:c>
      <x:c r="D388" s="107" t="n">
        <x:v>0.24166667</x:v>
      </x:c>
      <x:c r="E388" s="107" t="n">
        <x:v>0</x:v>
      </x:c>
      <x:c r="F388" s="107" t="n">
        <x:v>24.09446843</x:v>
      </x:c>
      <x:c r="G388" s="107" t="n">
        <x:v>152.51016804000002</x:v>
      </x:c>
      <x:c r="H388" s="107" t="n">
        <x:v>0</x:v>
      </x:c>
      <x:c r="I388" s="107" t="n">
        <x:v>74.62906967000002</x:v>
      </x:c>
      <x:c r="J388" s="107" t="n">
        <x:v>50.534601240000015</x:v>
      </x:c>
      <x:c r="K388" s="107" t="n">
        <x:v>50.292934570000014</x:v>
      </x:c>
      <x:c r="L388" s="107" t="n">
        <x:v>50.292934570000014</x:v>
      </x:c>
      <x:c r="M388" s="107" t="n">
        <x:v>50.292934570000014</x:v>
      </x:c>
      <x:c r="N388" s="108" t="n">
        <x:v>0.48933832169423924</x:v>
      </x:c>
      <x:c r="O388" s="108" t="n">
        <x:v>0.3313523412205927</x:v>
      </x:c>
      <x:c r="P388" s="108" t="n">
        <x:v>0.32976774739904097</x:v>
      </x:c>
      <x:c r="Q388" s="9" t="str">
        <x:v>Forecast</x:v>
      </x:c>
      <x:c r="R388" s="9" t="n">
        <x:v>2026</x:v>
      </x:c>
      <x:c r="S388" s="9" t="str">
        <x:v>2026-10</x:v>
      </x:c>
    </x:row>
    <x:row r="389" ht="17" customHeight="1">
      <x:c r="A389" s="9" t="str">
        <x:v>2026-10-01</x:v>
      </x:c>
      <x:c r="B389" s="9" t="str">
        <x:v>Technology</x:v>
      </x:c>
      <x:c r="C389" s="107" t="n">
        <x:v>0</x:v>
      </x:c>
      <x:c r="D389" s="107" t="n">
        <x:v>0.6947916700000001</x:v>
      </x:c>
      <x:c r="E389" s="107" t="n">
        <x:v>0</x:v>
      </x:c>
      <x:c r="F389" s="107" t="n">
        <x:v>9.42956382</x:v>
      </x:c>
      <x:c r="G389" s="107" t="n">
        <x:v>0</x:v>
      </x:c>
      <x:c r="H389" s="107" t="n">
        <x:v>0</x:v>
      </x:c>
      <x:c r="I389" s="107" t="n">
        <x:v>0</x:v>
      </x:c>
      <x:c r="J389" s="107" t="n">
        <x:v>-9.42956382</x:v>
      </x:c>
      <x:c r="K389" s="107" t="n">
        <x:v>-10.124355490000001</x:v>
      </x:c>
      <x:c r="L389" s="107" t="n">
        <x:v>-10.124355490000001</x:v>
      </x:c>
      <x:c r="M389" s="107" t="n">
        <x:v>-10.124355490000001</x:v>
      </x:c>
      <x:c r="N389" s="108"/>
      <x:c r="O389" s="108"/>
      <x:c r="P389" s="108"/>
      <x:c r="Q389" s="9" t="str">
        <x:v>Forecast</x:v>
      </x:c>
      <x:c r="R389" s="9" t="n">
        <x:v>2026</x:v>
      </x:c>
      <x:c r="S389" s="9" t="str">
        <x:v>2026-10</x:v>
      </x:c>
    </x:row>
    <x:row r="390" ht="17" customHeight="1">
      <x:c r="A390" s="9" t="str">
        <x:v>2026-11-01</x:v>
      </x:c>
      <x:c r="B390" s="9" t="str">
        <x:v>Customer Success</x:v>
      </x:c>
      <x:c r="C390" s="107" t="n">
        <x:v>2.43336234</x:v>
      </x:c>
      <x:c r="D390" s="107" t="n">
        <x:v>0.19479167</x:v>
      </x:c>
      <x:c r="E390" s="107" t="n">
        <x:v>0</x:v>
      </x:c>
      <x:c r="F390" s="107" t="n">
        <x:v>3.4786086099999998</x:v>
      </x:c>
      <x:c r="G390" s="107" t="n">
        <x:v>9.65775936</x:v>
      </x:c>
      <x:c r="H390" s="107" t="n">
        <x:v>0</x:v>
      </x:c>
      <x:c r="I390" s="107" t="n">
        <x:v>7.22439702</x:v>
      </x:c>
      <x:c r="J390" s="107" t="n">
        <x:v>3.74578841</x:v>
      </x:c>
      <x:c r="K390" s="107" t="n">
        <x:v>3.5509967399999995</x:v>
      </x:c>
      <x:c r="L390" s="107" t="n">
        <x:v>3.5509967399999995</x:v>
      </x:c>
      <x:c r="M390" s="107" t="n">
        <x:v>3.5509967399999995</x:v>
      </x:c>
      <x:c r="N390" s="108" t="n">
        <x:v>0.7480406946068285</x:v>
      </x:c>
      <x:c r="O390" s="108" t="n">
        <x:v>0.38785273792533176</x:v>
      </x:c>
      <x:c r="P390" s="108" t="n">
        <x:v>0.36768329046459075</x:v>
      </x:c>
      <x:c r="Q390" s="9" t="str">
        <x:v>Forecast</x:v>
      </x:c>
      <x:c r="R390" s="9" t="n">
        <x:v>2026</x:v>
      </x:c>
      <x:c r="S390" s="9" t="str">
        <x:v>2026-11</x:v>
      </x:c>
    </x:row>
    <x:row r="391" ht="17" customHeight="1">
      <x:c r="A391" s="9" t="str">
        <x:v>2026-11-01</x:v>
      </x:c>
      <x:c r="B391" s="9" t="str">
        <x:v>Finance &amp; Corporate</x:v>
      </x:c>
      <x:c r="C391" s="107" t="n">
        <x:v>0</x:v>
      </x:c>
      <x:c r="D391" s="107" t="n">
        <x:v>0.17</x:v>
      </x:c>
      <x:c r="E391" s="107" t="n">
        <x:v>0.45303552</x:v>
      </x:c>
      <x:c r="F391" s="107" t="n">
        <x:v>7.16456762</x:v>
      </x:c>
      <x:c r="G391" s="107" t="n">
        <x:v>0</x:v>
      </x:c>
      <x:c r="H391" s="107" t="n">
        <x:v>5.03462549</x:v>
      </x:c>
      <x:c r="I391" s="107" t="n">
        <x:v>0</x:v>
      </x:c>
      <x:c r="J391" s="107" t="n">
        <x:v>-7.16456762</x:v>
      </x:c>
      <x:c r="K391" s="107" t="n">
        <x:v>-7.3345676200000005</x:v>
      </x:c>
      <x:c r="L391" s="107" t="n">
        <x:v>-7.787603140000001</x:v>
      </x:c>
      <x:c r="M391" s="107" t="n">
        <x:v>-12.822228630000001</x:v>
      </x:c>
      <x:c r="N391" s="108"/>
      <x:c r="O391" s="108"/>
      <x:c r="P391" s="108"/>
      <x:c r="Q391" s="9" t="str">
        <x:v>Forecast</x:v>
      </x:c>
      <x:c r="R391" s="9" t="n">
        <x:v>2026</x:v>
      </x:c>
      <x:c r="S391" s="9" t="str">
        <x:v>2026-11</x:v>
      </x:c>
    </x:row>
    <x:row r="392" ht="17" customHeight="1">
      <x:c r="A392" s="9" t="str">
        <x:v>2026-11-01</x:v>
      </x:c>
      <x:c r="B392" s="9" t="str">
        <x:v>Marketing</x:v>
      </x:c>
      <x:c r="C392" s="107" t="n">
        <x:v>0</x:v>
      </x:c>
      <x:c r="D392" s="107" t="n">
        <x:v>0</x:v>
      </x:c>
      <x:c r="E392" s="107" t="n">
        <x:v>0</x:v>
      </x:c>
      <x:c r="F392" s="107" t="n">
        <x:v>7.6856732999999995</x:v>
      </x:c>
      <x:c r="G392" s="107" t="n">
        <x:v>0</x:v>
      </x:c>
      <x:c r="H392" s="107" t="n">
        <x:v>0</x:v>
      </x:c>
      <x:c r="I392" s="107" t="n">
        <x:v>0</x:v>
      </x:c>
      <x:c r="J392" s="107" t="n">
        <x:v>-7.6856732999999995</x:v>
      </x:c>
      <x:c r="K392" s="107" t="n">
        <x:v>-7.6856732999999995</x:v>
      </x:c>
      <x:c r="L392" s="107" t="n">
        <x:v>-7.6856732999999995</x:v>
      </x:c>
      <x:c r="M392" s="107" t="n">
        <x:v>-7.6856732999999995</x:v>
      </x:c>
      <x:c r="N392" s="108"/>
      <x:c r="O392" s="108"/>
      <x:c r="P392" s="108"/>
      <x:c r="Q392" s="9" t="str">
        <x:v>Forecast</x:v>
      </x:c>
      <x:c r="R392" s="9" t="n">
        <x:v>2026</x:v>
      </x:c>
      <x:c r="S392" s="9" t="str">
        <x:v>2026-11</x:v>
      </x:c>
    </x:row>
    <x:row r="393" ht="17" customHeight="1">
      <x:c r="A393" s="9" t="str">
        <x:v>2026-11-01</x:v>
      </x:c>
      <x:c r="B393" s="9" t="str">
        <x:v>Operations</x:v>
      </x:c>
      <x:c r="C393" s="107" t="n">
        <x:v>0</x:v>
      </x:c>
      <x:c r="D393" s="107" t="n">
        <x:v>0.22083333</x:v>
      </x:c>
      <x:c r="E393" s="107" t="n">
        <x:v>0</x:v>
      </x:c>
      <x:c r="F393" s="107" t="n">
        <x:v>10.75201219</x:v>
      </x:c>
      <x:c r="G393" s="107" t="n">
        <x:v>0</x:v>
      </x:c>
      <x:c r="H393" s="107" t="n">
        <x:v>0</x:v>
      </x:c>
      <x:c r="I393" s="107" t="n">
        <x:v>0</x:v>
      </x:c>
      <x:c r="J393" s="107" t="n">
        <x:v>-10.75201219</x:v>
      </x:c>
      <x:c r="K393" s="107" t="n">
        <x:v>-10.97284552</x:v>
      </x:c>
      <x:c r="L393" s="107" t="n">
        <x:v>-10.97284552</x:v>
      </x:c>
      <x:c r="M393" s="107" t="n">
        <x:v>-10.97284552</x:v>
      </x:c>
      <x:c r="N393" s="108"/>
      <x:c r="O393" s="108"/>
      <x:c r="P393" s="108"/>
      <x:c r="Q393" s="9" t="str">
        <x:v>Forecast</x:v>
      </x:c>
      <x:c r="R393" s="9" t="n">
        <x:v>2026</x:v>
      </x:c>
      <x:c r="S393" s="9" t="str">
        <x:v>2026-11</x:v>
      </x:c>
    </x:row>
    <x:row r="394" ht="17" customHeight="1">
      <x:c r="A394" s="9" t="str">
        <x:v>2026-11-01</x:v>
      </x:c>
      <x:c r="B394" s="9" t="str">
        <x:v>Sales</x:v>
      </x:c>
      <x:c r="C394" s="107" t="n">
        <x:v>80.95127279</x:v>
      </x:c>
      <x:c r="D394" s="107" t="n">
        <x:v>0.24166667</x:v>
      </x:c>
      <x:c r="E394" s="107" t="n">
        <x:v>0</x:v>
      </x:c>
      <x:c r="F394" s="107" t="n">
        <x:v>25.49521913</x:v>
      </x:c>
      <x:c r="G394" s="107" t="n">
        <x:v>160.03975800999999</x:v>
      </x:c>
      <x:c r="H394" s="107" t="n">
        <x:v>0</x:v>
      </x:c>
      <x:c r="I394" s="107" t="n">
        <x:v>79.08848521999998</x:v>
      </x:c>
      <x:c r="J394" s="107" t="n">
        <x:v>53.593266089999986</x:v>
      </x:c>
      <x:c r="K394" s="107" t="n">
        <x:v>53.351599419999985</x:v>
      </x:c>
      <x:c r="L394" s="107" t="n">
        <x:v>53.351599419999985</x:v>
      </x:c>
      <x:c r="M394" s="107" t="n">
        <x:v>53.351599419999985</x:v>
      </x:c>
      <x:c r="N394" s="108" t="n">
        <x:v>0.4941802349829733</x:v>
      </x:c>
      <x:c r="O394" s="108" t="n">
        <x:v>0.33487470086433924</x:v>
      </x:c>
      <x:c r="P394" s="108" t="n">
        <x:v>0.33336465940336113</x:v>
      </x:c>
      <x:c r="Q394" s="9" t="str">
        <x:v>Forecast</x:v>
      </x:c>
      <x:c r="R394" s="9" t="n">
        <x:v>2026</x:v>
      </x:c>
      <x:c r="S394" s="9" t="str">
        <x:v>2026-11</x:v>
      </x:c>
    </x:row>
    <x:row r="395" ht="17" customHeight="1">
      <x:c r="A395" s="9" t="str">
        <x:v>2026-11-01</x:v>
      </x:c>
      <x:c r="B395" s="9" t="str">
        <x:v>Technology</x:v>
      </x:c>
      <x:c r="C395" s="107" t="n">
        <x:v>0</x:v>
      </x:c>
      <x:c r="D395" s="107" t="n">
        <x:v>0.6947916700000001</x:v>
      </x:c>
      <x:c r="E395" s="107" t="n">
        <x:v>0</x:v>
      </x:c>
      <x:c r="F395" s="107" t="n">
        <x:v>9.62318057</x:v>
      </x:c>
      <x:c r="G395" s="107" t="n">
        <x:v>0</x:v>
      </x:c>
      <x:c r="H395" s="107" t="n">
        <x:v>0</x:v>
      </x:c>
      <x:c r="I395" s="107" t="n">
        <x:v>0</x:v>
      </x:c>
      <x:c r="J395" s="107" t="n">
        <x:v>-9.62318057</x:v>
      </x:c>
      <x:c r="K395" s="107" t="n">
        <x:v>-10.31797224</x:v>
      </x:c>
      <x:c r="L395" s="107" t="n">
        <x:v>-10.31797224</x:v>
      </x:c>
      <x:c r="M395" s="107" t="n">
        <x:v>-10.31797224</x:v>
      </x:c>
      <x:c r="N395" s="108"/>
      <x:c r="O395" s="108"/>
      <x:c r="P395" s="108"/>
      <x:c r="Q395" s="9" t="str">
        <x:v>Forecast</x:v>
      </x:c>
      <x:c r="R395" s="9" t="n">
        <x:v>2026</x:v>
      </x:c>
      <x:c r="S395" s="9" t="str">
        <x:v>2026-11</x:v>
      </x:c>
    </x:row>
    <x:row r="396" ht="17" customHeight="1">
      <x:c r="A396" s="9" t="str">
        <x:v>2026-12-01</x:v>
      </x:c>
      <x:c r="B396" s="9" t="str">
        <x:v>Customer Success</x:v>
      </x:c>
      <x:c r="C396" s="107" t="n">
        <x:v>2.44747015</x:v>
      </x:c>
      <x:c r="D396" s="107" t="n">
        <x:v>0.19479167</x:v>
      </x:c>
      <x:c r="E396" s="107" t="n">
        <x:v>0</x:v>
      </x:c>
      <x:c r="F396" s="107" t="n">
        <x:v>3.49068623</x:v>
      </x:c>
      <x:c r="G396" s="107" t="n">
        <x:v>9.71375182</x:v>
      </x:c>
      <x:c r="H396" s="107" t="n">
        <x:v>0</x:v>
      </x:c>
      <x:c r="I396" s="107" t="n">
        <x:v>7.26628167</x:v>
      </x:c>
      <x:c r="J396" s="107" t="n">
        <x:v>3.77559544</x:v>
      </x:c>
      <x:c r="K396" s="107" t="n">
        <x:v>3.58080377</x:v>
      </x:c>
      <x:c r="L396" s="107" t="n">
        <x:v>3.58080377</x:v>
      </x:c>
      <x:c r="M396" s="107" t="n">
        <x:v>3.58080377</x:v>
      </x:c>
      <x:c r="N396" s="108" t="n">
        <x:v>0.7480406957730983</x:v>
      </x:c>
      <x:c r="O396" s="108" t="n">
        <x:v>0.38868559851676343</x:v>
      </x:c>
      <x:c r="P396" s="108" t="n">
        <x:v>0.3686324127230996</x:v>
      </x:c>
      <x:c r="Q396" s="9" t="str">
        <x:v>Forecast</x:v>
      </x:c>
      <x:c r="R396" s="9" t="n">
        <x:v>2026</x:v>
      </x:c>
      <x:c r="S396" s="9" t="str">
        <x:v>2026-12</x:v>
      </x:c>
    </x:row>
    <x:row r="397" ht="17" customHeight="1">
      <x:c r="A397" s="9" t="str">
        <x:v>2026-12-01</x:v>
      </x:c>
      <x:c r="B397" s="9" t="str">
        <x:v>Finance &amp; Corporate</x:v>
      </x:c>
      <x:c r="C397" s="107" t="n">
        <x:v>0</x:v>
      </x:c>
      <x:c r="D397" s="107" t="n">
        <x:v>0.17</x:v>
      </x:c>
      <x:c r="E397" s="107" t="n">
        <x:v>0.45303552</x:v>
      </x:c>
      <x:c r="F397" s="107" t="n">
        <x:v>7.20070279</x:v>
      </x:c>
      <x:c r="G397" s="107" t="n">
        <x:v>0</x:v>
      </x:c>
      <x:c r="H397" s="107" t="n">
        <x:v>6.27574432</x:v>
      </x:c>
      <x:c r="I397" s="107" t="n">
        <x:v>0</x:v>
      </x:c>
      <x:c r="J397" s="107" t="n">
        <x:v>-7.20070279</x:v>
      </x:c>
      <x:c r="K397" s="107" t="n">
        <x:v>-7.37070279</x:v>
      </x:c>
      <x:c r="L397" s="107" t="n">
        <x:v>-7.82373831</x:v>
      </x:c>
      <x:c r="M397" s="107" t="n">
        <x:v>-14.09948263</x:v>
      </x:c>
      <x:c r="N397" s="108"/>
      <x:c r="O397" s="108"/>
      <x:c r="P397" s="108"/>
      <x:c r="Q397" s="9" t="str">
        <x:v>Forecast</x:v>
      </x:c>
      <x:c r="R397" s="9" t="n">
        <x:v>2026</x:v>
      </x:c>
      <x:c r="S397" s="9" t="str">
        <x:v>2026-12</x:v>
      </x:c>
    </x:row>
    <x:row r="398" ht="17" customHeight="1">
      <x:c r="A398" s="9" t="str">
        <x:v>2026-12-01</x:v>
      </x:c>
      <x:c r="B398" s="9" t="str">
        <x:v>Marketing</x:v>
      </x:c>
      <x:c r="C398" s="107" t="n">
        <x:v>0</x:v>
      </x:c>
      <x:c r="D398" s="107" t="n">
        <x:v>0</x:v>
      </x:c>
      <x:c r="E398" s="107" t="n">
        <x:v>0</x:v>
      </x:c>
      <x:c r="F398" s="107" t="n">
        <x:v>7.73053289</x:v>
      </x:c>
      <x:c r="G398" s="107" t="n">
        <x:v>0</x:v>
      </x:c>
      <x:c r="H398" s="107" t="n">
        <x:v>0</x:v>
      </x:c>
      <x:c r="I398" s="107" t="n">
        <x:v>0</x:v>
      </x:c>
      <x:c r="J398" s="107" t="n">
        <x:v>-7.73053289</x:v>
      </x:c>
      <x:c r="K398" s="107" t="n">
        <x:v>-7.73053289</x:v>
      </x:c>
      <x:c r="L398" s="107" t="n">
        <x:v>-7.73053289</x:v>
      </x:c>
      <x:c r="M398" s="107" t="n">
        <x:v>-7.73053289</x:v>
      </x:c>
      <x:c r="N398" s="108"/>
      <x:c r="O398" s="108"/>
      <x:c r="P398" s="108"/>
      <x:c r="Q398" s="9" t="str">
        <x:v>Forecast</x:v>
      </x:c>
      <x:c r="R398" s="9" t="n">
        <x:v>2026</x:v>
      </x:c>
      <x:c r="S398" s="9" t="str">
        <x:v>2026-12</x:v>
      </x:c>
    </x:row>
    <x:row r="399" ht="17" customHeight="1">
      <x:c r="A399" s="9" t="str">
        <x:v>2026-12-01</x:v>
      </x:c>
      <x:c r="B399" s="9" t="str">
        <x:v>Operations</x:v>
      </x:c>
      <x:c r="C399" s="107" t="n">
        <x:v>0</x:v>
      </x:c>
      <x:c r="D399" s="107" t="n">
        <x:v>0.22083333</x:v>
      </x:c>
      <x:c r="E399" s="107" t="n">
        <x:v>0</x:v>
      </x:c>
      <x:c r="F399" s="107" t="n">
        <x:v>10.81223284</x:v>
      </x:c>
      <x:c r="G399" s="107" t="n">
        <x:v>0</x:v>
      </x:c>
      <x:c r="H399" s="107" t="n">
        <x:v>0</x:v>
      </x:c>
      <x:c r="I399" s="107" t="n">
        <x:v>0</x:v>
      </x:c>
      <x:c r="J399" s="107" t="n">
        <x:v>-10.81223284</x:v>
      </x:c>
      <x:c r="K399" s="107" t="n">
        <x:v>-11.03306617</x:v>
      </x:c>
      <x:c r="L399" s="107" t="n">
        <x:v>-11.03306617</x:v>
      </x:c>
      <x:c r="M399" s="107" t="n">
        <x:v>-11.03306617</x:v>
      </x:c>
      <x:c r="N399" s="108"/>
      <x:c r="O399" s="108"/>
      <x:c r="P399" s="108"/>
      <x:c r="Q399" s="9" t="str">
        <x:v>Forecast</x:v>
      </x:c>
      <x:c r="R399" s="9" t="n">
        <x:v>2026</x:v>
      </x:c>
      <x:c r="S399" s="9" t="str">
        <x:v>2026-12</x:v>
      </x:c>
    </x:row>
    <x:row r="400" ht="17" customHeight="1">
      <x:c r="A400" s="9" t="str">
        <x:v>2026-12-01</x:v>
      </x:c>
      <x:c r="B400" s="9" t="str">
        <x:v>Sales</x:v>
      </x:c>
      <x:c r="C400" s="107" t="n">
        <x:v>85.58881545999999</x:v>
      </x:c>
      <x:c r="D400" s="107" t="n">
        <x:v>0.24166667</x:v>
      </x:c>
      <x:c r="E400" s="107" t="n">
        <x:v>0</x:v>
      </x:c>
      <x:c r="F400" s="107" t="n">
        <x:v>26.1238141</x:v>
      </x:c>
      <x:c r="G400" s="107" t="n">
        <x:v>170.43217540999999</x:v>
      </x:c>
      <x:c r="H400" s="107" t="n">
        <x:v>0</x:v>
      </x:c>
      <x:c r="I400" s="107" t="n">
        <x:v>84.84335995</x:v>
      </x:c>
      <x:c r="J400" s="107" t="n">
        <x:v>58.71954585</x:v>
      </x:c>
      <x:c r="K400" s="107" t="n">
        <x:v>58.47787918</x:v>
      </x:c>
      <x:c r="L400" s="107" t="n">
        <x:v>58.47787918</x:v>
      </x:c>
      <x:c r="M400" s="107" t="n">
        <x:v>58.47787918</x:v>
      </x:c>
      <x:c r="N400" s="108" t="n">
        <x:v>0.4978130434930884</x:v>
      </x:c>
      <x:c r="O400" s="108" t="n">
        <x:v>0.34453321803081716</x:v>
      </x:c>
      <x:c r="P400" s="108" t="n">
        <x:v>0.3431152541433139</x:v>
      </x:c>
      <x:c r="Q400" s="9" t="str">
        <x:v>Forecast</x:v>
      </x:c>
      <x:c r="R400" s="9" t="n">
        <x:v>2026</x:v>
      </x:c>
      <x:c r="S400" s="9" t="str">
        <x:v>2026-12</x:v>
      </x:c>
    </x:row>
    <x:row r="401" ht="17" customHeight="1">
      <x:c r="A401" s="9" t="str">
        <x:v>2026-12-01</x:v>
      </x:c>
      <x:c r="B401" s="9" t="str">
        <x:v>Technology</x:v>
      </x:c>
      <x:c r="C401" s="107" t="n">
        <x:v>0</x:v>
      </x:c>
      <x:c r="D401" s="107" t="n">
        <x:v>0.6947916700000001</x:v>
      </x:c>
      <x:c r="E401" s="107" t="n">
        <x:v>0</x:v>
      </x:c>
      <x:c r="F401" s="107" t="n">
        <x:v>9.673576619999999</x:v>
      </x:c>
      <x:c r="G401" s="107" t="n">
        <x:v>0</x:v>
      </x:c>
      <x:c r="H401" s="107" t="n">
        <x:v>0</x:v>
      </x:c>
      <x:c r="I401" s="107" t="n">
        <x:v>0</x:v>
      </x:c>
      <x:c r="J401" s="107" t="n">
        <x:v>-9.673576619999999</x:v>
      </x:c>
      <x:c r="K401" s="107" t="n">
        <x:v>-10.36836829</x:v>
      </x:c>
      <x:c r="L401" s="107" t="n">
        <x:v>-10.36836829</x:v>
      </x:c>
      <x:c r="M401" s="107" t="n">
        <x:v>-10.36836829</x:v>
      </x:c>
      <x:c r="N401" s="108"/>
      <x:c r="O401" s="108"/>
      <x:c r="P401" s="108"/>
      <x:c r="Q401" s="9" t="str">
        <x:v>Forecast</x:v>
      </x:c>
      <x:c r="R401" s="9" t="n">
        <x:v>2026</x:v>
      </x:c>
      <x:c r="S401" s="9" t="str">
        <x:v>2026-12</x:v>
      </x:c>
    </x:row>
    <x:row r="402" ht="17" customHeight="1">
      <x:c r="A402" s="9" t="str">
        <x:v>2027-01-01</x:v>
      </x:c>
      <x:c r="B402" s="9" t="str">
        <x:v>Customer Success</x:v>
      </x:c>
      <x:c r="C402" s="107" t="n">
        <x:v>2.36067558</x:v>
      </x:c>
      <x:c r="D402" s="107" t="n">
        <x:v>0.19479167</x:v>
      </x:c>
      <x:c r="E402" s="107" t="n">
        <x:v>0</x:v>
      </x:c>
      <x:c r="F402" s="107" t="n">
        <x:v>3.4802215</x:v>
      </x:c>
      <x:c r="G402" s="107" t="n">
        <x:v>9.41659286</x:v>
      </x:c>
      <x:c r="H402" s="107" t="n">
        <x:v>0</x:v>
      </x:c>
      <x:c r="I402" s="107" t="n">
        <x:v>7.055917279999999</x:v>
      </x:c>
      <x:c r="J402" s="107" t="n">
        <x:v>3.5756957799999993</x:v>
      </x:c>
      <x:c r="K402" s="107" t="n">
        <x:v>3.3809041099999995</x:v>
      </x:c>
      <x:c r="L402" s="107" t="n">
        <x:v>3.3809041099999995</x:v>
      </x:c>
      <x:c r="M402" s="107" t="n">
        <x:v>3.3809041099999995</x:v>
      </x:c>
      <x:c r="N402" s="108" t="n">
        <x:v>0.7493068230625403</x:v>
      </x:c>
      <x:c r="O402" s="108" t="n">
        <x:v>0.3797228820616122</x:v>
      </x:c>
      <x:c r="P402" s="108" t="n">
        <x:v>0.35903687886533514</x:v>
      </x:c>
      <x:c r="Q402" s="9" t="str">
        <x:v>Forecast</x:v>
      </x:c>
      <x:c r="R402" s="9" t="n">
        <x:v>2027</x:v>
      </x:c>
      <x:c r="S402" s="9" t="str">
        <x:v>2027-01</x:v>
      </x:c>
    </x:row>
    <x:row r="403" ht="17" customHeight="1">
      <x:c r="A403" s="9" t="str">
        <x:v>2027-01-01</x:v>
      </x:c>
      <x:c r="B403" s="9" t="str">
        <x:v>Finance &amp; Corporate</x:v>
      </x:c>
      <x:c r="C403" s="107" t="n">
        <x:v>0</x:v>
      </x:c>
      <x:c r="D403" s="107" t="n">
        <x:v>0.17</x:v>
      </x:c>
      <x:c r="E403" s="107" t="n">
        <x:v>0.45303552</x:v>
      </x:c>
      <x:c r="F403" s="107" t="n">
        <x:v>7.23712613</x:v>
      </x:c>
      <x:c r="G403" s="107" t="n">
        <x:v>0</x:v>
      </x:c>
      <x:c r="H403" s="107" t="n">
        <x:v>1.56808229</x:v>
      </x:c>
      <x:c r="I403" s="107" t="n">
        <x:v>0</x:v>
      </x:c>
      <x:c r="J403" s="107" t="n">
        <x:v>-7.23712613</x:v>
      </x:c>
      <x:c r="K403" s="107" t="n">
        <x:v>-7.40712613</x:v>
      </x:c>
      <x:c r="L403" s="107" t="n">
        <x:v>-7.86016165</x:v>
      </x:c>
      <x:c r="M403" s="107" t="n">
        <x:v>-9.428243940000002</x:v>
      </x:c>
      <x:c r="N403" s="108"/>
      <x:c r="O403" s="108"/>
      <x:c r="P403" s="108"/>
      <x:c r="Q403" s="9" t="str">
        <x:v>Forecast</x:v>
      </x:c>
      <x:c r="R403" s="9" t="n">
        <x:v>2027</x:v>
      </x:c>
      <x:c r="S403" s="9" t="str">
        <x:v>2027-01</x:v>
      </x:c>
    </x:row>
    <x:row r="404" ht="17" customHeight="1">
      <x:c r="A404" s="9" t="str">
        <x:v>2027-01-01</x:v>
      </x:c>
      <x:c r="B404" s="9" t="str">
        <x:v>Marketing</x:v>
      </x:c>
      <x:c r="C404" s="107" t="n">
        <x:v>0</x:v>
      </x:c>
      <x:c r="D404" s="107" t="n">
        <x:v>0</x:v>
      </x:c>
      <x:c r="E404" s="107" t="n">
        <x:v>0</x:v>
      </x:c>
      <x:c r="F404" s="107" t="n">
        <x:v>7.775750179999999</x:v>
      </x:c>
      <x:c r="G404" s="107" t="n">
        <x:v>0</x:v>
      </x:c>
      <x:c r="H404" s="107" t="n">
        <x:v>0</x:v>
      </x:c>
      <x:c r="I404" s="107" t="n">
        <x:v>0</x:v>
      </x:c>
      <x:c r="J404" s="107" t="n">
        <x:v>-7.775750179999999</x:v>
      </x:c>
      <x:c r="K404" s="107" t="n">
        <x:v>-7.775750179999999</x:v>
      </x:c>
      <x:c r="L404" s="107" t="n">
        <x:v>-7.775750179999999</x:v>
      </x:c>
      <x:c r="M404" s="107" t="n">
        <x:v>-7.775750179999999</x:v>
      </x:c>
      <x:c r="N404" s="108"/>
      <x:c r="O404" s="108"/>
      <x:c r="P404" s="108"/>
      <x:c r="Q404" s="9" t="str">
        <x:v>Forecast</x:v>
      </x:c>
      <x:c r="R404" s="9" t="n">
        <x:v>2027</x:v>
      </x:c>
      <x:c r="S404" s="9" t="str">
        <x:v>2027-01</x:v>
      </x:c>
    </x:row>
    <x:row r="405" ht="17" customHeight="1">
      <x:c r="A405" s="9" t="str">
        <x:v>2027-01-01</x:v>
      </x:c>
      <x:c r="B405" s="9" t="str">
        <x:v>Operations</x:v>
      </x:c>
      <x:c r="C405" s="107" t="n">
        <x:v>0</x:v>
      </x:c>
      <x:c r="D405" s="107" t="n">
        <x:v>0.46527777000000003</x:v>
      </x:c>
      <x:c r="E405" s="107" t="n">
        <x:v>0</x:v>
      </x:c>
      <x:c r="F405" s="107" t="n">
        <x:v>10.87293371</x:v>
      </x:c>
      <x:c r="G405" s="107" t="n">
        <x:v>0</x:v>
      </x:c>
      <x:c r="H405" s="107" t="n">
        <x:v>0</x:v>
      </x:c>
      <x:c r="I405" s="107" t="n">
        <x:v>0</x:v>
      </x:c>
      <x:c r="J405" s="107" t="n">
        <x:v>-10.87293371</x:v>
      </x:c>
      <x:c r="K405" s="107" t="n">
        <x:v>-11.338211479999998</x:v>
      </x:c>
      <x:c r="L405" s="107" t="n">
        <x:v>-11.338211479999998</x:v>
      </x:c>
      <x:c r="M405" s="107" t="n">
        <x:v>-11.338211479999998</x:v>
      </x:c>
      <x:c r="N405" s="108"/>
      <x:c r="O405" s="108"/>
      <x:c r="P405" s="108"/>
      <x:c r="Q405" s="9" t="str">
        <x:v>Forecast</x:v>
      </x:c>
      <x:c r="R405" s="9" t="n">
        <x:v>2027</x:v>
      </x:c>
      <x:c r="S405" s="9" t="str">
        <x:v>2027-01</x:v>
      </x:c>
    </x:row>
    <x:row r="406" ht="17" customHeight="1">
      <x:c r="A406" s="9" t="str">
        <x:v>2027-01-01</x:v>
      </x:c>
      <x:c r="B406" s="9" t="str">
        <x:v>Sales</x:v>
      </x:c>
      <x:c r="C406" s="107" t="n">
        <x:v>66.33169175</x:v>
      </x:c>
      <x:c r="D406" s="107" t="n">
        <x:v>0.24166667</x:v>
      </x:c>
      <x:c r="E406" s="107" t="n">
        <x:v>0</x:v>
      </x:c>
      <x:c r="F406" s="107" t="n">
        <x:v>23.97531247</x:v>
      </x:c>
      <x:c r="G406" s="107" t="n">
        <x:v>130.83338546</x:v>
      </x:c>
      <x:c r="H406" s="107" t="n">
        <x:v>0</x:v>
      </x:c>
      <x:c r="I406" s="107" t="n">
        <x:v>64.50169371</x:v>
      </x:c>
      <x:c r="J406" s="107" t="n">
        <x:v>40.52638123999999</x:v>
      </x:c>
      <x:c r="K406" s="107" t="n">
        <x:v>40.28471456999999</x:v>
      </x:c>
      <x:c r="L406" s="107" t="n">
        <x:v>40.28471456999999</x:v>
      </x:c>
      <x:c r="M406" s="107" t="n">
        <x:v>40.28471456999999</x:v>
      </x:c>
      <x:c r="N406" s="108" t="n">
        <x:v>0.4930063797035983</x:v>
      </x:c>
      <x:c r="O406" s="108" t="n">
        <x:v>0.30975565676537675</x:v>
      </x:c>
      <x:c r="P406" s="108" t="n">
        <x:v>0.30790852371787275</x:v>
      </x:c>
      <x:c r="Q406" s="9" t="str">
        <x:v>Forecast</x:v>
      </x:c>
      <x:c r="R406" s="9" t="n">
        <x:v>2027</x:v>
      </x:c>
      <x:c r="S406" s="9" t="str">
        <x:v>2027-01</x:v>
      </x:c>
    </x:row>
    <x:row r="407" ht="17" customHeight="1">
      <x:c r="A407" s="9" t="str">
        <x:v>2027-01-01</x:v>
      </x:c>
      <x:c r="B407" s="9" t="str">
        <x:v>Technology</x:v>
      </x:c>
      <x:c r="C407" s="107" t="n">
        <x:v>0</x:v>
      </x:c>
      <x:c r="D407" s="107" t="n">
        <x:v>0.6947916700000001</x:v>
      </x:c>
      <x:c r="E407" s="107" t="n">
        <x:v>0</x:v>
      </x:c>
      <x:c r="F407" s="107" t="n">
        <x:v>9.72437452</x:v>
      </x:c>
      <x:c r="G407" s="107" t="n">
        <x:v>0</x:v>
      </x:c>
      <x:c r="H407" s="107" t="n">
        <x:v>0</x:v>
      </x:c>
      <x:c r="I407" s="107" t="n">
        <x:v>0</x:v>
      </x:c>
      <x:c r="J407" s="107" t="n">
        <x:v>-9.72437452</x:v>
      </x:c>
      <x:c r="K407" s="107" t="n">
        <x:v>-10.41916619</x:v>
      </x:c>
      <x:c r="L407" s="107" t="n">
        <x:v>-10.41916619</x:v>
      </x:c>
      <x:c r="M407" s="107" t="n">
        <x:v>-10.41916619</x:v>
      </x:c>
      <x:c r="N407" s="108"/>
      <x:c r="O407" s="108"/>
      <x:c r="P407" s="108"/>
      <x:c r="Q407" s="9" t="str">
        <x:v>Forecast</x:v>
      </x:c>
      <x:c r="R407" s="9" t="n">
        <x:v>2027</x:v>
      </x:c>
      <x:c r="S407" s="9" t="str">
        <x:v>2027-01</x:v>
      </x:c>
    </x:row>
    <x:row r="408" ht="17" customHeight="1">
      <x:c r="A408" s="9" t="str">
        <x:v>2027-02-01</x:v>
      </x:c>
      <x:c r="B408" s="9" t="str">
        <x:v>Customer Success</x:v>
      </x:c>
      <x:c r="C408" s="107" t="n">
        <x:v>2.36992296</x:v>
      </x:c>
      <x:c r="D408" s="107" t="n">
        <x:v>0.19479167</x:v>
      </x:c>
      <x:c r="E408" s="107" t="n">
        <x:v>0</x:v>
      </x:c>
      <x:c r="F408" s="107" t="n">
        <x:v>3.49121194</x:v>
      </x:c>
      <x:c r="G408" s="107" t="n">
        <x:v>9.45348007</x:v>
      </x:c>
      <x:c r="H408" s="107" t="n">
        <x:v>0</x:v>
      </x:c>
      <x:c r="I408" s="107" t="n">
        <x:v>7.08355711</x:v>
      </x:c>
      <x:c r="J408" s="107" t="n">
        <x:v>3.59234517</x:v>
      </x:c>
      <x:c r="K408" s="107" t="n">
        <x:v>3.3975535000000003</x:v>
      </x:c>
      <x:c r="L408" s="107" t="n">
        <x:v>3.3975535000000003</x:v>
      </x:c>
      <x:c r="M408" s="107" t="n">
        <x:v>3.3975535000000003</x:v>
      </x:c>
      <x:c r="N408" s="108" t="n">
        <x:v>0.7493068222018264</x:v>
      </x:c>
      <x:c r="O408" s="108" t="n">
        <x:v>0.380002405823023</x:v>
      </x:c>
      <x:c r="P408" s="108" t="n">
        <x:v>0.3593971188220848</x:v>
      </x:c>
      <x:c r="Q408" s="9" t="str">
        <x:v>Forecast</x:v>
      </x:c>
      <x:c r="R408" s="9" t="n">
        <x:v>2027</x:v>
      </x:c>
      <x:c r="S408" s="9" t="str">
        <x:v>2027-02</x:v>
      </x:c>
    </x:row>
    <x:row r="409" ht="17" customHeight="1">
      <x:c r="A409" s="9" t="str">
        <x:v>2027-02-01</x:v>
      </x:c>
      <x:c r="B409" s="9" t="str">
        <x:v>Finance &amp; Corporate</x:v>
      </x:c>
      <x:c r="C409" s="107" t="n">
        <x:v>0</x:v>
      </x:c>
      <x:c r="D409" s="107" t="n">
        <x:v>0.17</x:v>
      </x:c>
      <x:c r="E409" s="107" t="n">
        <x:v>0.45303552</x:v>
      </x:c>
      <x:c r="F409" s="107" t="n">
        <x:v>7.27383989</x:v>
      </x:c>
      <x:c r="G409" s="107" t="n">
        <x:v>0</x:v>
      </x:c>
      <x:c r="H409" s="107" t="n">
        <x:v>1.72388777</x:v>
      </x:c>
      <x:c r="I409" s="107" t="n">
        <x:v>0</x:v>
      </x:c>
      <x:c r="J409" s="107" t="n">
        <x:v>-7.27383989</x:v>
      </x:c>
      <x:c r="K409" s="107" t="n">
        <x:v>-7.44383989</x:v>
      </x:c>
      <x:c r="L409" s="107" t="n">
        <x:v>-7.89687541</x:v>
      </x:c>
      <x:c r="M409" s="107" t="n">
        <x:v>-9.620763179999999</x:v>
      </x:c>
      <x:c r="N409" s="108"/>
      <x:c r="O409" s="108"/>
      <x:c r="P409" s="108"/>
      <x:c r="Q409" s="9" t="str">
        <x:v>Forecast</x:v>
      </x:c>
      <x:c r="R409" s="9" t="n">
        <x:v>2027</x:v>
      </x:c>
      <x:c r="S409" s="9" t="str">
        <x:v>2027-02</x:v>
      </x:c>
    </x:row>
    <x:row r="410" ht="17" customHeight="1">
      <x:c r="A410" s="9" t="str">
        <x:v>2027-02-01</x:v>
      </x:c>
      <x:c r="B410" s="9" t="str">
        <x:v>Marketing</x:v>
      </x:c>
      <x:c r="C410" s="107" t="n">
        <x:v>0</x:v>
      </x:c>
      <x:c r="D410" s="107" t="n">
        <x:v>0</x:v>
      </x:c>
      <x:c r="E410" s="107" t="n">
        <x:v>0</x:v>
      </x:c>
      <x:c r="F410" s="107" t="n">
        <x:v>7.82132805</x:v>
      </x:c>
      <x:c r="G410" s="107" t="n">
        <x:v>0</x:v>
      </x:c>
      <x:c r="H410" s="107" t="n">
        <x:v>0</x:v>
      </x:c>
      <x:c r="I410" s="107" t="n">
        <x:v>0</x:v>
      </x:c>
      <x:c r="J410" s="107" t="n">
        <x:v>-7.82132805</x:v>
      </x:c>
      <x:c r="K410" s="107" t="n">
        <x:v>-7.82132805</x:v>
      </x:c>
      <x:c r="L410" s="107" t="n">
        <x:v>-7.82132805</x:v>
      </x:c>
      <x:c r="M410" s="107" t="n">
        <x:v>-7.82132805</x:v>
      </x:c>
      <x:c r="N410" s="108"/>
      <x:c r="O410" s="108"/>
      <x:c r="P410" s="108"/>
      <x:c r="Q410" s="9" t="str">
        <x:v>Forecast</x:v>
      </x:c>
      <x:c r="R410" s="9" t="n">
        <x:v>2027</x:v>
      </x:c>
      <x:c r="S410" s="9" t="str">
        <x:v>2027-02</x:v>
      </x:c>
    </x:row>
    <x:row r="411" ht="17" customHeight="1">
      <x:c r="A411" s="9" t="str">
        <x:v>2027-02-01</x:v>
      </x:c>
      <x:c r="B411" s="9" t="str">
        <x:v>Operations</x:v>
      </x:c>
      <x:c r="C411" s="107" t="n">
        <x:v>0</x:v>
      </x:c>
      <x:c r="D411" s="107" t="n">
        <x:v>0.46527777000000003</x:v>
      </x:c>
      <x:c r="E411" s="107" t="n">
        <x:v>0</x:v>
      </x:c>
      <x:c r="F411" s="107" t="n">
        <x:v>11.03734503</x:v>
      </x:c>
      <x:c r="G411" s="107" t="n">
        <x:v>0</x:v>
      </x:c>
      <x:c r="H411" s="107" t="n">
        <x:v>0</x:v>
      </x:c>
      <x:c r="I411" s="107" t="n">
        <x:v>0</x:v>
      </x:c>
      <x:c r="J411" s="107" t="n">
        <x:v>-11.03734503</x:v>
      </x:c>
      <x:c r="K411" s="107" t="n">
        <x:v>-11.5026228</x:v>
      </x:c>
      <x:c r="L411" s="107" t="n">
        <x:v>-11.5026228</x:v>
      </x:c>
      <x:c r="M411" s="107" t="n">
        <x:v>-11.5026228</x:v>
      </x:c>
      <x:c r="N411" s="108"/>
      <x:c r="O411" s="108"/>
      <x:c r="P411" s="108"/>
      <x:c r="Q411" s="9" t="str">
        <x:v>Forecast</x:v>
      </x:c>
      <x:c r="R411" s="9" t="n">
        <x:v>2027</x:v>
      </x:c>
      <x:c r="S411" s="9" t="str">
        <x:v>2027-02</x:v>
      </x:c>
    </x:row>
    <x:row r="412" ht="17" customHeight="1">
      <x:c r="A412" s="9" t="str">
        <x:v>2027-02-01</x:v>
      </x:c>
      <x:c r="B412" s="9" t="str">
        <x:v>Sales</x:v>
      </x:c>
      <x:c r="C412" s="107" t="n">
        <x:v>68.68771215000001</x:v>
      </x:c>
      <x:c r="D412" s="107" t="n">
        <x:v>0.24166667</x:v>
      </x:c>
      <x:c r="E412" s="107" t="n">
        <x:v>0</x:v>
      </x:c>
      <x:c r="F412" s="107" t="n">
        <x:v>25.011037469999998</x:v>
      </x:c>
      <x:c r="G412" s="107" t="n">
        <x:v>135.27322868000002</x:v>
      </x:c>
      <x:c r="H412" s="107" t="n">
        <x:v>0</x:v>
      </x:c>
      <x:c r="I412" s="107" t="n">
        <x:v>66.58551653</x:v>
      </x:c>
      <x:c r="J412" s="107" t="n">
        <x:v>41.57447906</x:v>
      </x:c>
      <x:c r="K412" s="107" t="n">
        <x:v>41.33281239</x:v>
      </x:c>
      <x:c r="L412" s="107" t="n">
        <x:v>41.33281239</x:v>
      </x:c>
      <x:c r="M412" s="107" t="n">
        <x:v>41.33281239</x:v>
      </x:c>
      <x:c r="N412" s="108" t="n">
        <x:v>0.49222981649616376</x:v>
      </x:c>
      <x:c r="O412" s="108" t="n">
        <x:v>0.30733707966968</x:v>
      </x:c>
      <x:c r="P412" s="108" t="n">
        <x:v>0.3055505719300615</x:v>
      </x:c>
      <x:c r="Q412" s="9" t="str">
        <x:v>Forecast</x:v>
      </x:c>
      <x:c r="R412" s="9" t="n">
        <x:v>2027</x:v>
      </x:c>
      <x:c r="S412" s="9" t="str">
        <x:v>2027-02</x:v>
      </x:c>
    </x:row>
    <x:row r="413" ht="17" customHeight="1">
      <x:c r="A413" s="9" t="str">
        <x:v>2027-02-01</x:v>
      </x:c>
      <x:c r="B413" s="9" t="str">
        <x:v>Technology</x:v>
      </x:c>
      <x:c r="C413" s="107" t="n">
        <x:v>0</x:v>
      </x:c>
      <x:c r="D413" s="107" t="n">
        <x:v>0.6947916700000001</x:v>
      </x:c>
      <x:c r="E413" s="107" t="n">
        <x:v>0</x:v>
      </x:c>
      <x:c r="F413" s="107" t="n">
        <x:v>9.91919689</x:v>
      </x:c>
      <x:c r="G413" s="107" t="n">
        <x:v>0</x:v>
      </x:c>
      <x:c r="H413" s="107" t="n">
        <x:v>0</x:v>
      </x:c>
      <x:c r="I413" s="107" t="n">
        <x:v>0</x:v>
      </x:c>
      <x:c r="J413" s="107" t="n">
        <x:v>-9.91919689</x:v>
      </x:c>
      <x:c r="K413" s="107" t="n">
        <x:v>-10.613988560000001</x:v>
      </x:c>
      <x:c r="L413" s="107" t="n">
        <x:v>-10.613988560000001</x:v>
      </x:c>
      <x:c r="M413" s="107" t="n">
        <x:v>-10.613988560000001</x:v>
      </x:c>
      <x:c r="N413" s="108"/>
      <x:c r="O413" s="108"/>
      <x:c r="P413" s="108"/>
      <x:c r="Q413" s="9" t="str">
        <x:v>Forecast</x:v>
      </x:c>
      <x:c r="R413" s="9" t="n">
        <x:v>2027</x:v>
      </x:c>
      <x:c r="S413" s="9" t="str">
        <x:v>2027-02</x:v>
      </x:c>
    </x:row>
    <x:row r="414" ht="17" customHeight="1">
      <x:c r="A414" s="9" t="str">
        <x:v>2027-03-01</x:v>
      </x:c>
      <x:c r="B414" s="9" t="str">
        <x:v>Customer Success</x:v>
      </x:c>
      <x:c r="C414" s="107" t="n">
        <x:v>2.41896287</x:v>
      </x:c>
      <x:c r="D414" s="107" t="n">
        <x:v>0.42083334</x:v>
      </x:c>
      <x:c r="E414" s="107" t="n">
        <x:v>0</x:v>
      </x:c>
      <x:c r="F414" s="107" t="n">
        <x:v>3.5124336499999997</x:v>
      </x:c>
      <x:c r="G414" s="107" t="n">
        <x:v>9.649097320000001</x:v>
      </x:c>
      <x:c r="H414" s="107" t="n">
        <x:v>0</x:v>
      </x:c>
      <x:c r="I414" s="107" t="n">
        <x:v>7.23013445</x:v>
      </x:c>
      <x:c r="J414" s="107" t="n">
        <x:v>3.7177008000000002</x:v>
      </x:c>
      <x:c r="K414" s="107" t="n">
        <x:v>3.2968674600000005</x:v>
      </x:c>
      <x:c r="L414" s="107" t="n">
        <x:v>3.2968674600000005</x:v>
      </x:c>
      <x:c r="M414" s="107" t="n">
        <x:v>3.2968674600000005</x:v>
      </x:c>
      <x:c r="N414" s="108" t="n">
        <x:v>0.7493068222054164</x:v>
      </x:c>
      <x:c r="O414" s="108" t="n">
        <x:v>0.38529000969802635</x:v>
      </x:c>
      <x:c r="P414" s="108" t="n">
        <x:v>0.3416762574429087</x:v>
      </x:c>
      <x:c r="Q414" s="9" t="str">
        <x:v>Forecast</x:v>
      </x:c>
      <x:c r="R414" s="9" t="n">
        <x:v>2027</x:v>
      </x:c>
      <x:c r="S414" s="9" t="str">
        <x:v>2027-03</x:v>
      </x:c>
    </x:row>
    <x:row r="415" ht="17" customHeight="1">
      <x:c r="A415" s="9" t="str">
        <x:v>2027-03-01</x:v>
      </x:c>
      <x:c r="B415" s="9" t="str">
        <x:v>Finance &amp; Corporate</x:v>
      </x:c>
      <x:c r="C415" s="107" t="n">
        <x:v>0</x:v>
      </x:c>
      <x:c r="D415" s="107" t="n">
        <x:v>0.17</x:v>
      </x:c>
      <x:c r="E415" s="107" t="n">
        <x:v>0.45303552</x:v>
      </x:c>
      <x:c r="F415" s="107" t="n">
        <x:v>7.31084643</x:v>
      </x:c>
      <x:c r="G415" s="107" t="n">
        <x:v>0</x:v>
      </x:c>
      <x:c r="H415" s="107" t="n">
        <x:v>2.9884243500000003</x:v>
      </x:c>
      <x:c r="I415" s="107" t="n">
        <x:v>0</x:v>
      </x:c>
      <x:c r="J415" s="107" t="n">
        <x:v>-7.31084643</x:v>
      </x:c>
      <x:c r="K415" s="107" t="n">
        <x:v>-7.48084643</x:v>
      </x:c>
      <x:c r="L415" s="107" t="n">
        <x:v>-7.933881949999999</x:v>
      </x:c>
      <x:c r="M415" s="107" t="n">
        <x:v>-10.922306299999999</x:v>
      </x:c>
      <x:c r="N415" s="108"/>
      <x:c r="O415" s="108"/>
      <x:c r="P415" s="108"/>
      <x:c r="Q415" s="9" t="str">
        <x:v>Forecast</x:v>
      </x:c>
      <x:c r="R415" s="9" t="n">
        <x:v>2027</x:v>
      </x:c>
      <x:c r="S415" s="9" t="str">
        <x:v>2027-03</x:v>
      </x:c>
    </x:row>
    <x:row r="416" ht="17" customHeight="1">
      <x:c r="A416" s="9" t="str">
        <x:v>2027-03-01</x:v>
      </x:c>
      <x:c r="B416" s="9" t="str">
        <x:v>Marketing</x:v>
      </x:c>
      <x:c r="C416" s="107" t="n">
        <x:v>0</x:v>
      </x:c>
      <x:c r="D416" s="107" t="n">
        <x:v>0</x:v>
      </x:c>
      <x:c r="E416" s="107" t="n">
        <x:v>0</x:v>
      </x:c>
      <x:c r="F416" s="107" t="n">
        <x:v>7.86726937</x:v>
      </x:c>
      <x:c r="G416" s="107" t="n">
        <x:v>0</x:v>
      </x:c>
      <x:c r="H416" s="107" t="n">
        <x:v>0</x:v>
      </x:c>
      <x:c r="I416" s="107" t="n">
        <x:v>0</x:v>
      </x:c>
      <x:c r="J416" s="107" t="n">
        <x:v>-7.86726937</x:v>
      </x:c>
      <x:c r="K416" s="107" t="n">
        <x:v>-7.86726937</x:v>
      </x:c>
      <x:c r="L416" s="107" t="n">
        <x:v>-7.86726937</x:v>
      </x:c>
      <x:c r="M416" s="107" t="n">
        <x:v>-7.86726937</x:v>
      </x:c>
      <x:c r="N416" s="108"/>
      <x:c r="O416" s="108"/>
      <x:c r="P416" s="108"/>
      <x:c r="Q416" s="9" t="str">
        <x:v>Forecast</x:v>
      </x:c>
      <x:c r="R416" s="9" t="n">
        <x:v>2027</x:v>
      </x:c>
      <x:c r="S416" s="9" t="str">
        <x:v>2027-03</x:v>
      </x:c>
    </x:row>
    <x:row r="417" ht="17" customHeight="1">
      <x:c r="A417" s="9" t="str">
        <x:v>2027-03-01</x:v>
      </x:c>
      <x:c r="B417" s="9" t="str">
        <x:v>Operations</x:v>
      </x:c>
      <x:c r="C417" s="107" t="n">
        <x:v>0</x:v>
      </x:c>
      <x:c r="D417" s="107" t="n">
        <x:v>0.46527777000000003</x:v>
      </x:c>
      <x:c r="E417" s="107" t="n">
        <x:v>0</x:v>
      </x:c>
      <x:c r="F417" s="107" t="n">
        <x:v>11.09901783</x:v>
      </x:c>
      <x:c r="G417" s="107" t="n">
        <x:v>0</x:v>
      </x:c>
      <x:c r="H417" s="107" t="n">
        <x:v>0</x:v>
      </x:c>
      <x:c r="I417" s="107" t="n">
        <x:v>0</x:v>
      </x:c>
      <x:c r="J417" s="107" t="n">
        <x:v>-11.09901783</x:v>
      </x:c>
      <x:c r="K417" s="107" t="n">
        <x:v>-11.5642956</x:v>
      </x:c>
      <x:c r="L417" s="107" t="n">
        <x:v>-11.5642956</x:v>
      </x:c>
      <x:c r="M417" s="107" t="n">
        <x:v>-11.5642956</x:v>
      </x:c>
      <x:c r="N417" s="108"/>
      <x:c r="O417" s="108"/>
      <x:c r="P417" s="108"/>
      <x:c r="Q417" s="9" t="str">
        <x:v>Forecast</x:v>
      </x:c>
      <x:c r="R417" s="9" t="n">
        <x:v>2027</x:v>
      </x:c>
      <x:c r="S417" s="9" t="str">
        <x:v>2027-03</x:v>
      </x:c>
    </x:row>
    <x:row r="418" ht="17" customHeight="1">
      <x:c r="A418" s="9" t="str">
        <x:v>2027-03-01</x:v>
      </x:c>
      <x:c r="B418" s="9" t="str">
        <x:v>Sales</x:v>
      </x:c>
      <x:c r="C418" s="107" t="n">
        <x:v>75.10889798000001</x:v>
      </x:c>
      <x:c r="D418" s="107" t="n">
        <x:v>0.24166667</x:v>
      </x:c>
      <x:c r="E418" s="107" t="n">
        <x:v>0</x:v>
      </x:c>
      <x:c r="F418" s="107" t="n">
        <x:v>25.58227074</x:v>
      </x:c>
      <x:c r="G418" s="107" t="n">
        <x:v>147.62071207999998</x:v>
      </x:c>
      <x:c r="H418" s="107" t="n">
        <x:v>0</x:v>
      </x:c>
      <x:c r="I418" s="107" t="n">
        <x:v>72.51181409999998</x:v>
      </x:c>
      <x:c r="J418" s="107" t="n">
        <x:v>46.92954335999998</x:v>
      </x:c>
      <x:c r="K418" s="107" t="n">
        <x:v>46.68787668999998</x:v>
      </x:c>
      <x:c r="L418" s="107" t="n">
        <x:v>46.68787668999998</x:v>
      </x:c>
      <x:c r="M418" s="107" t="n">
        <x:v>46.68787668999998</x:v>
      </x:c>
      <x:c r="N418" s="108" t="n">
        <x:v>0.4912035247513486</x:v>
      </x:c>
      <x:c r="O418" s="108" t="n">
        <x:v>0.31790622534436425</x:v>
      </x:c>
      <x:c r="P418" s="108" t="n">
        <x:v>0.3162691470062714</x:v>
      </x:c>
      <x:c r="Q418" s="9" t="str">
        <x:v>Forecast</x:v>
      </x:c>
      <x:c r="R418" s="9" t="n">
        <x:v>2027</x:v>
      </x:c>
      <x:c r="S418" s="9" t="str">
        <x:v>2027-03</x:v>
      </x:c>
    </x:row>
    <x:row r="419" ht="17" customHeight="1">
      <x:c r="A419" s="9" t="str">
        <x:v>2027-03-01</x:v>
      </x:c>
      <x:c r="B419" s="9" t="str">
        <x:v>Technology</x:v>
      </x:c>
      <x:c r="C419" s="107" t="n">
        <x:v>0</x:v>
      </x:c>
      <x:c r="D419" s="107" t="n">
        <x:v>0.6947916700000001</x:v>
      </x:c>
      <x:c r="E419" s="107" t="n">
        <x:v>0</x:v>
      </x:c>
      <x:c r="F419" s="107" t="n">
        <x:v>9.97080817</x:v>
      </x:c>
      <x:c r="G419" s="107" t="n">
        <x:v>0</x:v>
      </x:c>
      <x:c r="H419" s="107" t="n">
        <x:v>0</x:v>
      </x:c>
      <x:c r="I419" s="107" t="n">
        <x:v>0</x:v>
      </x:c>
      <x:c r="J419" s="107" t="n">
        <x:v>-9.97080817</x:v>
      </x:c>
      <x:c r="K419" s="107" t="n">
        <x:v>-10.66559984</x:v>
      </x:c>
      <x:c r="L419" s="107" t="n">
        <x:v>-10.66559984</x:v>
      </x:c>
      <x:c r="M419" s="107" t="n">
        <x:v>-10.66559984</x:v>
      </x:c>
      <x:c r="N419" s="108"/>
      <x:c r="O419" s="108"/>
      <x:c r="P419" s="108"/>
      <x:c r="Q419" s="9" t="str">
        <x:v>Forecast</x:v>
      </x:c>
      <x:c r="R419" s="9" t="n">
        <x:v>2027</x:v>
      </x:c>
      <x:c r="S419" s="9" t="str">
        <x:v>2027-03</x:v>
      </x:c>
    </x:row>
    <x:row r="420" ht="17" customHeight="1">
      <x:c r="A420" s="9" t="str">
        <x:v>2027-04-01</x:v>
      </x:c>
      <x:c r="B420" s="9" t="str">
        <x:v>Customer Success</x:v>
      </x:c>
      <x:c r="C420" s="107" t="n">
        <x:v>2.5154356799999995</x:v>
      </x:c>
      <x:c r="D420" s="107" t="n">
        <x:v>0.42083334</x:v>
      </x:c>
      <x:c r="E420" s="107" t="n">
        <x:v>0</x:v>
      </x:c>
      <x:c r="F420" s="107" t="n">
        <x:v>3.8151248300000002</x:v>
      </x:c>
      <x:c r="G420" s="107" t="n">
        <x:v>10.03392157</x:v>
      </x:c>
      <x:c r="H420" s="107" t="n">
        <x:v>0</x:v>
      </x:c>
      <x:c r="I420" s="107" t="n">
        <x:v>7.518485890000001</x:v>
      </x:c>
      <x:c r="J420" s="107" t="n">
        <x:v>3.7033610600000006</x:v>
      </x:c>
      <x:c r="K420" s="107" t="n">
        <x:v>3.2825277200000005</x:v>
      </x:c>
      <x:c r="L420" s="107" t="n">
        <x:v>3.2825277200000005</x:v>
      </x:c>
      <x:c r="M420" s="107" t="n">
        <x:v>3.2825277200000005</x:v>
      </x:c>
      <x:c r="N420" s="108" t="n">
        <x:v>0.7493068226165137</x:v>
      </x:c>
      <x:c r="O420" s="108" t="n">
        <x:v>0.36908411473660746</x:v>
      </x:c>
      <x:c r="P420" s="108" t="n">
        <x:v>0.32714305140816446</x:v>
      </x:c>
      <x:c r="Q420" s="9" t="str">
        <x:v>Forecast</x:v>
      </x:c>
      <x:c r="R420" s="9" t="n">
        <x:v>2027</x:v>
      </x:c>
      <x:c r="S420" s="9" t="str">
        <x:v>2027-04</x:v>
      </x:c>
    </x:row>
    <x:row r="421" ht="17" customHeight="1">
      <x:c r="A421" s="9" t="str">
        <x:v>2027-04-01</x:v>
      </x:c>
      <x:c r="B421" s="9" t="str">
        <x:v>Finance &amp; Corporate</x:v>
      </x:c>
      <x:c r="C421" s="107" t="n">
        <x:v>0</x:v>
      </x:c>
      <x:c r="D421" s="107" t="n">
        <x:v>0.17</x:v>
      </x:c>
      <x:c r="E421" s="107" t="n">
        <x:v>0.45303552</x:v>
      </x:c>
      <x:c r="F421" s="107" t="n">
        <x:v>7.74310135</x:v>
      </x:c>
      <x:c r="G421" s="107" t="n">
        <x:v>0</x:v>
      </x:c>
      <x:c r="H421" s="107" t="n">
        <x:v>2.46105988</x:v>
      </x:c>
      <x:c r="I421" s="107" t="n">
        <x:v>0</x:v>
      </x:c>
      <x:c r="J421" s="107" t="n">
        <x:v>-7.74310135</x:v>
      </x:c>
      <x:c r="K421" s="107" t="n">
        <x:v>-7.91310135</x:v>
      </x:c>
      <x:c r="L421" s="107" t="n">
        <x:v>-8.36613687</x:v>
      </x:c>
      <x:c r="M421" s="107" t="n">
        <x:v>-10.82719675</x:v>
      </x:c>
      <x:c r="N421" s="108"/>
      <x:c r="O421" s="108"/>
      <x:c r="P421" s="108"/>
      <x:c r="Q421" s="9" t="str">
        <x:v>Forecast</x:v>
      </x:c>
      <x:c r="R421" s="9" t="n">
        <x:v>2027</x:v>
      </x:c>
      <x:c r="S421" s="9" t="str">
        <x:v>2027-04</x:v>
      </x:c>
    </x:row>
    <x:row r="422" ht="17" customHeight="1">
      <x:c r="A422" s="9" t="str">
        <x:v>2027-04-01</x:v>
      </x:c>
      <x:c r="B422" s="9" t="str">
        <x:v>Marketing</x:v>
      </x:c>
      <x:c r="C422" s="107" t="n">
        <x:v>0</x:v>
      </x:c>
      <x:c r="D422" s="107" t="n">
        <x:v>0</x:v>
      </x:c>
      <x:c r="E422" s="107" t="n">
        <x:v>0</x:v>
      </x:c>
      <x:c r="F422" s="107" t="n">
        <x:v>8.22258309</x:v>
      </x:c>
      <x:c r="G422" s="107" t="n">
        <x:v>0</x:v>
      </x:c>
      <x:c r="H422" s="107" t="n">
        <x:v>0</x:v>
      </x:c>
      <x:c r="I422" s="107" t="n">
        <x:v>0</x:v>
      </x:c>
      <x:c r="J422" s="107" t="n">
        <x:v>-8.22258309</x:v>
      </x:c>
      <x:c r="K422" s="107" t="n">
        <x:v>-8.22258309</x:v>
      </x:c>
      <x:c r="L422" s="107" t="n">
        <x:v>-8.22258309</x:v>
      </x:c>
      <x:c r="M422" s="107" t="n">
        <x:v>-8.22258309</x:v>
      </x:c>
      <x:c r="N422" s="108"/>
      <x:c r="O422" s="108"/>
      <x:c r="P422" s="108"/>
      <x:c r="Q422" s="9" t="str">
        <x:v>Forecast</x:v>
      </x:c>
      <x:c r="R422" s="9" t="n">
        <x:v>2027</x:v>
      </x:c>
      <x:c r="S422" s="9" t="str">
        <x:v>2027-04</x:v>
      </x:c>
    </x:row>
    <x:row r="423" ht="17" customHeight="1">
      <x:c r="A423" s="9" t="str">
        <x:v>2027-04-01</x:v>
      </x:c>
      <x:c r="B423" s="9" t="str">
        <x:v>Operations</x:v>
      </x:c>
      <x:c r="C423" s="107" t="n">
        <x:v>0</x:v>
      </x:c>
      <x:c r="D423" s="107" t="n">
        <x:v>0.46527777000000003</x:v>
      </x:c>
      <x:c r="E423" s="107" t="n">
        <x:v>0</x:v>
      </x:c>
      <x:c r="F423" s="107" t="n">
        <x:v>11.656669270000002</x:v>
      </x:c>
      <x:c r="G423" s="107" t="n">
        <x:v>0</x:v>
      </x:c>
      <x:c r="H423" s="107" t="n">
        <x:v>0</x:v>
      </x:c>
      <x:c r="I423" s="107" t="n">
        <x:v>0</x:v>
      </x:c>
      <x:c r="J423" s="107" t="n">
        <x:v>-11.656669270000002</x:v>
      </x:c>
      <x:c r="K423" s="107" t="n">
        <x:v>-12.12194704</x:v>
      </x:c>
      <x:c r="L423" s="107" t="n">
        <x:v>-12.12194704</x:v>
      </x:c>
      <x:c r="M423" s="107" t="n">
        <x:v>-12.12194704</x:v>
      </x:c>
      <x:c r="N423" s="108"/>
      <x:c r="O423" s="108"/>
      <x:c r="P423" s="108"/>
      <x:c r="Q423" s="9" t="str">
        <x:v>Forecast</x:v>
      </x:c>
      <x:c r="R423" s="9" t="n">
        <x:v>2027</x:v>
      </x:c>
      <x:c r="S423" s="9" t="str">
        <x:v>2027-04</x:v>
      </x:c>
    </x:row>
    <x:row r="424" ht="17" customHeight="1">
      <x:c r="A424" s="9" t="str">
        <x:v>2027-04-01</x:v>
      </x:c>
      <x:c r="B424" s="9" t="str">
        <x:v>Sales</x:v>
      </x:c>
      <x:c r="C424" s="107" t="n">
        <x:v>77.50274792</x:v>
      </x:c>
      <x:c r="D424" s="107" t="n">
        <x:v>0.24166667</x:v>
      </x:c>
      <x:c r="E424" s="107" t="n">
        <x:v>0</x:v>
      </x:c>
      <x:c r="F424" s="107" t="n">
        <x:v>28.093871829999998</x:v>
      </x:c>
      <x:c r="G424" s="107" t="n">
        <x:v>152.34531767</x:v>
      </x:c>
      <x:c r="H424" s="107" t="n">
        <x:v>0</x:v>
      </x:c>
      <x:c r="I424" s="107" t="n">
        <x:v>74.84256974999998</x:v>
      </x:c>
      <x:c r="J424" s="107" t="n">
        <x:v>46.748697919999984</x:v>
      </x:c>
      <x:c r="K424" s="107" t="n">
        <x:v>46.50703124999998</x:v>
      </x:c>
      <x:c r="L424" s="107" t="n">
        <x:v>46.50703124999998</x:v>
      </x:c>
      <x:c r="M424" s="107" t="n">
        <x:v>46.50703124999998</x:v>
      </x:c>
      <x:c r="N424" s="108" t="n">
        <x:v>0.49126924866912447</x:v>
      </x:c>
      <x:c r="O424" s="108" t="n">
        <x:v>0.3068600901884219</x:v>
      </x:c>
      <x:c r="P424" s="108" t="n">
        <x:v>0.30527378170388103</x:v>
      </x:c>
      <x:c r="Q424" s="9" t="str">
        <x:v>Forecast</x:v>
      </x:c>
      <x:c r="R424" s="9" t="n">
        <x:v>2027</x:v>
      </x:c>
      <x:c r="S424" s="9" t="str">
        <x:v>2027-04</x:v>
      </x:c>
    </x:row>
    <x:row r="425" ht="17" customHeight="1">
      <x:c r="A425" s="9" t="str">
        <x:v>2027-04-01</x:v>
      </x:c>
      <x:c r="B425" s="9" t="str">
        <x:v>Technology</x:v>
      </x:c>
      <x:c r="C425" s="107" t="n">
        <x:v>0</x:v>
      </x:c>
      <x:c r="D425" s="107" t="n">
        <x:v>0.6947916700000001</x:v>
      </x:c>
      <x:c r="E425" s="107" t="n">
        <x:v>0</x:v>
      </x:c>
      <x:c r="F425" s="107" t="n">
        <x:v>10.53986078</x:v>
      </x:c>
      <x:c r="G425" s="107" t="n">
        <x:v>0</x:v>
      </x:c>
      <x:c r="H425" s="107" t="n">
        <x:v>0</x:v>
      </x:c>
      <x:c r="I425" s="107" t="n">
        <x:v>0</x:v>
      </x:c>
      <x:c r="J425" s="107" t="n">
        <x:v>-10.53986078</x:v>
      </x:c>
      <x:c r="K425" s="107" t="n">
        <x:v>-11.234652449999999</x:v>
      </x:c>
      <x:c r="L425" s="107" t="n">
        <x:v>-11.234652449999999</x:v>
      </x:c>
      <x:c r="M425" s="107" t="n">
        <x:v>-11.234652449999999</x:v>
      </x:c>
      <x:c r="N425" s="108"/>
      <x:c r="O425" s="108"/>
      <x:c r="P425" s="108"/>
      <x:c r="Q425" s="9" t="str">
        <x:v>Forecast</x:v>
      </x:c>
      <x:c r="R425" s="9" t="n">
        <x:v>2027</x:v>
      </x:c>
      <x:c r="S425" s="9" t="str">
        <x:v>2027-04</x:v>
      </x:c>
    </x:row>
    <x:row r="426" ht="17" customHeight="1">
      <x:c r="A426" s="9" t="str">
        <x:v>2027-05-01</x:v>
      </x:c>
      <x:c r="B426" s="9" t="str">
        <x:v>Customer Success</x:v>
      </x:c>
      <x:c r="C426" s="107" t="n">
        <x:v>2.57762879</x:v>
      </x:c>
      <x:c r="D426" s="107" t="n">
        <x:v>0.42083334</x:v>
      </x:c>
      <x:c r="E426" s="107" t="n">
        <x:v>0</x:v>
      </x:c>
      <x:c r="F426" s="107" t="n">
        <x:v>3.83984499</x:v>
      </x:c>
      <x:c r="G426" s="107" t="n">
        <x:v>10.28200615</x:v>
      </x:c>
      <x:c r="H426" s="107" t="n">
        <x:v>0</x:v>
      </x:c>
      <x:c r="I426" s="107" t="n">
        <x:v>7.7043773600000005</x:v>
      </x:c>
      <x:c r="J426" s="107" t="n">
        <x:v>3.86453237</x:v>
      </x:c>
      <x:c r="K426" s="107" t="n">
        <x:v>3.4436990300000003</x:v>
      </x:c>
      <x:c r="L426" s="107" t="n">
        <x:v>3.4436990300000003</x:v>
      </x:c>
      <x:c r="M426" s="107" t="n">
        <x:v>3.4436990300000003</x:v>
      </x:c>
      <x:c r="N426" s="108" t="n">
        <x:v>0.7493068227740751</x:v>
      </x:c>
      <x:c r="O426" s="108" t="n">
        <x:v>0.3758539251603151</x:v>
      </x:c>
      <x:c r="P426" s="108" t="n">
        <x:v>0.3349248171768503</x:v>
      </x:c>
      <x:c r="Q426" s="9" t="str">
        <x:v>Forecast</x:v>
      </x:c>
      <x:c r="R426" s="9" t="n">
        <x:v>2027</x:v>
      </x:c>
      <x:c r="S426" s="9" t="str">
        <x:v>2027-05</x:v>
      </x:c>
    </x:row>
    <x:row r="427" ht="17" customHeight="1">
      <x:c r="A427" s="9" t="str">
        <x:v>2027-05-01</x:v>
      </x:c>
      <x:c r="B427" s="9" t="str">
        <x:v>Finance &amp; Corporate</x:v>
      </x:c>
      <x:c r="C427" s="107" t="n">
        <x:v>0</x:v>
      </x:c>
      <x:c r="D427" s="107" t="n">
        <x:v>0.17</x:v>
      </x:c>
      <x:c r="E427" s="107" t="n">
        <x:v>0.45303552</x:v>
      </x:c>
      <x:c r="F427" s="107" t="n">
        <x:v>7.7807004300000004</x:v>
      </x:c>
      <x:c r="G427" s="107" t="n">
        <x:v>0</x:v>
      </x:c>
      <x:c r="H427" s="107" t="n">
        <x:v>2.61179275</x:v>
      </x:c>
      <x:c r="I427" s="107" t="n">
        <x:v>0</x:v>
      </x:c>
      <x:c r="J427" s="107" t="n">
        <x:v>-7.7807004300000004</x:v>
      </x:c>
      <x:c r="K427" s="107" t="n">
        <x:v>-7.95070043</x:v>
      </x:c>
      <x:c r="L427" s="107" t="n">
        <x:v>-8.403735950000002</x:v>
      </x:c>
      <x:c r="M427" s="107" t="n">
        <x:v>-11.0155287</x:v>
      </x:c>
      <x:c r="N427" s="108"/>
      <x:c r="O427" s="108"/>
      <x:c r="P427" s="108"/>
      <x:c r="Q427" s="9" t="str">
        <x:v>Forecast</x:v>
      </x:c>
      <x:c r="R427" s="9" t="n">
        <x:v>2027</x:v>
      </x:c>
      <x:c r="S427" s="9" t="str">
        <x:v>2027-05</x:v>
      </x:c>
    </x:row>
    <x:row r="428" ht="17" customHeight="1">
      <x:c r="A428" s="9" t="str">
        <x:v>2027-05-01</x:v>
      </x:c>
      <x:c r="B428" s="9" t="str">
        <x:v>Marketing</x:v>
      </x:c>
      <x:c r="C428" s="107" t="n">
        <x:v>0</x:v>
      </x:c>
      <x:c r="D428" s="107" t="n">
        <x:v>0</x:v>
      </x:c>
      <x:c r="E428" s="107" t="n">
        <x:v>0</x:v>
      </x:c>
      <x:c r="F428" s="107" t="n">
        <x:v>8.26926001</x:v>
      </x:c>
      <x:c r="G428" s="107" t="n">
        <x:v>0</x:v>
      </x:c>
      <x:c r="H428" s="107" t="n">
        <x:v>0</x:v>
      </x:c>
      <x:c r="I428" s="107" t="n">
        <x:v>0</x:v>
      </x:c>
      <x:c r="J428" s="107" t="n">
        <x:v>-8.26926001</x:v>
      </x:c>
      <x:c r="K428" s="107" t="n">
        <x:v>-8.26926001</x:v>
      </x:c>
      <x:c r="L428" s="107" t="n">
        <x:v>-8.26926001</x:v>
      </x:c>
      <x:c r="M428" s="107" t="n">
        <x:v>-8.26926001</x:v>
      </x:c>
      <x:c r="N428" s="108"/>
      <x:c r="O428" s="108"/>
      <x:c r="P428" s="108"/>
      <x:c r="Q428" s="9" t="str">
        <x:v>Forecast</x:v>
      </x:c>
      <x:c r="R428" s="9" t="n">
        <x:v>2027</x:v>
      </x:c>
      <x:c r="S428" s="9" t="str">
        <x:v>2027-05</x:v>
      </x:c>
    </x:row>
    <x:row r="429" ht="17" customHeight="1">
      <x:c r="A429" s="9" t="str">
        <x:v>2027-05-01</x:v>
      </x:c>
      <x:c r="B429" s="9" t="str">
        <x:v>Operations</x:v>
      </x:c>
      <x:c r="C429" s="107" t="n">
        <x:v>0</x:v>
      </x:c>
      <x:c r="D429" s="107" t="n">
        <x:v>0.46527777000000003</x:v>
      </x:c>
      <x:c r="E429" s="107" t="n">
        <x:v>0</x:v>
      </x:c>
      <x:c r="F429" s="107" t="n">
        <x:v>11.71932955</x:v>
      </x:c>
      <x:c r="G429" s="107" t="n">
        <x:v>0</x:v>
      </x:c>
      <x:c r="H429" s="107" t="n">
        <x:v>0</x:v>
      </x:c>
      <x:c r="I429" s="107" t="n">
        <x:v>0</x:v>
      </x:c>
      <x:c r="J429" s="107" t="n">
        <x:v>-11.71932955</x:v>
      </x:c>
      <x:c r="K429" s="107" t="n">
        <x:v>-12.184607319999998</x:v>
      </x:c>
      <x:c r="L429" s="107" t="n">
        <x:v>-12.184607319999998</x:v>
      </x:c>
      <x:c r="M429" s="107" t="n">
        <x:v>-12.184607319999998</x:v>
      </x:c>
      <x:c r="N429" s="108"/>
      <x:c r="O429" s="108"/>
      <x:c r="P429" s="108"/>
      <x:c r="Q429" s="9" t="str">
        <x:v>Forecast</x:v>
      </x:c>
      <x:c r="R429" s="9" t="n">
        <x:v>2027</x:v>
      </x:c>
      <x:c r="S429" s="9" t="str">
        <x:v>2027-05</x:v>
      </x:c>
    </x:row>
    <x:row r="430" ht="17" customHeight="1">
      <x:c r="A430" s="9" t="str">
        <x:v>2027-05-01</x:v>
      </x:c>
      <x:c r="B430" s="9" t="str">
        <x:v>Sales</x:v>
      </x:c>
      <x:c r="C430" s="107" t="n">
        <x:v>77.65627063</x:v>
      </x:c>
      <x:c r="D430" s="107" t="n">
        <x:v>0.24166667</x:v>
      </x:c>
      <x:c r="E430" s="107" t="n">
        <x:v>0</x:v>
      </x:c>
      <x:c r="F430" s="107" t="n">
        <x:v>28.229484059999997</x:v>
      </x:c>
      <x:c r="G430" s="107" t="n">
        <x:v>153.27558672</x:v>
      </x:c>
      <x:c r="H430" s="107" t="n">
        <x:v>0</x:v>
      </x:c>
      <x:c r="I430" s="107" t="n">
        <x:v>75.61931609</x:v>
      </x:c>
      <x:c r="J430" s="107" t="n">
        <x:v>47.38983203</x:v>
      </x:c>
      <x:c r="K430" s="107" t="n">
        <x:v>47.14816536</x:v>
      </x:c>
      <x:c r="L430" s="107" t="n">
        <x:v>47.14816536</x:v>
      </x:c>
      <x:c r="M430" s="107" t="n">
        <x:v>47.14816536</x:v>
      </x:c>
      <x:c r="N430" s="108" t="n">
        <x:v>0.49335525446814615</x:v>
      </x:c>
      <x:c r="O430" s="108" t="n">
        <x:v>0.3091805619153855</x:v>
      </x:c>
      <x:c r="P430" s="108" t="n">
        <x:v>0.307603881145985</x:v>
      </x:c>
      <x:c r="Q430" s="9" t="str">
        <x:v>Forecast</x:v>
      </x:c>
      <x:c r="R430" s="9" t="n">
        <x:v>2027</x:v>
      </x:c>
      <x:c r="S430" s="9" t="str">
        <x:v>2027-05</x:v>
      </x:c>
    </x:row>
    <x:row r="431" ht="17" customHeight="1">
      <x:c r="A431" s="9" t="str">
        <x:v>2027-05-01</x:v>
      </x:c>
      <x:c r="B431" s="9" t="str">
        <x:v>Technology</x:v>
      </x:c>
      <x:c r="C431" s="107" t="n">
        <x:v>0</x:v>
      </x:c>
      <x:c r="D431" s="107" t="n">
        <x:v>0.6947916700000001</x:v>
      </x:c>
      <x:c r="E431" s="107" t="n">
        <x:v>0</x:v>
      </x:c>
      <x:c r="F431" s="107" t="n">
        <x:v>10.59229846</x:v>
      </x:c>
      <x:c r="G431" s="107" t="n">
        <x:v>0</x:v>
      </x:c>
      <x:c r="H431" s="107" t="n">
        <x:v>0</x:v>
      </x:c>
      <x:c r="I431" s="107" t="n">
        <x:v>0</x:v>
      </x:c>
      <x:c r="J431" s="107" t="n">
        <x:v>-10.59229846</x:v>
      </x:c>
      <x:c r="K431" s="107" t="n">
        <x:v>-11.287090130000001</x:v>
      </x:c>
      <x:c r="L431" s="107" t="n">
        <x:v>-11.287090130000001</x:v>
      </x:c>
      <x:c r="M431" s="107" t="n">
        <x:v>-11.287090130000001</x:v>
      </x:c>
      <x:c r="N431" s="108"/>
      <x:c r="O431" s="108"/>
      <x:c r="P431" s="108"/>
      <x:c r="Q431" s="9" t="str">
        <x:v>Forecast</x:v>
      </x:c>
      <x:c r="R431" s="9" t="n">
        <x:v>2027</x:v>
      </x:c>
      <x:c r="S431" s="9" t="str">
        <x:v>2027-05</x:v>
      </x:c>
    </x:row>
    <x:row r="432" ht="17" customHeight="1">
      <x:c r="A432" s="9" t="str">
        <x:v>2027-06-01</x:v>
      </x:c>
      <x:c r="B432" s="9" t="str">
        <x:v>Customer Success</x:v>
      </x:c>
      <x:c r="C432" s="107" t="n">
        <x:v>2.64811252</x:v>
      </x:c>
      <x:c r="D432" s="107" t="n">
        <x:v>0.42083334</x:v>
      </x:c>
      <x:c r="E432" s="107" t="n">
        <x:v>0</x:v>
      </x:c>
      <x:c r="F432" s="107" t="n">
        <x:v>3.86675291</x:v>
      </x:c>
      <x:c r="G432" s="107" t="n">
        <x:v>10.56316154</x:v>
      </x:c>
      <x:c r="H432" s="107" t="n">
        <x:v>0</x:v>
      </x:c>
      <x:c r="I432" s="107" t="n">
        <x:v>7.91504902</x:v>
      </x:c>
      <x:c r="J432" s="107" t="n">
        <x:v>4.048296109999999</x:v>
      </x:c>
      <x:c r="K432" s="107" t="n">
        <x:v>3.6274627699999997</x:v>
      </x:c>
      <x:c r="L432" s="107" t="n">
        <x:v>3.6274627699999997</x:v>
      </x:c>
      <x:c r="M432" s="107" t="n">
        <x:v>3.6274627699999997</x:v>
      </x:c>
      <x:c r="N432" s="108" t="n">
        <x:v>0.7493068235326826</x:v>
      </x:c>
      <x:c r="O432" s="108" t="n">
        <x:v>0.3832466345109023</x:v>
      </x:c>
      <x:c r="P432" s="108" t="n">
        <x:v>0.34340692000815504</x:v>
      </x:c>
      <x:c r="Q432" s="9" t="str">
        <x:v>Forecast</x:v>
      </x:c>
      <x:c r="R432" s="9" t="n">
        <x:v>2027</x:v>
      </x:c>
      <x:c r="S432" s="9" t="str">
        <x:v>2027-06</x:v>
      </x:c>
    </x:row>
    <x:row r="433" ht="17" customHeight="1">
      <x:c r="A433" s="9" t="str">
        <x:v>2027-06-01</x:v>
      </x:c>
      <x:c r="B433" s="9" t="str">
        <x:v>Finance &amp; Corporate</x:v>
      </x:c>
      <x:c r="C433" s="107" t="n">
        <x:v>0</x:v>
      </x:c>
      <x:c r="D433" s="107" t="n">
        <x:v>0.17</x:v>
      </x:c>
      <x:c r="E433" s="107" t="n">
        <x:v>0.45303552</x:v>
      </x:c>
      <x:c r="F433" s="107" t="n">
        <x:v>7.8185993300000005</x:v>
      </x:c>
      <x:c r="G433" s="107" t="n">
        <x:v>0</x:v>
      </x:c>
      <x:c r="H433" s="107" t="n">
        <x:v>2.93787768</x:v>
      </x:c>
      <x:c r="I433" s="107" t="n">
        <x:v>0</x:v>
      </x:c>
      <x:c r="J433" s="107" t="n">
        <x:v>-7.8185993300000005</x:v>
      </x:c>
      <x:c r="K433" s="107" t="n">
        <x:v>-7.98859933</x:v>
      </x:c>
      <x:c r="L433" s="107" t="n">
        <x:v>-8.44163485</x:v>
      </x:c>
      <x:c r="M433" s="107" t="n">
        <x:v>-11.37951253</x:v>
      </x:c>
      <x:c r="N433" s="108"/>
      <x:c r="O433" s="108"/>
      <x:c r="P433" s="108"/>
      <x:c r="Q433" s="9" t="str">
        <x:v>Forecast</x:v>
      </x:c>
      <x:c r="R433" s="9" t="n">
        <x:v>2027</x:v>
      </x:c>
      <x:c r="S433" s="9" t="str">
        <x:v>2027-06</x:v>
      </x:c>
    </x:row>
    <x:row r="434" ht="17" customHeight="1">
      <x:c r="A434" s="9" t="str">
        <x:v>2027-06-01</x:v>
      </x:c>
      <x:c r="B434" s="9" t="str">
        <x:v>Marketing</x:v>
      </x:c>
      <x:c r="C434" s="107" t="n">
        <x:v>0</x:v>
      </x:c>
      <x:c r="D434" s="107" t="n">
        <x:v>0</x:v>
      </x:c>
      <x:c r="E434" s="107" t="n">
        <x:v>0</x:v>
      </x:c>
      <x:c r="F434" s="107" t="n">
        <x:v>8.31630915</x:v>
      </x:c>
      <x:c r="G434" s="107" t="n">
        <x:v>0</x:v>
      </x:c>
      <x:c r="H434" s="107" t="n">
        <x:v>0</x:v>
      </x:c>
      <x:c r="I434" s="107" t="n">
        <x:v>0</x:v>
      </x:c>
      <x:c r="J434" s="107" t="n">
        <x:v>-8.31630915</x:v>
      </x:c>
      <x:c r="K434" s="107" t="n">
        <x:v>-8.31630915</x:v>
      </x:c>
      <x:c r="L434" s="107" t="n">
        <x:v>-8.31630915</x:v>
      </x:c>
      <x:c r="M434" s="107" t="n">
        <x:v>-8.31630915</x:v>
      </x:c>
      <x:c r="N434" s="108"/>
      <x:c r="O434" s="108"/>
      <x:c r="P434" s="108"/>
      <x:c r="Q434" s="9" t="str">
        <x:v>Forecast</x:v>
      </x:c>
      <x:c r="R434" s="9" t="n">
        <x:v>2027</x:v>
      </x:c>
      <x:c r="S434" s="9" t="str">
        <x:v>2027-06</x:v>
      </x:c>
    </x:row>
    <x:row r="435" ht="17" customHeight="1">
      <x:c r="A435" s="9" t="str">
        <x:v>2027-06-01</x:v>
      </x:c>
      <x:c r="B435" s="9" t="str">
        <x:v>Operations</x:v>
      </x:c>
      <x:c r="C435" s="107" t="n">
        <x:v>0</x:v>
      </x:c>
      <x:c r="D435" s="107" t="n">
        <x:v>0.46527777000000003</x:v>
      </x:c>
      <x:c r="E435" s="107" t="n">
        <x:v>0</x:v>
      </x:c>
      <x:c r="F435" s="107" t="n">
        <x:v>11.7824895</x:v>
      </x:c>
      <x:c r="G435" s="107" t="n">
        <x:v>0</x:v>
      </x:c>
      <x:c r="H435" s="107" t="n">
        <x:v>0</x:v>
      </x:c>
      <x:c r="I435" s="107" t="n">
        <x:v>0</x:v>
      </x:c>
      <x:c r="J435" s="107" t="n">
        <x:v>-11.7824895</x:v>
      </x:c>
      <x:c r="K435" s="107" t="n">
        <x:v>-12.247767269999999</x:v>
      </x:c>
      <x:c r="L435" s="107" t="n">
        <x:v>-12.247767269999999</x:v>
      </x:c>
      <x:c r="M435" s="107" t="n">
        <x:v>-12.247767269999999</x:v>
      </x:c>
      <x:c r="N435" s="108"/>
      <x:c r="O435" s="108"/>
      <x:c r="P435" s="108"/>
      <x:c r="Q435" s="9" t="str">
        <x:v>Forecast</x:v>
      </x:c>
      <x:c r="R435" s="9" t="n">
        <x:v>2027</x:v>
      </x:c>
      <x:c r="S435" s="9" t="str">
        <x:v>2027-06</x:v>
      </x:c>
    </x:row>
    <x:row r="436" ht="17" customHeight="1">
      <x:c r="A436" s="9" t="str">
        <x:v>2027-06-01</x:v>
      </x:c>
      <x:c r="B436" s="9" t="str">
        <x:v>Sales</x:v>
      </x:c>
      <x:c r="C436" s="107" t="n">
        <x:v>78.37349476</x:v>
      </x:c>
      <x:c r="D436" s="107" t="n">
        <x:v>0.24166667</x:v>
      </x:c>
      <x:c r="E436" s="107" t="n">
        <x:v>0</x:v>
      </x:c>
      <x:c r="F436" s="107" t="n">
        <x:v>28.40917511</x:v>
      </x:c>
      <x:c r="G436" s="107" t="n">
        <x:v>155.32425003</x:v>
      </x:c>
      <x:c r="H436" s="107" t="n">
        <x:v>0</x:v>
      </x:c>
      <x:c r="I436" s="107" t="n">
        <x:v>76.95075527</x:v>
      </x:c>
      <x:c r="J436" s="107" t="n">
        <x:v>48.541580159999995</x:v>
      </x:c>
      <x:c r="K436" s="107" t="n">
        <x:v>48.299913489999994</x:v>
      </x:c>
      <x:c r="L436" s="107" t="n">
        <x:v>48.299913489999994</x:v>
      </x:c>
      <x:c r="M436" s="107" t="n">
        <x:v>48.299913489999994</x:v>
      </x:c>
      <x:c r="N436" s="108" t="n">
        <x:v>0.49542009863326164</x:v>
      </x:c>
      <x:c r="O436" s="108" t="n">
        <x:v>0.312517717939243</x:v>
      </x:c>
      <x:c r="P436" s="108" t="n">
        <x:v>0.3109618329441226</x:v>
      </x:c>
      <x:c r="Q436" s="9" t="str">
        <x:v>Forecast</x:v>
      </x:c>
      <x:c r="R436" s="9" t="n">
        <x:v>2027</x:v>
      </x:c>
      <x:c r="S436" s="9" t="str">
        <x:v>2027-06</x:v>
      </x:c>
    </x:row>
    <x:row r="437" ht="17" customHeight="1">
      <x:c r="A437" s="9" t="str">
        <x:v>2027-06-01</x:v>
      </x:c>
      <x:c r="B437" s="9" t="str">
        <x:v>Technology</x:v>
      </x:c>
      <x:c r="C437" s="107" t="n">
        <x:v>0</x:v>
      </x:c>
      <x:c r="D437" s="107" t="n">
        <x:v>0.525</x:v>
      </x:c>
      <x:c r="E437" s="107" t="n">
        <x:v>0</x:v>
      </x:c>
      <x:c r="F437" s="107" t="n">
        <x:v>10.64515428</x:v>
      </x:c>
      <x:c r="G437" s="107" t="n">
        <x:v>0</x:v>
      </x:c>
      <x:c r="H437" s="107" t="n">
        <x:v>0</x:v>
      </x:c>
      <x:c r="I437" s="107" t="n">
        <x:v>0</x:v>
      </x:c>
      <x:c r="J437" s="107" t="n">
        <x:v>-10.64515428</x:v>
      </x:c>
      <x:c r="K437" s="107" t="n">
        <x:v>-11.17015428</x:v>
      </x:c>
      <x:c r="L437" s="107" t="n">
        <x:v>-11.17015428</x:v>
      </x:c>
      <x:c r="M437" s="107" t="n">
        <x:v>-11.17015428</x:v>
      </x:c>
      <x:c r="N437" s="108"/>
      <x:c r="O437" s="108"/>
      <x:c r="P437" s="108"/>
      <x:c r="Q437" s="9" t="str">
        <x:v>Forecast</x:v>
      </x:c>
      <x:c r="R437" s="9" t="n">
        <x:v>2027</x:v>
      </x:c>
      <x:c r="S437" s="9" t="str">
        <x:v>2027-06</x:v>
      </x:c>
    </x:row>
  </x:sheetData>
  <x:mergeCells>
    <x:mergeCell ref="A1:S2"/>
    <x:mergeCell ref="A3:S3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5" hidden="0" customWidth="1"/>
    <x:col min="18" max="18" width="15" hidden="0" customWidth="1"/>
    <x:col min="19" max="19" width="15" hidden="0" customWidth="1"/>
  </x:cols>
  <x:sheetData>
    <x:row r="1" ht="25" customHeight="1">
      <x:c r="A1" s="3" t="str">
        <x:v>Business Unit Data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25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</x:row>
    <x:row r="3" ht="25" customHeight="1">
      <x:c r="A3" s="6" t="str">
        <x:v>Monthly P&amp;L by business unit and version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  <x:c r="S3" s="6"/>
    </x:row>
    <x:row r="5" ht="17" customHeight="1">
      <x:c r="A5" s="13" t="str">
        <x:v>Month</x:v>
      </x:c>
      <x:c r="B5" s="13" t="str">
        <x:v>BusinessUnit</x:v>
      </x:c>
      <x:c r="C5" s="13" t="str">
        <x:v>COGSTRY</x:v>
      </x:c>
      <x:c r="D5" s="13" t="str">
        <x:v>DepreciationTRY</x:v>
      </x:c>
      <x:c r="E5" s="13" t="str">
        <x:v>InterestTRY</x:v>
      </x:c>
      <x:c r="F5" s="13" t="str">
        <x:v>OperatingExpenseTRY</x:v>
      </x:c>
      <x:c r="G5" s="13" t="str">
        <x:v>RevenueTRY</x:v>
      </x:c>
      <x:c r="H5" s="13" t="str">
        <x:v>TaxTRY</x:v>
      </x:c>
      <x:c r="I5" s="13" t="str">
        <x:v>GrossProfitTRY</x:v>
      </x:c>
      <x:c r="J5" s="13" t="str">
        <x:v>EBITDATRY</x:v>
      </x:c>
      <x:c r="K5" s="13" t="str">
        <x:v>EBITTRY</x:v>
      </x:c>
      <x:c r="L5" s="13" t="str">
        <x:v>EBTTRY</x:v>
      </x:c>
      <x:c r="M5" s="13" t="str">
        <x:v>NetIncomeTRY</x:v>
      </x:c>
      <x:c r="N5" s="13" t="str">
        <x:v>GrossMarginPct</x:v>
      </x:c>
      <x:c r="O5" s="13" t="str">
        <x:v>EBITDAMarginPct</x:v>
      </x:c>
      <x:c r="P5" s="13" t="str">
        <x:v>NetIncomeMarginPct</x:v>
      </x:c>
      <x:c r="Q5" s="13" t="str">
        <x:v>Version</x:v>
      </x:c>
      <x:c r="R5" s="13" t="str">
        <x:v>Year</x:v>
      </x:c>
      <x:c r="S5" s="13" t="str">
        <x:v>MonthKey</x:v>
      </x:c>
    </x:row>
    <x:row r="6" ht="17" customHeight="1">
      <x:c r="A6" s="9" t="str">
        <x:v>2023-01-01</x:v>
      </x:c>
      <x:c r="B6" s="9" t="str">
        <x:v>Digital Commerce</x:v>
      </x:c>
      <x:c r="C6" s="107" t="n">
        <x:v>15.678859329999998</x:v>
      </x:c>
      <x:c r="D6" s="107" t="n">
        <x:v>0</x:v>
      </x:c>
      <x:c r="E6" s="107" t="n">
        <x:v>0</x:v>
      </x:c>
      <x:c r="F6" s="107" t="n">
        <x:v>6.38523054</x:v>
      </x:c>
      <x:c r="G6" s="107" t="n">
        <x:v>33.96676351</x:v>
      </x:c>
      <x:c r="H6" s="107" t="n">
        <x:v>0</x:v>
      </x:c>
      <x:c r="I6" s="107" t="n">
        <x:v>18.287904179999998</x:v>
      </x:c>
      <x:c r="J6" s="107" t="n">
        <x:v>11.90267364</x:v>
      </x:c>
      <x:c r="K6" s="107" t="n">
        <x:v>11.90267364</x:v>
      </x:c>
      <x:c r="L6" s="107" t="n">
        <x:v>11.90267364</x:v>
      </x:c>
      <x:c r="M6" s="107" t="n">
        <x:v>11.90267364</x:v>
      </x:c>
      <x:c r="N6" s="108" t="n">
        <x:v>0.5384058500191207</x:v>
      </x:c>
      <x:c r="O6" s="108" t="n">
        <x:v>0.3504211885390785</x:v>
      </x:c>
      <x:c r="P6" s="108" t="n">
        <x:v>0.3504211885390785</x:v>
      </x:c>
      <x:c r="Q6" s="9" t="str">
        <x:v>Actual</x:v>
      </x:c>
      <x:c r="R6" s="9" t="n">
        <x:v>2023</x:v>
      </x:c>
      <x:c r="S6" s="9" t="str">
        <x:v>2023-01</x:v>
      </x:c>
    </x:row>
    <x:row r="7" ht="17" customHeight="1">
      <x:c r="A7" s="9" t="str">
        <x:v>2023-01-01</x:v>
      </x:c>
      <x:c r="B7" s="9" t="str">
        <x:v>Retail Stores</x:v>
      </x:c>
      <x:c r="C7" s="107" t="n">
        <x:v>11.51323028</x:v>
      </x:c>
      <x:c r="D7" s="107" t="n">
        <x:v>0</x:v>
      </x:c>
      <x:c r="E7" s="107" t="n">
        <x:v>0</x:v>
      </x:c>
      <x:c r="F7" s="107" t="n">
        <x:v>5.4675318</x:v>
      </x:c>
      <x:c r="G7" s="107" t="n">
        <x:v>22.44474679</x:v>
      </x:c>
      <x:c r="H7" s="107" t="n">
        <x:v>0</x:v>
      </x:c>
      <x:c r="I7" s="107" t="n">
        <x:v>10.93151651</x:v>
      </x:c>
      <x:c r="J7" s="107" t="n">
        <x:v>5.46398471</x:v>
      </x:c>
      <x:c r="K7" s="107" t="n">
        <x:v>5.46398471</x:v>
      </x:c>
      <x:c r="L7" s="107" t="n">
        <x:v>5.46398471</x:v>
      </x:c>
      <x:c r="M7" s="107" t="n">
        <x:v>5.46398471</x:v>
      </x:c>
      <x:c r="N7" s="108" t="n">
        <x:v>0.48704120444211974</x:v>
      </x:c>
      <x:c r="O7" s="108" t="n">
        <x:v>0.24344158395381926</x:v>
      </x:c>
      <x:c r="P7" s="108" t="n">
        <x:v>0.24344158395381926</x:v>
      </x:c>
      <x:c r="Q7" s="9" t="str">
        <x:v>Actual</x:v>
      </x:c>
      <x:c r="R7" s="9" t="n">
        <x:v>2023</x:v>
      </x:c>
      <x:c r="S7" s="9" t="str">
        <x:v>2023-01</x:v>
      </x:c>
    </x:row>
    <x:row r="8" ht="17" customHeight="1">
      <x:c r="A8" s="9" t="str">
        <x:v>2023-01-01</x:v>
      </x:c>
      <x:c r="B8" s="9" t="str">
        <x:v>Shared Services</x:v>
      </x:c>
      <x:c r="C8" s="107" t="n">
        <x:v>0</x:v>
      </x:c>
      <x:c r="D8" s="107" t="n">
        <x:v>0</x:v>
      </x:c>
      <x:c r="E8" s="107" t="n">
        <x:v>0.42</x:v>
      </x:c>
      <x:c r="F8" s="107" t="n">
        <x:v>22.53365031</x:v>
      </x:c>
      <x:c r="G8" s="107" t="n">
        <x:v>0</x:v>
      </x:c>
      <x:c r="H8" s="107" t="n">
        <x:v>0.37860552000000003</x:v>
      </x:c>
      <x:c r="I8" s="107" t="n">
        <x:v>0</x:v>
      </x:c>
      <x:c r="J8" s="107" t="n">
        <x:v>-22.53365031</x:v>
      </x:c>
      <x:c r="K8" s="107" t="n">
        <x:v>-22.53365031</x:v>
      </x:c>
      <x:c r="L8" s="107" t="n">
        <x:v>-22.953650309999997</x:v>
      </x:c>
      <x:c r="M8" s="107" t="n">
        <x:v>-23.332255829999998</x:v>
      </x:c>
      <x:c r="N8" s="108"/>
      <x:c r="O8" s="108"/>
      <x:c r="P8" s="108"/>
      <x:c r="Q8" s="9" t="str">
        <x:v>Actual</x:v>
      </x:c>
      <x:c r="R8" s="9" t="n">
        <x:v>2023</x:v>
      </x:c>
      <x:c r="S8" s="9" t="str">
        <x:v>2023-01</x:v>
      </x:c>
    </x:row>
    <x:row r="9" ht="17" customHeight="1">
      <x:c r="A9" s="9" t="str">
        <x:v>2023-01-01</x:v>
      </x:c>
      <x:c r="B9" s="9" t="str">
        <x:v>Subscription Services</x:v>
      </x:c>
      <x:c r="C9" s="107" t="n">
        <x:v>1.06806899</x:v>
      </x:c>
      <x:c r="D9" s="107" t="n">
        <x:v>0</x:v>
      </x:c>
      <x:c r="E9" s="107" t="n">
        <x:v>0</x:v>
      </x:c>
      <x:c r="F9" s="107" t="n">
        <x:v>2.21304984</x:v>
      </x:c>
      <x:c r="G9" s="107" t="n">
        <x:v>4.217622230000001</x:v>
      </x:c>
      <x:c r="H9" s="107" t="n">
        <x:v>0</x:v>
      </x:c>
      <x:c r="I9" s="107" t="n">
        <x:v>3.1495532400000004</x:v>
      </x:c>
      <x:c r="J9" s="107" t="n">
        <x:v>0.9365034000000003</x:v>
      </x:c>
      <x:c r="K9" s="107" t="n">
        <x:v>0.9365034000000003</x:v>
      </x:c>
      <x:c r="L9" s="107" t="n">
        <x:v>0.9365034000000003</x:v>
      </x:c>
      <x:c r="M9" s="107" t="n">
        <x:v>0.9365034000000003</x:v>
      </x:c>
      <x:c r="N9" s="108" t="n">
        <x:v>0.7467603944225227</x:v>
      </x:c>
      <x:c r="O9" s="108" t="n">
        <x:v>0.22204534899750855</x:v>
      </x:c>
      <x:c r="P9" s="108" t="n">
        <x:v>0.22204534899750855</x:v>
      </x:c>
      <x:c r="Q9" s="9" t="str">
        <x:v>Actual</x:v>
      </x:c>
      <x:c r="R9" s="9" t="n">
        <x:v>2023</x:v>
      </x:c>
      <x:c r="S9" s="9" t="str">
        <x:v>2023-01</x:v>
      </x:c>
    </x:row>
    <x:row r="10" ht="17" customHeight="1">
      <x:c r="A10" s="9" t="str">
        <x:v>2023-01-01</x:v>
      </x:c>
      <x:c r="B10" s="9" t="str">
        <x:v>Wholesale</x:v>
      </x:c>
      <x:c r="C10" s="107" t="n">
        <x:v>13.50310217</x:v>
      </x:c>
      <x:c r="D10" s="107" t="n">
        <x:v>0</x:v>
      </x:c>
      <x:c r="E10" s="107" t="n">
        <x:v>0</x:v>
      </x:c>
      <x:c r="F10" s="107" t="n">
        <x:v>2.66810432</x:v>
      </x:c>
      <x:c r="G10" s="107" t="n">
        <x:v>22.33611714</x:v>
      </x:c>
      <x:c r="H10" s="107" t="n">
        <x:v>0</x:v>
      </x:c>
      <x:c r="I10" s="107" t="n">
        <x:v>8.83301497</x:v>
      </x:c>
      <x:c r="J10" s="107" t="n">
        <x:v>6.16491065</x:v>
      </x:c>
      <x:c r="K10" s="107" t="n">
        <x:v>6.16491065</x:v>
      </x:c>
      <x:c r="L10" s="107" t="n">
        <x:v>6.16491065</x:v>
      </x:c>
      <x:c r="M10" s="107" t="n">
        <x:v>6.16491065</x:v>
      </x:c>
      <x:c r="N10" s="108" t="n">
        <x:v>0.3954588398080008</x:v>
      </x:c>
      <x:c r="O10" s="108" t="n">
        <x:v>0.2760063717144349</x:v>
      </x:c>
      <x:c r="P10" s="108" t="n">
        <x:v>0.2760063717144349</x:v>
      </x:c>
      <x:c r="Q10" s="9" t="str">
        <x:v>Actual</x:v>
      </x:c>
      <x:c r="R10" s="9" t="n">
        <x:v>2023</x:v>
      </x:c>
      <x:c r="S10" s="9" t="str">
        <x:v>2023-01</x:v>
      </x:c>
    </x:row>
    <x:row r="11" ht="17" customHeight="1">
      <x:c r="A11" s="9" t="str">
        <x:v>2023-02-01</x:v>
      </x:c>
      <x:c r="B11" s="9" t="str">
        <x:v>Digital Commerce</x:v>
      </x:c>
      <x:c r="C11" s="107" t="n">
        <x:v>16.14669059</x:v>
      </x:c>
      <x:c r="D11" s="107" t="n">
        <x:v>0</x:v>
      </x:c>
      <x:c r="E11" s="107" t="n">
        <x:v>0</x:v>
      </x:c>
      <x:c r="F11" s="107" t="n">
        <x:v>6.46485454</x:v>
      </x:c>
      <x:c r="G11" s="107" t="n">
        <x:v>35.408242120000004</x:v>
      </x:c>
      <x:c r="H11" s="107" t="n">
        <x:v>0</x:v>
      </x:c>
      <x:c r="I11" s="107" t="n">
        <x:v>19.261551530000006</x:v>
      </x:c>
      <x:c r="J11" s="107" t="n">
        <x:v>12.796696990000006</x:v>
      </x:c>
      <x:c r="K11" s="107" t="n">
        <x:v>12.796696990000006</x:v>
      </x:c>
      <x:c r="L11" s="107" t="n">
        <x:v>12.796696990000006</x:v>
      </x:c>
      <x:c r="M11" s="107" t="n">
        <x:v>12.796696990000006</x:v>
      </x:c>
      <x:c r="N11" s="108" t="n">
        <x:v>0.5439849700734029</x:v>
      </x:c>
      <x:c r="O11" s="108" t="n">
        <x:v>0.361404470366856</x:v>
      </x:c>
      <x:c r="P11" s="108" t="n">
        <x:v>0.361404470366856</x:v>
      </x:c>
      <x:c r="Q11" s="9" t="str">
        <x:v>Actual</x:v>
      </x:c>
      <x:c r="R11" s="9" t="n">
        <x:v>2023</x:v>
      </x:c>
      <x:c r="S11" s="9" t="str">
        <x:v>2023-02</x:v>
      </x:c>
    </x:row>
    <x:row r="12" ht="17" customHeight="1">
      <x:c r="A12" s="9" t="str">
        <x:v>2023-02-01</x:v>
      </x:c>
      <x:c r="B12" s="9" t="str">
        <x:v>Retail Stores</x:v>
      </x:c>
      <x:c r="C12" s="107" t="n">
        <x:v>12.09973223</x:v>
      </x:c>
      <x:c r="D12" s="107" t="n">
        <x:v>0</x:v>
      </x:c>
      <x:c r="E12" s="107" t="n">
        <x:v>0</x:v>
      </x:c>
      <x:c r="F12" s="107" t="n">
        <x:v>5.508246859999999</x:v>
      </x:c>
      <x:c r="G12" s="107" t="n">
        <x:v>23.77177884</x:v>
      </x:c>
      <x:c r="H12" s="107" t="n">
        <x:v>0</x:v>
      </x:c>
      <x:c r="I12" s="107" t="n">
        <x:v>11.672046609999999</x:v>
      </x:c>
      <x:c r="J12" s="107" t="n">
        <x:v>6.16379975</x:v>
      </x:c>
      <x:c r="K12" s="107" t="n">
        <x:v>6.16379975</x:v>
      </x:c>
      <x:c r="L12" s="107" t="n">
        <x:v>6.16379975</x:v>
      </x:c>
      <x:c r="M12" s="107" t="n">
        <x:v>6.16379975</x:v>
      </x:c>
      <x:c r="N12" s="108" t="n">
        <x:v>0.4910043412636763</x:v>
      </x:c>
      <x:c r="O12" s="108" t="n">
        <x:v>0.2592906400268361</x:v>
      </x:c>
      <x:c r="P12" s="108" t="n">
        <x:v>0.2592906400268361</x:v>
      </x:c>
      <x:c r="Q12" s="9" t="str">
        <x:v>Actual</x:v>
      </x:c>
      <x:c r="R12" s="9" t="n">
        <x:v>2023</x:v>
      </x:c>
      <x:c r="S12" s="9" t="str">
        <x:v>2023-02</x:v>
      </x:c>
    </x:row>
    <x:row r="13" ht="17" customHeight="1">
      <x:c r="A13" s="9" t="str">
        <x:v>2023-02-01</x:v>
      </x:c>
      <x:c r="B13" s="9" t="str">
        <x:v>Shared Services</x:v>
      </x:c>
      <x:c r="C13" s="107" t="n">
        <x:v>0</x:v>
      </x:c>
      <x:c r="D13" s="107" t="n">
        <x:v>0</x:v>
      </x:c>
      <x:c r="E13" s="107" t="n">
        <x:v>0.42</x:v>
      </x:c>
      <x:c r="F13" s="107" t="n">
        <x:v>22.72655607</x:v>
      </x:c>
      <x:c r="G13" s="107" t="n">
        <x:v>0</x:v>
      </x:c>
      <x:c r="H13" s="107" t="n">
        <x:v>0.90767007</x:v>
      </x:c>
      <x:c r="I13" s="107" t="n">
        <x:v>0</x:v>
      </x:c>
      <x:c r="J13" s="107" t="n">
        <x:v>-22.72655607</x:v>
      </x:c>
      <x:c r="K13" s="107" t="n">
        <x:v>-22.72655607</x:v>
      </x:c>
      <x:c r="L13" s="107" t="n">
        <x:v>-23.14655607</x:v>
      </x:c>
      <x:c r="M13" s="107" t="n">
        <x:v>-24.05422614</x:v>
      </x:c>
      <x:c r="N13" s="108"/>
      <x:c r="O13" s="108"/>
      <x:c r="P13" s="108"/>
      <x:c r="Q13" s="9" t="str">
        <x:v>Actual</x:v>
      </x:c>
      <x:c r="R13" s="9" t="n">
        <x:v>2023</x:v>
      </x:c>
      <x:c r="S13" s="9" t="str">
        <x:v>2023-02</x:v>
      </x:c>
    </x:row>
    <x:row r="14" ht="17" customHeight="1">
      <x:c r="A14" s="9" t="str">
        <x:v>2023-02-01</x:v>
      </x:c>
      <x:c r="B14" s="9" t="str">
        <x:v>Subscription Services</x:v>
      </x:c>
      <x:c r="C14" s="107" t="n">
        <x:v>1.0845644300000001</x:v>
      </x:c>
      <x:c r="D14" s="107" t="n">
        <x:v>0</x:v>
      </x:c>
      <x:c r="E14" s="107" t="n">
        <x:v>0</x:v>
      </x:c>
      <x:c r="F14" s="107" t="n">
        <x:v>2.18034646</x:v>
      </x:c>
      <x:c r="G14" s="107" t="n">
        <x:v>4.2719211900000005</x:v>
      </x:c>
      <x:c r="H14" s="107" t="n">
        <x:v>0</x:v>
      </x:c>
      <x:c r="I14" s="107" t="n">
        <x:v>3.18735676</x:v>
      </x:c>
      <x:c r="J14" s="107" t="n">
        <x:v>1.0070103000000004</x:v>
      </x:c>
      <x:c r="K14" s="107" t="n">
        <x:v>1.0070103000000004</x:v>
      </x:c>
      <x:c r="L14" s="107" t="n">
        <x:v>1.0070103000000004</x:v>
      </x:c>
      <x:c r="M14" s="107" t="n">
        <x:v>1.0070103000000004</x:v>
      </x:c>
      <x:c r="N14" s="108" t="n">
        <x:v>0.7461178748945975</x:v>
      </x:c>
      <x:c r="O14" s="108" t="n">
        <x:v>0.23572773354463503</x:v>
      </x:c>
      <x:c r="P14" s="108" t="n">
        <x:v>0.23572773354463503</x:v>
      </x:c>
      <x:c r="Q14" s="9" t="str">
        <x:v>Actual</x:v>
      </x:c>
      <x:c r="R14" s="9" t="n">
        <x:v>2023</x:v>
      </x:c>
      <x:c r="S14" s="9" t="str">
        <x:v>2023-02</x:v>
      </x:c>
    </x:row>
    <x:row r="15" ht="17" customHeight="1">
      <x:c r="A15" s="9" t="str">
        <x:v>2023-02-01</x:v>
      </x:c>
      <x:c r="B15" s="9" t="str">
        <x:v>Wholesale</x:v>
      </x:c>
      <x:c r="C15" s="107" t="n">
        <x:v>14.318726609999999</x:v>
      </x:c>
      <x:c r="D15" s="107" t="n">
        <x:v>0</x:v>
      </x:c>
      <x:c r="E15" s="107" t="n">
        <x:v>0</x:v>
      </x:c>
      <x:c r="F15" s="107" t="n">
        <x:v>2.68473332</x:v>
      </x:c>
      <x:c r="G15" s="107" t="n">
        <x:v>23.81318923</x:v>
      </x:c>
      <x:c r="H15" s="107" t="n">
        <x:v>0</x:v>
      </x:c>
      <x:c r="I15" s="107" t="n">
        <x:v>9.49446262</x:v>
      </x:c>
      <x:c r="J15" s="107" t="n">
        <x:v>6.809729300000001</x:v>
      </x:c>
      <x:c r="K15" s="107" t="n">
        <x:v>6.809729300000001</x:v>
      </x:c>
      <x:c r="L15" s="107" t="n">
        <x:v>6.809729300000001</x:v>
      </x:c>
      <x:c r="M15" s="107" t="n">
        <x:v>6.809729300000001</x:v>
      </x:c>
      <x:c r="N15" s="108" t="n">
        <x:v>0.39870605017654753</x:v>
      </x:c>
      <x:c r="O15" s="108" t="n">
        <x:v>0.2859646070179068</x:v>
      </x:c>
      <x:c r="P15" s="108" t="n">
        <x:v>0.2859646070179068</x:v>
      </x:c>
      <x:c r="Q15" s="9" t="str">
        <x:v>Actual</x:v>
      </x:c>
      <x:c r="R15" s="9" t="n">
        <x:v>2023</x:v>
      </x:c>
      <x:c r="S15" s="9" t="str">
        <x:v>2023-02</x:v>
      </x:c>
    </x:row>
    <x:row r="16" ht="17" customHeight="1">
      <x:c r="A16" s="9" t="str">
        <x:v>2023-03-01</x:v>
      </x:c>
      <x:c r="B16" s="9" t="str">
        <x:v>Digital Commerce</x:v>
      </x:c>
      <x:c r="C16" s="107" t="n">
        <x:v>17.522184149999998</x:v>
      </x:c>
      <x:c r="D16" s="107" t="n">
        <x:v>0</x:v>
      </x:c>
      <x:c r="E16" s="107" t="n">
        <x:v>0</x:v>
      </x:c>
      <x:c r="F16" s="107" t="n">
        <x:v>6.68027423</x:v>
      </x:c>
      <x:c r="G16" s="107" t="n">
        <x:v>38.568774659999995</x:v>
      </x:c>
      <x:c r="H16" s="107" t="n">
        <x:v>0</x:v>
      </x:c>
      <x:c r="I16" s="107" t="n">
        <x:v>21.046590509999998</x:v>
      </x:c>
      <x:c r="J16" s="107" t="n">
        <x:v>14.366316279999998</x:v>
      </x:c>
      <x:c r="K16" s="107" t="n">
        <x:v>14.366316279999998</x:v>
      </x:c>
      <x:c r="L16" s="107" t="n">
        <x:v>14.366316279999998</x:v>
      </x:c>
      <x:c r="M16" s="107" t="n">
        <x:v>14.366316279999998</x:v>
      </x:c>
      <x:c r="N16" s="108" t="n">
        <x:v>0.5456898928092625</x:v>
      </x:c>
      <x:c r="O16" s="108" t="n">
        <x:v>0.3724856806223462</x:v>
      </x:c>
      <x:c r="P16" s="108" t="n">
        <x:v>0.3724856806223462</x:v>
      </x:c>
      <x:c r="Q16" s="9" t="str">
        <x:v>Actual</x:v>
      </x:c>
      <x:c r="R16" s="9" t="n">
        <x:v>2023</x:v>
      </x:c>
      <x:c r="S16" s="9" t="str">
        <x:v>2023-03</x:v>
      </x:c>
    </x:row>
    <x:row r="17" ht="17" customHeight="1">
      <x:c r="A17" s="9" t="str">
        <x:v>2023-03-01</x:v>
      </x:c>
      <x:c r="B17" s="9" t="str">
        <x:v>Retail Stores</x:v>
      </x:c>
      <x:c r="C17" s="107" t="n">
        <x:v>13.49031449</x:v>
      </x:c>
      <x:c r="D17" s="107" t="n">
        <x:v>0</x:v>
      </x:c>
      <x:c r="E17" s="107" t="n">
        <x:v>0</x:v>
      </x:c>
      <x:c r="F17" s="107" t="n">
        <x:v>5.62444822</x:v>
      </x:c>
      <x:c r="G17" s="107" t="n">
        <x:v>26.63102331</x:v>
      </x:c>
      <x:c r="H17" s="107" t="n">
        <x:v>0</x:v>
      </x:c>
      <x:c r="I17" s="107" t="n">
        <x:v>13.140708819999999</x:v>
      </x:c>
      <x:c r="J17" s="107" t="n">
        <x:v>7.516260599999999</x:v>
      </x:c>
      <x:c r="K17" s="107" t="n">
        <x:v>7.516260599999999</x:v>
      </x:c>
      <x:c r="L17" s="107" t="n">
        <x:v>7.516260599999999</x:v>
      </x:c>
      <x:c r="M17" s="107" t="n">
        <x:v>7.516260599999999</x:v>
      </x:c>
      <x:c r="N17" s="108" t="n">
        <x:v>0.49343612023596695</x:v>
      </x:c>
      <x:c r="O17" s="108" t="n">
        <x:v>0.28223701780087546</x:v>
      </x:c>
      <x:c r="P17" s="108" t="n">
        <x:v>0.28223701780087546</x:v>
      </x:c>
      <x:c r="Q17" s="9" t="str">
        <x:v>Actual</x:v>
      </x:c>
      <x:c r="R17" s="9" t="n">
        <x:v>2023</x:v>
      </x:c>
      <x:c r="S17" s="9" t="str">
        <x:v>2023-03</x:v>
      </x:c>
    </x:row>
    <x:row r="18" ht="17" customHeight="1">
      <x:c r="A18" s="9" t="str">
        <x:v>2023-03-01</x:v>
      </x:c>
      <x:c r="B18" s="9" t="str">
        <x:v>Shared Services</x:v>
      </x:c>
      <x:c r="C18" s="107" t="n">
        <x:v>0</x:v>
      </x:c>
      <x:c r="D18" s="107" t="n">
        <x:v>0</x:v>
      </x:c>
      <x:c r="E18" s="107" t="n">
        <x:v>0.42</x:v>
      </x:c>
      <x:c r="F18" s="107" t="n">
        <x:v>22.90974168</x:v>
      </x:c>
      <x:c r="G18" s="107" t="n">
        <x:v>0</x:v>
      </x:c>
      <x:c r="H18" s="107" t="n">
        <x:v>1.7804062</x:v>
      </x:c>
      <x:c r="I18" s="107" t="n">
        <x:v>0</x:v>
      </x:c>
      <x:c r="J18" s="107" t="n">
        <x:v>-22.90974168</x:v>
      </x:c>
      <x:c r="K18" s="107" t="n">
        <x:v>-22.90974168</x:v>
      </x:c>
      <x:c r="L18" s="107" t="n">
        <x:v>-23.329741679999998</x:v>
      </x:c>
      <x:c r="M18" s="107" t="n">
        <x:v>-25.11014788</x:v>
      </x:c>
      <x:c r="N18" s="108"/>
      <x:c r="O18" s="108"/>
      <x:c r="P18" s="108"/>
      <x:c r="Q18" s="9" t="str">
        <x:v>Actual</x:v>
      </x:c>
      <x:c r="R18" s="9" t="n">
        <x:v>2023</x:v>
      </x:c>
      <x:c r="S18" s="9" t="str">
        <x:v>2023-03</x:v>
      </x:c>
    </x:row>
    <x:row r="19" ht="17" customHeight="1">
      <x:c r="A19" s="9" t="str">
        <x:v>2023-03-01</x:v>
      </x:c>
      <x:c r="B19" s="9" t="str">
        <x:v>Subscription Services</x:v>
      </x:c>
      <x:c r="C19" s="107" t="n">
        <x:v>1.13193958</x:v>
      </x:c>
      <x:c r="D19" s="107" t="n">
        <x:v>0</x:v>
      </x:c>
      <x:c r="E19" s="107" t="n">
        <x:v>0</x:v>
      </x:c>
      <x:c r="F19" s="107" t="n">
        <x:v>2.1943279500000004</x:v>
      </x:c>
      <x:c r="G19" s="107" t="n">
        <x:v>4.52317662</x:v>
      </x:c>
      <x:c r="H19" s="107" t="n">
        <x:v>0</x:v>
      </x:c>
      <x:c r="I19" s="107" t="n">
        <x:v>3.39123704</x:v>
      </x:c>
      <x:c r="J19" s="107" t="n">
        <x:v>1.19690909</x:v>
      </x:c>
      <x:c r="K19" s="107" t="n">
        <x:v>1.19690909</x:v>
      </x:c>
      <x:c r="L19" s="107" t="n">
        <x:v>1.19690909</x:v>
      </x:c>
      <x:c r="M19" s="107" t="n">
        <x:v>1.19690909</x:v>
      </x:c>
      <x:c r="N19" s="108" t="n">
        <x:v>0.7497467653606681</x:v>
      </x:c>
      <x:c r="O19" s="108" t="n">
        <x:v>0.2646169253501314</x:v>
      </x:c>
      <x:c r="P19" s="108" t="n">
        <x:v>0.2646169253501314</x:v>
      </x:c>
      <x:c r="Q19" s="9" t="str">
        <x:v>Actual</x:v>
      </x:c>
      <x:c r="R19" s="9" t="n">
        <x:v>2023</x:v>
      </x:c>
      <x:c r="S19" s="9" t="str">
        <x:v>2023-03</x:v>
      </x:c>
    </x:row>
    <x:row r="20" ht="17" customHeight="1">
      <x:c r="A20" s="9" t="str">
        <x:v>2023-03-01</x:v>
      </x:c>
      <x:c r="B20" s="9" t="str">
        <x:v>Wholesale</x:v>
      </x:c>
      <x:c r="C20" s="107" t="n">
        <x:v>15.658519929999999</x:v>
      </x:c>
      <x:c r="D20" s="107" t="n">
        <x:v>0</x:v>
      </x:c>
      <x:c r="E20" s="107" t="n">
        <x:v>0</x:v>
      </x:c>
      <x:c r="F20" s="107" t="n">
        <x:v>2.7787574900000003</x:v>
      </x:c>
      <x:c r="G20" s="107" t="n">
        <x:v>25.80915793</x:v>
      </x:c>
      <x:c r="H20" s="107" t="n">
        <x:v>0</x:v>
      </x:c>
      <x:c r="I20" s="107" t="n">
        <x:v>10.150638</x:v>
      </x:c>
      <x:c r="J20" s="107" t="n">
        <x:v>7.3718805099999996</x:v>
      </x:c>
      <x:c r="K20" s="107" t="n">
        <x:v>7.3718805099999996</x:v>
      </x:c>
      <x:c r="L20" s="107" t="n">
        <x:v>7.3718805099999996</x:v>
      </x:c>
      <x:c r="M20" s="107" t="n">
        <x:v>7.3718805099999996</x:v>
      </x:c>
      <x:c r="N20" s="108" t="n">
        <x:v>0.3932959776344009</x:v>
      </x:c>
      <x:c r="O20" s="108" t="n">
        <x:v>0.28563041576149556</x:v>
      </x:c>
      <x:c r="P20" s="108" t="n">
        <x:v>0.28563041576149556</x:v>
      </x:c>
      <x:c r="Q20" s="9" t="str">
        <x:v>Actual</x:v>
      </x:c>
      <x:c r="R20" s="9" t="n">
        <x:v>2023</x:v>
      </x:c>
      <x:c r="S20" s="9" t="str">
        <x:v>2023-03</x:v>
      </x:c>
    </x:row>
    <x:row r="21" ht="17" customHeight="1">
      <x:c r="A21" s="9" t="str">
        <x:v>2023-04-01</x:v>
      </x:c>
      <x:c r="B21" s="9" t="str">
        <x:v>Digital Commerce</x:v>
      </x:c>
      <x:c r="C21" s="107" t="n">
        <x:v>18.432260120000002</x:v>
      </x:c>
      <x:c r="D21" s="107" t="n">
        <x:v>0</x:v>
      </x:c>
      <x:c r="E21" s="107" t="n">
        <x:v>0</x:v>
      </x:c>
      <x:c r="F21" s="107" t="n">
        <x:v>7.03471289</x:v>
      </x:c>
      <x:c r="G21" s="107" t="n">
        <x:v>40.0688615</x:v>
      </x:c>
      <x:c r="H21" s="107" t="n">
        <x:v>0</x:v>
      </x:c>
      <x:c r="I21" s="107" t="n">
        <x:v>21.63660138</x:v>
      </x:c>
      <x:c r="J21" s="107" t="n">
        <x:v>14.601888489999999</x:v>
      </x:c>
      <x:c r="K21" s="107" t="n">
        <x:v>14.601888489999999</x:v>
      </x:c>
      <x:c r="L21" s="107" t="n">
        <x:v>14.601888489999999</x:v>
      </x:c>
      <x:c r="M21" s="107" t="n">
        <x:v>14.601888489999999</x:v>
      </x:c>
      <x:c r="N21" s="108" t="n">
        <x:v>0.539985429333948</x:v>
      </x:c>
      <x:c r="O21" s="108" t="n">
        <x:v>0.36441984981280284</x:v>
      </x:c>
      <x:c r="P21" s="108" t="n">
        <x:v>0.36441984981280284</x:v>
      </x:c>
      <x:c r="Q21" s="9" t="str">
        <x:v>Actual</x:v>
      </x:c>
      <x:c r="R21" s="9" t="n">
        <x:v>2023</x:v>
      </x:c>
      <x:c r="S21" s="9" t="str">
        <x:v>2023-04</x:v>
      </x:c>
    </x:row>
    <x:row r="22" ht="17" customHeight="1">
      <x:c r="A22" s="9" t="str">
        <x:v>2023-04-01</x:v>
      </x:c>
      <x:c r="B22" s="9" t="str">
        <x:v>Retail Stores</x:v>
      </x:c>
      <x:c r="C22" s="107" t="n">
        <x:v>14.39502736</x:v>
      </x:c>
      <x:c r="D22" s="107" t="n">
        <x:v>0</x:v>
      </x:c>
      <x:c r="E22" s="107" t="n">
        <x:v>0</x:v>
      </x:c>
      <x:c r="F22" s="107" t="n">
        <x:v>5.91061342</x:v>
      </x:c>
      <x:c r="G22" s="107" t="n">
        <x:v>28.128897730000002</x:v>
      </x:c>
      <x:c r="H22" s="107" t="n">
        <x:v>0</x:v>
      </x:c>
      <x:c r="I22" s="107" t="n">
        <x:v>13.733870370000002</x:v>
      </x:c>
      <x:c r="J22" s="107" t="n">
        <x:v>7.823256950000001</x:v>
      </x:c>
      <x:c r="K22" s="107" t="n">
        <x:v>7.823256950000001</x:v>
      </x:c>
      <x:c r="L22" s="107" t="n">
        <x:v>7.823256950000001</x:v>
      </x:c>
      <x:c r="M22" s="107" t="n">
        <x:v>7.823256950000001</x:v>
      </x:c>
      <x:c r="N22" s="108" t="n">
        <x:v>0.48824772665558697</x:v>
      </x:c>
      <x:c r="O22" s="108" t="n">
        <x:v>0.27812170334909175</x:v>
      </x:c>
      <x:c r="P22" s="108" t="n">
        <x:v>0.27812170334909175</x:v>
      </x:c>
      <x:c r="Q22" s="9" t="str">
        <x:v>Actual</x:v>
      </x:c>
      <x:c r="R22" s="9" t="n">
        <x:v>2023</x:v>
      </x:c>
      <x:c r="S22" s="9" t="str">
        <x:v>2023-04</x:v>
      </x:c>
    </x:row>
    <x:row r="23" ht="17" customHeight="1">
      <x:c r="A23" s="9" t="str">
        <x:v>2023-04-01</x:v>
      </x:c>
      <x:c r="B23" s="9" t="str">
        <x:v>Shared Services</x:v>
      </x:c>
      <x:c r="C23" s="107" t="n">
        <x:v>0</x:v>
      </x:c>
      <x:c r="D23" s="107" t="n">
        <x:v>0</x:v>
      </x:c>
      <x:c r="E23" s="107" t="n">
        <x:v>0.42</x:v>
      </x:c>
      <x:c r="F23" s="107" t="n">
        <x:v>23.82914887</x:v>
      </x:c>
      <x:c r="G23" s="107" t="n">
        <x:v>0</x:v>
      </x:c>
      <x:c r="H23" s="107" t="n">
        <x:v>1.8032888200000001</x:v>
      </x:c>
      <x:c r="I23" s="107" t="n">
        <x:v>0</x:v>
      </x:c>
      <x:c r="J23" s="107" t="n">
        <x:v>-23.82914887</x:v>
      </x:c>
      <x:c r="K23" s="107" t="n">
        <x:v>-23.82914887</x:v>
      </x:c>
      <x:c r="L23" s="107" t="n">
        <x:v>-24.249148870000003</x:v>
      </x:c>
      <x:c r="M23" s="107" t="n">
        <x:v>-26.05243769</x:v>
      </x:c>
      <x:c r="N23" s="108"/>
      <x:c r="O23" s="108"/>
      <x:c r="P23" s="108"/>
      <x:c r="Q23" s="9" t="str">
        <x:v>Actual</x:v>
      </x:c>
      <x:c r="R23" s="9" t="n">
        <x:v>2023</x:v>
      </x:c>
      <x:c r="S23" s="9" t="str">
        <x:v>2023-04</x:v>
      </x:c>
    </x:row>
    <x:row r="24" ht="17" customHeight="1">
      <x:c r="A24" s="9" t="str">
        <x:v>2023-04-01</x:v>
      </x:c>
      <x:c r="B24" s="9" t="str">
        <x:v>Subscription Services</x:v>
      </x:c>
      <x:c r="C24" s="107" t="n">
        <x:v>1.16766748</x:v>
      </x:c>
      <x:c r="D24" s="107" t="n">
        <x:v>0</x:v>
      </x:c>
      <x:c r="E24" s="107" t="n">
        <x:v>0</x:v>
      </x:c>
      <x:c r="F24" s="107" t="n">
        <x:v>2.2873430200000002</x:v>
      </x:c>
      <x:c r="G24" s="107" t="n">
        <x:v>4.61498193</x:v>
      </x:c>
      <x:c r="H24" s="107" t="n">
        <x:v>0</x:v>
      </x:c>
      <x:c r="I24" s="107" t="n">
        <x:v>3.44731445</x:v>
      </x:c>
      <x:c r="J24" s="107" t="n">
        <x:v>1.1599714299999997</x:v>
      </x:c>
      <x:c r="K24" s="107" t="n">
        <x:v>1.1599714299999997</x:v>
      </x:c>
      <x:c r="L24" s="107" t="n">
        <x:v>1.1599714299999997</x:v>
      </x:c>
      <x:c r="M24" s="107" t="n">
        <x:v>1.1599714299999997</x:v>
      </x:c>
      <x:c r="N24" s="108" t="n">
        <x:v>0.7469833040061329</x:v>
      </x:c>
      <x:c r="O24" s="108" t="n">
        <x:v>0.2513490729962619</x:v>
      </x:c>
      <x:c r="P24" s="108" t="n">
        <x:v>0.2513490729962619</x:v>
      </x:c>
      <x:c r="Q24" s="9" t="str">
        <x:v>Actual</x:v>
      </x:c>
      <x:c r="R24" s="9" t="n">
        <x:v>2023</x:v>
      </x:c>
      <x:c r="S24" s="9" t="str">
        <x:v>2023-04</x:v>
      </x:c>
    </x:row>
    <x:row r="25" ht="17" customHeight="1">
      <x:c r="A25" s="9" t="str">
        <x:v>2023-04-01</x:v>
      </x:c>
      <x:c r="B25" s="9" t="str">
        <x:v>Wholesale</x:v>
      </x:c>
      <x:c r="C25" s="107" t="n">
        <x:v>16.48977034</x:v>
      </x:c>
      <x:c r="D25" s="107" t="n">
        <x:v>0</x:v>
      </x:c>
      <x:c r="E25" s="107" t="n">
        <x:v>0</x:v>
      </x:c>
      <x:c r="F25" s="107" t="n">
        <x:v>2.8168047599999997</x:v>
      </x:c>
      <x:c r="G25" s="107" t="n">
        <x:v>27.18376237</x:v>
      </x:c>
      <x:c r="H25" s="107" t="n">
        <x:v>0</x:v>
      </x:c>
      <x:c r="I25" s="107" t="n">
        <x:v>10.69399203</x:v>
      </x:c>
      <x:c r="J25" s="107" t="n">
        <x:v>7.877187270000001</x:v>
      </x:c>
      <x:c r="K25" s="107" t="n">
        <x:v>7.877187270000001</x:v>
      </x:c>
      <x:c r="L25" s="107" t="n">
        <x:v>7.877187270000001</x:v>
      </x:c>
      <x:c r="M25" s="107" t="n">
        <x:v>7.877187270000001</x:v>
      </x:c>
      <x:c r="N25" s="108" t="n">
        <x:v>0.393396318156529</x:v>
      </x:c>
      <x:c r="O25" s="108" t="n">
        <x:v>0.28977546090872486</x:v>
      </x:c>
      <x:c r="P25" s="108" t="n">
        <x:v>0.28977546090872486</x:v>
      </x:c>
      <x:c r="Q25" s="9" t="str">
        <x:v>Actual</x:v>
      </x:c>
      <x:c r="R25" s="9" t="n">
        <x:v>2023</x:v>
      </x:c>
      <x:c r="S25" s="9" t="str">
        <x:v>2023-04</x:v>
      </x:c>
    </x:row>
    <x:row r="26" ht="17" customHeight="1">
      <x:c r="A26" s="9" t="str">
        <x:v>2023-05-01</x:v>
      </x:c>
      <x:c r="B26" s="9" t="str">
        <x:v>Digital Commerce</x:v>
      </x:c>
      <x:c r="C26" s="107" t="n">
        <x:v>19.76960793</x:v>
      </x:c>
      <x:c r="D26" s="107" t="n">
        <x:v>0</x:v>
      </x:c>
      <x:c r="E26" s="107" t="n">
        <x:v>0</x:v>
      </x:c>
      <x:c r="F26" s="107" t="n">
        <x:v>7.1801816</x:v>
      </x:c>
      <x:c r="G26" s="107" t="n">
        <x:v>43.24563515</x:v>
      </x:c>
      <x:c r="H26" s="107" t="n">
        <x:v>0</x:v>
      </x:c>
      <x:c r="I26" s="107" t="n">
        <x:v>23.47602722</x:v>
      </x:c>
      <x:c r="J26" s="107" t="n">
        <x:v>16.295845619999998</x:v>
      </x:c>
      <x:c r="K26" s="107" t="n">
        <x:v>16.295845619999998</x:v>
      </x:c>
      <x:c r="L26" s="107" t="n">
        <x:v>16.295845619999998</x:v>
      </x:c>
      <x:c r="M26" s="107" t="n">
        <x:v>16.295845619999998</x:v>
      </x:c>
      <x:c r="N26" s="108" t="n">
        <x:v>0.5428531027136504</x:v>
      </x:c>
      <x:c r="O26" s="108" t="n">
        <x:v>0.3768205869442526</x:v>
      </x:c>
      <x:c r="P26" s="108" t="n">
        <x:v>0.3768205869442526</x:v>
      </x:c>
      <x:c r="Q26" s="9" t="str">
        <x:v>Actual</x:v>
      </x:c>
      <x:c r="R26" s="9" t="n">
        <x:v>2023</x:v>
      </x:c>
      <x:c r="S26" s="9" t="str">
        <x:v>2023-05</x:v>
      </x:c>
    </x:row>
    <x:row r="27" ht="17" customHeight="1">
      <x:c r="A27" s="9" t="str">
        <x:v>2023-05-01</x:v>
      </x:c>
      <x:c r="B27" s="9" t="str">
        <x:v>Retail Stores</x:v>
      </x:c>
      <x:c r="C27" s="107" t="n">
        <x:v>15.1800448</x:v>
      </x:c>
      <x:c r="D27" s="107" t="n">
        <x:v>0</x:v>
      </x:c>
      <x:c r="E27" s="107" t="n">
        <x:v>0</x:v>
      </x:c>
      <x:c r="F27" s="107" t="n">
        <x:v>5.96830419</x:v>
      </x:c>
      <x:c r="G27" s="107" t="n">
        <x:v>29.84655798</x:v>
      </x:c>
      <x:c r="H27" s="107" t="n">
        <x:v>0</x:v>
      </x:c>
      <x:c r="I27" s="107" t="n">
        <x:v>14.66651318</x:v>
      </x:c>
      <x:c r="J27" s="107" t="n">
        <x:v>8.698208990000001</x:v>
      </x:c>
      <x:c r="K27" s="107" t="n">
        <x:v>8.698208990000001</x:v>
      </x:c>
      <x:c r="L27" s="107" t="n">
        <x:v>8.698208990000001</x:v>
      </x:c>
      <x:c r="M27" s="107" t="n">
        <x:v>8.698208990000001</x:v>
      </x:c>
      <x:c r="N27" s="108" t="n">
        <x:v>0.491397138317522</x:v>
      </x:c>
      <x:c r="O27" s="108" t="n">
        <x:v>0.29143089115430393</x:v>
      </x:c>
      <x:c r="P27" s="108" t="n">
        <x:v>0.29143089115430393</x:v>
      </x:c>
      <x:c r="Q27" s="9" t="str">
        <x:v>Actual</x:v>
      </x:c>
      <x:c r="R27" s="9" t="n">
        <x:v>2023</x:v>
      </x:c>
      <x:c r="S27" s="9" t="str">
        <x:v>2023-05</x:v>
      </x:c>
    </x:row>
    <x:row r="28" ht="17" customHeight="1">
      <x:c r="A28" s="9" t="str">
        <x:v>2023-05-01</x:v>
      </x:c>
      <x:c r="B28" s="9" t="str">
        <x:v>Shared Services</x:v>
      </x:c>
      <x:c r="C28" s="107" t="n">
        <x:v>0</x:v>
      </x:c>
      <x:c r="D28" s="107" t="n">
        <x:v>0</x:v>
      </x:c>
      <x:c r="E28" s="107" t="n">
        <x:v>0.42</x:v>
      </x:c>
      <x:c r="F28" s="107" t="n">
        <x:v>24.018259609999998</x:v>
      </x:c>
      <x:c r="G28" s="107" t="n">
        <x:v>0</x:v>
      </x:c>
      <x:c r="H28" s="107" t="n">
        <x:v>2.18877363</x:v>
      </x:c>
      <x:c r="I28" s="107" t="n">
        <x:v>0</x:v>
      </x:c>
      <x:c r="J28" s="107" t="n">
        <x:v>-24.018259609999998</x:v>
      </x:c>
      <x:c r="K28" s="107" t="n">
        <x:v>-24.018259609999998</x:v>
      </x:c>
      <x:c r="L28" s="107" t="n">
        <x:v>-24.43825961</x:v>
      </x:c>
      <x:c r="M28" s="107" t="n">
        <x:v>-26.62703324</x:v>
      </x:c>
      <x:c r="N28" s="108"/>
      <x:c r="O28" s="108"/>
      <x:c r="P28" s="108"/>
      <x:c r="Q28" s="9" t="str">
        <x:v>Actual</x:v>
      </x:c>
      <x:c r="R28" s="9" t="n">
        <x:v>2023</x:v>
      </x:c>
      <x:c r="S28" s="9" t="str">
        <x:v>2023-05</x:v>
      </x:c>
    </x:row>
    <x:row r="29" ht="17" customHeight="1">
      <x:c r="A29" s="9" t="str">
        <x:v>2023-05-01</x:v>
      </x:c>
      <x:c r="B29" s="9" t="str">
        <x:v>Subscription Services</x:v>
      </x:c>
      <x:c r="C29" s="107" t="n">
        <x:v>1.16621722</x:v>
      </x:c>
      <x:c r="D29" s="107" t="n">
        <x:v>0</x:v>
      </x:c>
      <x:c r="E29" s="107" t="n">
        <x:v>0</x:v>
      </x:c>
      <x:c r="F29" s="107" t="n">
        <x:v>2.30520725</x:v>
      </x:c>
      <x:c r="G29" s="107" t="n">
        <x:v>4.6150571</x:v>
      </x:c>
      <x:c r="H29" s="107" t="n">
        <x:v>0</x:v>
      </x:c>
      <x:c r="I29" s="107" t="n">
        <x:v>3.44883988</x:v>
      </x:c>
      <x:c r="J29" s="107" t="n">
        <x:v>1.14363263</x:v>
      </x:c>
      <x:c r="K29" s="107" t="n">
        <x:v>1.14363263</x:v>
      </x:c>
      <x:c r="L29" s="107" t="n">
        <x:v>1.14363263</x:v>
      </x:c>
      <x:c r="M29" s="107" t="n">
        <x:v>1.14363263</x:v>
      </x:c>
      <x:c r="N29" s="108" t="n">
        <x:v>0.7473016704387038</x:v>
      </x:c>
      <x:c r="O29" s="108" t="n">
        <x:v>0.2478046544646219</x:v>
      </x:c>
      <x:c r="P29" s="108" t="n">
        <x:v>0.2478046544646219</x:v>
      </x:c>
      <x:c r="Q29" s="9" t="str">
        <x:v>Actual</x:v>
      </x:c>
      <x:c r="R29" s="9" t="n">
        <x:v>2023</x:v>
      </x:c>
      <x:c r="S29" s="9" t="str">
        <x:v>2023-05</x:v>
      </x:c>
    </x:row>
    <x:row r="30" ht="17" customHeight="1">
      <x:c r="A30" s="9" t="str">
        <x:v>2023-05-01</x:v>
      </x:c>
      <x:c r="B30" s="9" t="str">
        <x:v>Wholesale</x:v>
      </x:c>
      <x:c r="C30" s="107" t="n">
        <x:v>15.345746570000001</x:v>
      </x:c>
      <x:c r="D30" s="107" t="n">
        <x:v>0</x:v>
      </x:c>
      <x:c r="E30" s="107" t="n">
        <x:v>0</x:v>
      </x:c>
      <x:c r="F30" s="107" t="n">
        <x:v>2.78237365</x:v>
      </x:c>
      <x:c r="G30" s="107" t="n">
        <x:v>25.18378711</x:v>
      </x:c>
      <x:c r="H30" s="107" t="n">
        <x:v>0</x:v>
      </x:c>
      <x:c r="I30" s="107" t="n">
        <x:v>9.83804054</x:v>
      </x:c>
      <x:c r="J30" s="107" t="n">
        <x:v>7.055666889999999</x:v>
      </x:c>
      <x:c r="K30" s="107" t="n">
        <x:v>7.055666889999999</x:v>
      </x:c>
      <x:c r="L30" s="107" t="n">
        <x:v>7.055666889999999</x:v>
      </x:c>
      <x:c r="M30" s="107" t="n">
        <x:v>7.055666889999999</x:v>
      </x:c>
      <x:c r="N30" s="108" t="n">
        <x:v>0.39064976593982964</x:v>
      </x:c>
      <x:c r="O30" s="108" t="n">
        <x:v>0.28016703203460325</x:v>
      </x:c>
      <x:c r="P30" s="108" t="n">
        <x:v>0.28016703203460325</x:v>
      </x:c>
      <x:c r="Q30" s="9" t="str">
        <x:v>Actual</x:v>
      </x:c>
      <x:c r="R30" s="9" t="n">
        <x:v>2023</x:v>
      </x:c>
      <x:c r="S30" s="9" t="str">
        <x:v>2023-05</x:v>
      </x:c>
    </x:row>
    <x:row r="31" ht="17" customHeight="1">
      <x:c r="A31" s="9" t="str">
        <x:v>2023-06-01</x:v>
      </x:c>
      <x:c r="B31" s="9" t="str">
        <x:v>Digital Commerce</x:v>
      </x:c>
      <x:c r="C31" s="107" t="n">
        <x:v>20.529855140000002</x:v>
      </x:c>
      <x:c r="D31" s="107" t="n">
        <x:v>0</x:v>
      </x:c>
      <x:c r="E31" s="107" t="n">
        <x:v>0</x:v>
      </x:c>
      <x:c r="F31" s="107" t="n">
        <x:v>7.25630458</x:v>
      </x:c>
      <x:c r="G31" s="107" t="n">
        <x:v>44.7975371</x:v>
      </x:c>
      <x:c r="H31" s="107" t="n">
        <x:v>0</x:v>
      </x:c>
      <x:c r="I31" s="107" t="n">
        <x:v>24.26768196</x:v>
      </x:c>
      <x:c r="J31" s="107" t="n">
        <x:v>17.011377380000003</x:v>
      </x:c>
      <x:c r="K31" s="107" t="n">
        <x:v>17.011377380000003</x:v>
      </x:c>
      <x:c r="L31" s="107" t="n">
        <x:v>17.011377380000003</x:v>
      </x:c>
      <x:c r="M31" s="107" t="n">
        <x:v>17.011377380000003</x:v>
      </x:c>
      <x:c r="N31" s="108" t="n">
        <x:v>0.5417191107142362</x:v>
      </x:c>
      <x:c r="O31" s="108" t="n">
        <x:v>0.37973912141701205</x:v>
      </x:c>
      <x:c r="P31" s="108" t="n">
        <x:v>0.37973912141701205</x:v>
      </x:c>
      <x:c r="Q31" s="9" t="str">
        <x:v>Actual</x:v>
      </x:c>
      <x:c r="R31" s="9" t="n">
        <x:v>2023</x:v>
      </x:c>
      <x:c r="S31" s="9" t="str">
        <x:v>2023-06</x:v>
      </x:c>
    </x:row>
    <x:row r="32" ht="17" customHeight="1">
      <x:c r="A32" s="9" t="str">
        <x:v>2023-06-01</x:v>
      </x:c>
      <x:c r="B32" s="9" t="str">
        <x:v>Retail Stores</x:v>
      </x:c>
      <x:c r="C32" s="107" t="n">
        <x:v>15.740995439999999</x:v>
      </x:c>
      <x:c r="D32" s="107" t="n">
        <x:v>0</x:v>
      </x:c>
      <x:c r="E32" s="107" t="n">
        <x:v>0</x:v>
      </x:c>
      <x:c r="F32" s="107" t="n">
        <x:v>6.12782848</x:v>
      </x:c>
      <x:c r="G32" s="107" t="n">
        <x:v>30.9018513</x:v>
      </x:c>
      <x:c r="H32" s="107" t="n">
        <x:v>0</x:v>
      </x:c>
      <x:c r="I32" s="107" t="n">
        <x:v>15.160855860000002</x:v>
      </x:c>
      <x:c r="J32" s="107" t="n">
        <x:v>9.033027380000002</x:v>
      </x:c>
      <x:c r="K32" s="107" t="n">
        <x:v>9.033027380000002</x:v>
      </x:c>
      <x:c r="L32" s="107" t="n">
        <x:v>9.033027380000002</x:v>
      </x:c>
      <x:c r="M32" s="107" t="n">
        <x:v>9.033027380000002</x:v>
      </x:c>
      <x:c r="N32" s="108" t="n">
        <x:v>0.49061319054370056</x:v>
      </x:c>
      <x:c r="O32" s="108" t="n">
        <x:v>0.29231346990528045</x:v>
      </x:c>
      <x:c r="P32" s="108" t="n">
        <x:v>0.29231346990528045</x:v>
      </x:c>
      <x:c r="Q32" s="9" t="str">
        <x:v>Actual</x:v>
      </x:c>
      <x:c r="R32" s="9" t="n">
        <x:v>2023</x:v>
      </x:c>
      <x:c r="S32" s="9" t="str">
        <x:v>2023-06</x:v>
      </x:c>
    </x:row>
    <x:row r="33" ht="17" customHeight="1">
      <x:c r="A33" s="9" t="str">
        <x:v>2023-06-01</x:v>
      </x:c>
      <x:c r="B33" s="9" t="str">
        <x:v>Shared Services</x:v>
      </x:c>
      <x:c r="C33" s="107" t="n">
        <x:v>0</x:v>
      </x:c>
      <x:c r="D33" s="107" t="n">
        <x:v>0.16979167</x:v>
      </x:c>
      <x:c r="E33" s="107" t="n">
        <x:v>0.42</x:v>
      </x:c>
      <x:c r="F33" s="107" t="n">
        <x:v>23.66966741</x:v>
      </x:c>
      <x:c r="G33" s="107" t="n">
        <x:v>0</x:v>
      </x:c>
      <x:c r="H33" s="107" t="n">
        <x:v>2.44517059</x:v>
      </x:c>
      <x:c r="I33" s="107" t="n">
        <x:v>0</x:v>
      </x:c>
      <x:c r="J33" s="107" t="n">
        <x:v>-23.66966741</x:v>
      </x:c>
      <x:c r="K33" s="107" t="n">
        <x:v>-23.83945908</x:v>
      </x:c>
      <x:c r="L33" s="107" t="n">
        <x:v>-24.259459080000003</x:v>
      </x:c>
      <x:c r="M33" s="107" t="n">
        <x:v>-26.704629670000003</x:v>
      </x:c>
      <x:c r="N33" s="108"/>
      <x:c r="O33" s="108"/>
      <x:c r="P33" s="108"/>
      <x:c r="Q33" s="9" t="str">
        <x:v>Actual</x:v>
      </x:c>
      <x:c r="R33" s="9" t="n">
        <x:v>2023</x:v>
      </x:c>
      <x:c r="S33" s="9" t="str">
        <x:v>2023-06</x:v>
      </x:c>
    </x:row>
    <x:row r="34" ht="17" customHeight="1">
      <x:c r="A34" s="9" t="str">
        <x:v>2023-06-01</x:v>
      </x:c>
      <x:c r="B34" s="9" t="str">
        <x:v>Subscription Services</x:v>
      </x:c>
      <x:c r="C34" s="107" t="n">
        <x:v>1.2382876999999999</x:v>
      </x:c>
      <x:c r="D34" s="107" t="n">
        <x:v>0</x:v>
      </x:c>
      <x:c r="E34" s="107" t="n">
        <x:v>0</x:v>
      </x:c>
      <x:c r="F34" s="107" t="n">
        <x:v>2.42171348</x:v>
      </x:c>
      <x:c r="G34" s="107" t="n">
        <x:v>4.89999381</x:v>
      </x:c>
      <x:c r="H34" s="107" t="n">
        <x:v>0</x:v>
      </x:c>
      <x:c r="I34" s="107" t="n">
        <x:v>3.6617061099999995</x:v>
      </x:c>
      <x:c r="J34" s="107" t="n">
        <x:v>1.2399926299999995</x:v>
      </x:c>
      <x:c r="K34" s="107" t="n">
        <x:v>1.2399926299999995</x:v>
      </x:c>
      <x:c r="L34" s="107" t="n">
        <x:v>1.2399926299999995</x:v>
      </x:c>
      <x:c r="M34" s="107" t="n">
        <x:v>1.2399926299999995</x:v>
      </x:c>
      <x:c r="N34" s="108" t="n">
        <x:v>0.7472879052473741</x:v>
      </x:c>
      <x:c r="O34" s="108" t="n">
        <x:v>0.25306004009013217</x:v>
      </x:c>
      <x:c r="P34" s="108" t="n">
        <x:v>0.25306004009013217</x:v>
      </x:c>
      <x:c r="Q34" s="9" t="str">
        <x:v>Actual</x:v>
      </x:c>
      <x:c r="R34" s="9" t="n">
        <x:v>2023</x:v>
      </x:c>
      <x:c r="S34" s="9" t="str">
        <x:v>2023-06</x:v>
      </x:c>
    </x:row>
    <x:row r="35" ht="17" customHeight="1">
      <x:c r="A35" s="9" t="str">
        <x:v>2023-06-01</x:v>
      </x:c>
      <x:c r="B35" s="9" t="str">
        <x:v>Wholesale</x:v>
      </x:c>
      <x:c r="C35" s="107" t="n">
        <x:v>14.871188940000001</x:v>
      </x:c>
      <x:c r="D35" s="107" t="n">
        <x:v>0</x:v>
      </x:c>
      <x:c r="E35" s="107" t="n">
        <x:v>0</x:v>
      </x:c>
      <x:c r="F35" s="107" t="n">
        <x:v>2.7628280800000002</x:v>
      </x:c>
      <x:c r="G35" s="107" t="n">
        <x:v>24.38976106</x:v>
      </x:c>
      <x:c r="H35" s="107" t="n">
        <x:v>0</x:v>
      </x:c>
      <x:c r="I35" s="107" t="n">
        <x:v>9.518572120000002</x:v>
      </x:c>
      <x:c r="J35" s="107" t="n">
        <x:v>6.755744040000001</x:v>
      </x:c>
      <x:c r="K35" s="107" t="n">
        <x:v>6.755744040000001</x:v>
      </x:c>
      <x:c r="L35" s="107" t="n">
        <x:v>6.755744040000001</x:v>
      </x:c>
      <x:c r="M35" s="107" t="n">
        <x:v>6.755744040000001</x:v>
      </x:c>
      <x:c r="N35" s="108" t="n">
        <x:v>0.39026918289949003</x:v>
      </x:c>
      <x:c r="O35" s="108" t="n">
        <x:v>0.2769909891031954</x:v>
      </x:c>
      <x:c r="P35" s="108" t="n">
        <x:v>0.2769909891031954</x:v>
      </x:c>
      <x:c r="Q35" s="9" t="str">
        <x:v>Actual</x:v>
      </x:c>
      <x:c r="R35" s="9" t="n">
        <x:v>2023</x:v>
      </x:c>
      <x:c r="S35" s="9" t="str">
        <x:v>2023-06</x:v>
      </x:c>
    </x:row>
    <x:row r="36" ht="17" customHeight="1">
      <x:c r="A36" s="9" t="str">
        <x:v>2023-07-01</x:v>
      </x:c>
      <x:c r="B36" s="9" t="str">
        <x:v>Digital Commerce</x:v>
      </x:c>
      <x:c r="C36" s="107" t="n">
        <x:v>19.73746266</x:v>
      </x:c>
      <x:c r="D36" s="107" t="n">
        <x:v>0</x:v>
      </x:c>
      <x:c r="E36" s="107" t="n">
        <x:v>0</x:v>
      </x:c>
      <x:c r="F36" s="107" t="n">
        <x:v>7.3566926</x:v>
      </x:c>
      <x:c r="G36" s="107" t="n">
        <x:v>43.04538748</x:v>
      </x:c>
      <x:c r="H36" s="107" t="n">
        <x:v>0</x:v>
      </x:c>
      <x:c r="I36" s="107" t="n">
        <x:v>23.307924820000004</x:v>
      </x:c>
      <x:c r="J36" s="107" t="n">
        <x:v>15.951232220000005</x:v>
      </x:c>
      <x:c r="K36" s="107" t="n">
        <x:v>15.951232220000005</x:v>
      </x:c>
      <x:c r="L36" s="107" t="n">
        <x:v>15.951232220000005</x:v>
      </x:c>
      <x:c r="M36" s="107" t="n">
        <x:v>15.951232220000005</x:v>
      </x:c>
      <x:c r="N36" s="108" t="n">
        <x:v>0.5414732259252972</x:v>
      </x:c>
      <x:c r="O36" s="108" t="n">
        <x:v>0.3705677461356657</x:v>
      </x:c>
      <x:c r="P36" s="108" t="n">
        <x:v>0.3705677461356657</x:v>
      </x:c>
      <x:c r="Q36" s="9" t="str">
        <x:v>Actual</x:v>
      </x:c>
      <x:c r="R36" s="9" t="n">
        <x:v>2023</x:v>
      </x:c>
      <x:c r="S36" s="9" t="str">
        <x:v>2023-07</x:v>
      </x:c>
    </x:row>
    <x:row r="37" ht="17" customHeight="1">
      <x:c r="A37" s="9" t="str">
        <x:v>2023-07-01</x:v>
      </x:c>
      <x:c r="B37" s="9" t="str">
        <x:v>Retail Stores</x:v>
      </x:c>
      <x:c r="C37" s="107" t="n">
        <x:v>16.68168051</x:v>
      </x:c>
      <x:c r="D37" s="107" t="n">
        <x:v>0</x:v>
      </x:c>
      <x:c r="E37" s="107" t="n">
        <x:v>0</x:v>
      </x:c>
      <x:c r="F37" s="107" t="n">
        <x:v>6.18934408</x:v>
      </x:c>
      <x:c r="G37" s="107" t="n">
        <x:v>32.92357066</x:v>
      </x:c>
      <x:c r="H37" s="107" t="n">
        <x:v>0</x:v>
      </x:c>
      <x:c r="I37" s="107" t="n">
        <x:v>16.24189015</x:v>
      </x:c>
      <x:c r="J37" s="107" t="n">
        <x:v>10.05254607</x:v>
      </x:c>
      <x:c r="K37" s="107" t="n">
        <x:v>10.05254607</x:v>
      </x:c>
      <x:c r="L37" s="107" t="n">
        <x:v>10.05254607</x:v>
      </x:c>
      <x:c r="M37" s="107" t="n">
        <x:v>10.05254607</x:v>
      </x:c>
      <x:c r="N37" s="108" t="n">
        <x:v>0.493321040956619</x:v>
      </x:c>
      <x:c r="O37" s="108" t="n">
        <x:v>0.30532976431420883</x:v>
      </x:c>
      <x:c r="P37" s="108" t="n">
        <x:v>0.30532976431420883</x:v>
      </x:c>
      <x:c r="Q37" s="9" t="str">
        <x:v>Actual</x:v>
      </x:c>
      <x:c r="R37" s="9" t="n">
        <x:v>2023</x:v>
      </x:c>
      <x:c r="S37" s="9" t="str">
        <x:v>2023-07</x:v>
      </x:c>
    </x:row>
    <x:row r="38" ht="17" customHeight="1">
      <x:c r="A38" s="9" t="str">
        <x:v>2023-07-01</x:v>
      </x:c>
      <x:c r="B38" s="9" t="str">
        <x:v>Shared Services</x:v>
      </x:c>
      <x:c r="C38" s="107" t="n">
        <x:v>0</x:v>
      </x:c>
      <x:c r="D38" s="107" t="n">
        <x:v>0.16979167</x:v>
      </x:c>
      <x:c r="E38" s="107" t="n">
        <x:v>0.42</x:v>
      </x:c>
      <x:c r="F38" s="107" t="n">
        <x:v>24.0598807</x:v>
      </x:c>
      <x:c r="G38" s="107" t="n">
        <x:v>0</x:v>
      </x:c>
      <x:c r="H38" s="107" t="n">
        <x:v>2.2234145</x:v>
      </x:c>
      <x:c r="I38" s="107" t="n">
        <x:v>0</x:v>
      </x:c>
      <x:c r="J38" s="107" t="n">
        <x:v>-24.0598807</x:v>
      </x:c>
      <x:c r="K38" s="107" t="n">
        <x:v>-24.22967237</x:v>
      </x:c>
      <x:c r="L38" s="107" t="n">
        <x:v>-24.64967237</x:v>
      </x:c>
      <x:c r="M38" s="107" t="n">
        <x:v>-26.87308687</x:v>
      </x:c>
      <x:c r="N38" s="108"/>
      <x:c r="O38" s="108"/>
      <x:c r="P38" s="108"/>
      <x:c r="Q38" s="9" t="str">
        <x:v>Actual</x:v>
      </x:c>
      <x:c r="R38" s="9" t="n">
        <x:v>2023</x:v>
      </x:c>
      <x:c r="S38" s="9" t="str">
        <x:v>2023-07</x:v>
      </x:c>
    </x:row>
    <x:row r="39" ht="17" customHeight="1">
      <x:c r="A39" s="9" t="str">
        <x:v>2023-07-01</x:v>
      </x:c>
      <x:c r="B39" s="9" t="str">
        <x:v>Subscription Services</x:v>
      </x:c>
      <x:c r="C39" s="107" t="n">
        <x:v>1.31155348</x:v>
      </x:c>
      <x:c r="D39" s="107" t="n">
        <x:v>0</x:v>
      </x:c>
      <x:c r="E39" s="107" t="n">
        <x:v>0</x:v>
      </x:c>
      <x:c r="F39" s="107" t="n">
        <x:v>2.4417229899999997</x:v>
      </x:c>
      <x:c r="G39" s="107" t="n">
        <x:v>5.18916555</x:v>
      </x:c>
      <x:c r="H39" s="107" t="n">
        <x:v>0</x:v>
      </x:c>
      <x:c r="I39" s="107" t="n">
        <x:v>3.8776120699999996</x:v>
      </x:c>
      <x:c r="J39" s="107" t="n">
        <x:v>1.4358890800000002</x:v>
      </x:c>
      <x:c r="K39" s="107" t="n">
        <x:v>1.4358890800000002</x:v>
      </x:c>
      <x:c r="L39" s="107" t="n">
        <x:v>1.4358890800000002</x:v>
      </x:c>
      <x:c r="M39" s="107" t="n">
        <x:v>1.4358890800000002</x:v>
      </x:c>
      <x:c r="N39" s="108" t="n">
        <x:v>0.7472515634040622</x:v>
      </x:c>
      <x:c r="O39" s="108" t="n">
        <x:v>0.27670905199777257</x:v>
      </x:c>
      <x:c r="P39" s="108" t="n">
        <x:v>0.27670905199777257</x:v>
      </x:c>
      <x:c r="Q39" s="9" t="str">
        <x:v>Actual</x:v>
      </x:c>
      <x:c r="R39" s="9" t="n">
        <x:v>2023</x:v>
      </x:c>
      <x:c r="S39" s="9" t="str">
        <x:v>2023-07</x:v>
      </x:c>
    </x:row>
    <x:row r="40" ht="17" customHeight="1">
      <x:c r="A40" s="9" t="str">
        <x:v>2023-07-01</x:v>
      </x:c>
      <x:c r="B40" s="9" t="str">
        <x:v>Wholesale</x:v>
      </x:c>
      <x:c r="C40" s="107" t="n">
        <x:v>13.54719557</x:v>
      </x:c>
      <x:c r="D40" s="107" t="n">
        <x:v>0</x:v>
      </x:c>
      <x:c r="E40" s="107" t="n">
        <x:v>0</x:v>
      </x:c>
      <x:c r="F40" s="107" t="n">
        <x:v>2.7856499</x:v>
      </x:c>
      <x:c r="G40" s="107" t="n">
        <x:v>22.43650845</x:v>
      </x:c>
      <x:c r="H40" s="107" t="n">
        <x:v>0</x:v>
      </x:c>
      <x:c r="I40" s="107" t="n">
        <x:v>8.889312880000002</x:v>
      </x:c>
      <x:c r="J40" s="107" t="n">
        <x:v>6.103662980000002</x:v>
      </x:c>
      <x:c r="K40" s="107" t="n">
        <x:v>6.103662980000002</x:v>
      </x:c>
      <x:c r="L40" s="107" t="n">
        <x:v>6.103662980000002</x:v>
      </x:c>
      <x:c r="M40" s="107" t="n">
        <x:v>6.103662980000002</x:v>
      </x:c>
      <x:c r="N40" s="108" t="n">
        <x:v>0.3961985840983204</x:v>
      </x:c>
      <x:c r="O40" s="108" t="n">
        <x:v>0.2720415698192114</x:v>
      </x:c>
      <x:c r="P40" s="108" t="n">
        <x:v>0.2720415698192114</x:v>
      </x:c>
      <x:c r="Q40" s="9" t="str">
        <x:v>Actual</x:v>
      </x:c>
      <x:c r="R40" s="9" t="n">
        <x:v>2023</x:v>
      </x:c>
      <x:c r="S40" s="9" t="str">
        <x:v>2023-07</x:v>
      </x:c>
    </x:row>
    <x:row r="41" ht="17" customHeight="1">
      <x:c r="A41" s="9" t="str">
        <x:v>2023-08-01</x:v>
      </x:c>
      <x:c r="B41" s="9" t="str">
        <x:v>Digital Commerce</x:v>
      </x:c>
      <x:c r="C41" s="107" t="n">
        <x:v>19.263035260000002</x:v>
      </x:c>
      <x:c r="D41" s="107" t="n">
        <x:v>0</x:v>
      </x:c>
      <x:c r="E41" s="107" t="n">
        <x:v>0</x:v>
      </x:c>
      <x:c r="F41" s="107" t="n">
        <x:v>7.332842230000001</x:v>
      </x:c>
      <x:c r="G41" s="107" t="n">
        <x:v>41.89958141</x:v>
      </x:c>
      <x:c r="H41" s="107" t="n">
        <x:v>0</x:v>
      </x:c>
      <x:c r="I41" s="107" t="n">
        <x:v>22.63654615</x:v>
      </x:c>
      <x:c r="J41" s="107" t="n">
        <x:v>15.303703920000002</x:v>
      </x:c>
      <x:c r="K41" s="107" t="n">
        <x:v>15.303703920000002</x:v>
      </x:c>
      <x:c r="L41" s="107" t="n">
        <x:v>15.303703920000002</x:v>
      </x:c>
      <x:c r="M41" s="107" t="n">
        <x:v>15.303703920000002</x:v>
      </x:c>
      <x:c r="N41" s="108" t="n">
        <x:v>0.5402570953751206</x:v>
      </x:c>
      <x:c r="O41" s="108" t="n">
        <x:v>0.3652471792080369</x:v>
      </x:c>
      <x:c r="P41" s="108" t="n">
        <x:v>0.3652471792080369</x:v>
      </x:c>
      <x:c r="Q41" s="9" t="str">
        <x:v>Actual</x:v>
      </x:c>
      <x:c r="R41" s="9" t="n">
        <x:v>2023</x:v>
      </x:c>
      <x:c r="S41" s="9" t="str">
        <x:v>2023-08</x:v>
      </x:c>
    </x:row>
    <x:row r="42" ht="17" customHeight="1">
      <x:c r="A42" s="9" t="str">
        <x:v>2023-08-01</x:v>
      </x:c>
      <x:c r="B42" s="9" t="str">
        <x:v>Retail Stores</x:v>
      </x:c>
      <x:c r="C42" s="107" t="n">
        <x:v>14.03574259</x:v>
      </x:c>
      <x:c r="D42" s="107" t="n">
        <x:v>0</x:v>
      </x:c>
      <x:c r="E42" s="107" t="n">
        <x:v>0</x:v>
      </x:c>
      <x:c r="F42" s="107" t="n">
        <x:v>5.99604724</x:v>
      </x:c>
      <x:c r="G42" s="107" t="n">
        <x:v>27.34537892</x:v>
      </x:c>
      <x:c r="H42" s="107" t="n">
        <x:v>0</x:v>
      </x:c>
      <x:c r="I42" s="107" t="n">
        <x:v>13.309636330000002</x:v>
      </x:c>
      <x:c r="J42" s="107" t="n">
        <x:v>7.313589090000002</x:v>
      </x:c>
      <x:c r="K42" s="107" t="n">
        <x:v>7.313589090000002</x:v>
      </x:c>
      <x:c r="L42" s="107" t="n">
        <x:v>7.313589090000002</x:v>
      </x:c>
      <x:c r="M42" s="107" t="n">
        <x:v>7.313589090000002</x:v>
      </x:c>
      <x:c r="N42" s="108" t="n">
        <x:v>0.4867234193001265</x:v>
      </x:c>
      <x:c r="O42" s="108" t="n">
        <x:v>0.26745246834560965</x:v>
      </x:c>
      <x:c r="P42" s="108" t="n">
        <x:v>0.26745246834560965</x:v>
      </x:c>
      <x:c r="Q42" s="9" t="str">
        <x:v>Actual</x:v>
      </x:c>
      <x:c r="R42" s="9" t="n">
        <x:v>2023</x:v>
      </x:c>
      <x:c r="S42" s="9" t="str">
        <x:v>2023-08</x:v>
      </x:c>
    </x:row>
    <x:row r="43" ht="17" customHeight="1">
      <x:c r="A43" s="9" t="str">
        <x:v>2023-08-01</x:v>
      </x:c>
      <x:c r="B43" s="9" t="str">
        <x:v>Shared Services</x:v>
      </x:c>
      <x:c r="C43" s="107" t="n">
        <x:v>0</x:v>
      </x:c>
      <x:c r="D43" s="107" t="n">
        <x:v>0.16979167</x:v>
      </x:c>
      <x:c r="E43" s="107" t="n">
        <x:v>0.42</x:v>
      </x:c>
      <x:c r="F43" s="107" t="n">
        <x:v>24.491899309999997</x:v>
      </x:c>
      <x:c r="G43" s="107" t="n">
        <x:v>0</x:v>
      </x:c>
      <x:c r="H43" s="107" t="n">
        <x:v>1.46942295</x:v>
      </x:c>
      <x:c r="I43" s="107" t="n">
        <x:v>0</x:v>
      </x:c>
      <x:c r="J43" s="107" t="n">
        <x:v>-24.491899309999997</x:v>
      </x:c>
      <x:c r="K43" s="107" t="n">
        <x:v>-24.66169098</x:v>
      </x:c>
      <x:c r="L43" s="107" t="n">
        <x:v>-25.08169098</x:v>
      </x:c>
      <x:c r="M43" s="107" t="n">
        <x:v>-26.55111393</x:v>
      </x:c>
      <x:c r="N43" s="108"/>
      <x:c r="O43" s="108"/>
      <x:c r="P43" s="108"/>
      <x:c r="Q43" s="9" t="str">
        <x:v>Actual</x:v>
      </x:c>
      <x:c r="R43" s="9" t="n">
        <x:v>2023</x:v>
      </x:c>
      <x:c r="S43" s="9" t="str">
        <x:v>2023-08</x:v>
      </x:c>
    </x:row>
    <x:row r="44" ht="17" customHeight="1">
      <x:c r="A44" s="9" t="str">
        <x:v>2023-08-01</x:v>
      </x:c>
      <x:c r="B44" s="9" t="str">
        <x:v>Subscription Services</x:v>
      </x:c>
      <x:c r="C44" s="107" t="n">
        <x:v>1.36521725</x:v>
      </x:c>
      <x:c r="D44" s="107" t="n">
        <x:v>0</x:v>
      </x:c>
      <x:c r="E44" s="107" t="n">
        <x:v>0</x:v>
      </x:c>
      <x:c r="F44" s="107" t="n">
        <x:v>2.41751474</x:v>
      </x:c>
      <x:c r="G44" s="107" t="n">
        <x:v>5.3088291</x:v>
      </x:c>
      <x:c r="H44" s="107" t="n">
        <x:v>0</x:v>
      </x:c>
      <x:c r="I44" s="107" t="n">
        <x:v>3.9436118499999995</x:v>
      </x:c>
      <x:c r="J44" s="107" t="n">
        <x:v>1.5260971099999994</x:v>
      </x:c>
      <x:c r="K44" s="107" t="n">
        <x:v>1.5260971099999994</x:v>
      </x:c>
      <x:c r="L44" s="107" t="n">
        <x:v>1.5260971099999994</x:v>
      </x:c>
      <x:c r="M44" s="107" t="n">
        <x:v>1.5260971099999994</x:v>
      </x:c>
      <x:c r="N44" s="108" t="n">
        <x:v>0.7428402338285857</x:v>
      </x:c>
      <x:c r="O44" s="108" t="n">
        <x:v>0.2874639739297691</x:v>
      </x:c>
      <x:c r="P44" s="108" t="n">
        <x:v>0.2874639739297691</x:v>
      </x:c>
      <x:c r="Q44" s="9" t="str">
        <x:v>Actual</x:v>
      </x:c>
      <x:c r="R44" s="9" t="n">
        <x:v>2023</x:v>
      </x:c>
      <x:c r="S44" s="9" t="str">
        <x:v>2023-08</x:v>
      </x:c>
    </x:row>
    <x:row r="45" ht="17" customHeight="1">
      <x:c r="A45" s="9" t="str">
        <x:v>2023-08-01</x:v>
      </x:c>
      <x:c r="B45" s="9" t="str">
        <x:v>Wholesale</x:v>
      </x:c>
      <x:c r="C45" s="107" t="n">
        <x:v>14.49060876</x:v>
      </x:c>
      <x:c r="D45" s="107" t="n">
        <x:v>0</x:v>
      </x:c>
      <x:c r="E45" s="107" t="n">
        <x:v>0</x:v>
      </x:c>
      <x:c r="F45" s="107" t="n">
        <x:v>2.86512651</x:v>
      </x:c>
      <x:c r="G45" s="107" t="n">
        <x:v>24.17172794</x:v>
      </x:c>
      <x:c r="H45" s="107" t="n">
        <x:v>0</x:v>
      </x:c>
      <x:c r="I45" s="107" t="n">
        <x:v>9.681119180000001</x:v>
      </x:c>
      <x:c r="J45" s="107" t="n">
        <x:v>6.815992670000002</x:v>
      </x:c>
      <x:c r="K45" s="107" t="n">
        <x:v>6.815992670000002</x:v>
      </x:c>
      <x:c r="L45" s="107" t="n">
        <x:v>6.815992670000002</x:v>
      </x:c>
      <x:c r="M45" s="107" t="n">
        <x:v>6.815992670000002</x:v>
      </x:c>
      <x:c r="N45" s="108" t="n">
        <x:v>0.40051415455406625</x:v>
      </x:c>
      <x:c r="O45" s="108" t="n">
        <x:v>0.28198201994159966</x:v>
      </x:c>
      <x:c r="P45" s="108" t="n">
        <x:v>0.28198201994159966</x:v>
      </x:c>
      <x:c r="Q45" s="9" t="str">
        <x:v>Actual</x:v>
      </x:c>
      <x:c r="R45" s="9" t="n">
        <x:v>2023</x:v>
      </x:c>
      <x:c r="S45" s="9" t="str">
        <x:v>2023-08</x:v>
      </x:c>
    </x:row>
    <x:row r="46" ht="17" customHeight="1">
      <x:c r="A46" s="9" t="str">
        <x:v>2023-09-01</x:v>
      </x:c>
      <x:c r="B46" s="9" t="str">
        <x:v>Digital Commerce</x:v>
      </x:c>
      <x:c r="C46" s="107" t="n">
        <x:v>20.34597264</x:v>
      </x:c>
      <x:c r="D46" s="107" t="n">
        <x:v>0</x:v>
      </x:c>
      <x:c r="E46" s="107" t="n">
        <x:v>0</x:v>
      </x:c>
      <x:c r="F46" s="107" t="n">
        <x:v>7.442289189999999</x:v>
      </x:c>
      <x:c r="G46" s="107" t="n">
        <x:v>44.10314685</x:v>
      </x:c>
      <x:c r="H46" s="107" t="n">
        <x:v>0</x:v>
      </x:c>
      <x:c r="I46" s="107" t="n">
        <x:v>23.757174210000002</x:v>
      </x:c>
      <x:c r="J46" s="107" t="n">
        <x:v>16.314885020000002</x:v>
      </x:c>
      <x:c r="K46" s="107" t="n">
        <x:v>16.314885020000002</x:v>
      </x:c>
      <x:c r="L46" s="107" t="n">
        <x:v>16.314885020000002</x:v>
      </x:c>
      <x:c r="M46" s="107" t="n">
        <x:v>16.314885020000002</x:v>
      </x:c>
      <x:c r="N46" s="108" t="n">
        <x:v>0.5386729951674639</x:v>
      </x:c>
      <x:c r="O46" s="108" t="n">
        <x:v>0.369925644432785</x:v>
      </x:c>
      <x:c r="P46" s="108" t="n">
        <x:v>0.369925644432785</x:v>
      </x:c>
      <x:c r="Q46" s="9" t="str">
        <x:v>Actual</x:v>
      </x:c>
      <x:c r="R46" s="9" t="n">
        <x:v>2023</x:v>
      </x:c>
      <x:c r="S46" s="9" t="str">
        <x:v>2023-09</x:v>
      </x:c>
    </x:row>
    <x:row r="47" ht="17" customHeight="1">
      <x:c r="A47" s="9" t="str">
        <x:v>2023-09-01</x:v>
      </x:c>
      <x:c r="B47" s="9" t="str">
        <x:v>Retail Stores</x:v>
      </x:c>
      <x:c r="C47" s="107" t="n">
        <x:v>15.49078792</x:v>
      </x:c>
      <x:c r="D47" s="107" t="n">
        <x:v>0</x:v>
      </x:c>
      <x:c r="E47" s="107" t="n">
        <x:v>0</x:v>
      </x:c>
      <x:c r="F47" s="107" t="n">
        <x:v>6.08913655</x:v>
      </x:c>
      <x:c r="G47" s="107" t="n">
        <x:v>30.63626058</x:v>
      </x:c>
      <x:c r="H47" s="107" t="n">
        <x:v>0</x:v>
      </x:c>
      <x:c r="I47" s="107" t="n">
        <x:v>15.145472659999998</x:v>
      </x:c>
      <x:c r="J47" s="107" t="n">
        <x:v>9.05633611</x:v>
      </x:c>
      <x:c r="K47" s="107" t="n">
        <x:v>9.05633611</x:v>
      </x:c>
      <x:c r="L47" s="107" t="n">
        <x:v>9.05633611</x:v>
      </x:c>
      <x:c r="M47" s="107" t="n">
        <x:v>9.05633611</x:v>
      </x:c>
      <x:c r="N47" s="108" t="n">
        <x:v>0.49436427205111594</x:v>
      </x:c>
      <x:c r="O47" s="108" t="n">
        <x:v>0.29560840450326265</x:v>
      </x:c>
      <x:c r="P47" s="108" t="n">
        <x:v>0.29560840450326265</x:v>
      </x:c>
      <x:c r="Q47" s="9" t="str">
        <x:v>Actual</x:v>
      </x:c>
      <x:c r="R47" s="9" t="n">
        <x:v>2023</x:v>
      </x:c>
      <x:c r="S47" s="9" t="str">
        <x:v>2023-09</x:v>
      </x:c>
    </x:row>
    <x:row r="48" ht="17" customHeight="1">
      <x:c r="A48" s="9" t="str">
        <x:v>2023-09-01</x:v>
      </x:c>
      <x:c r="B48" s="9" t="str">
        <x:v>Shared Services</x:v>
      </x:c>
      <x:c r="C48" s="107" t="n">
        <x:v>0</x:v>
      </x:c>
      <x:c r="D48" s="107" t="n">
        <x:v>0.16979167</x:v>
      </x:c>
      <x:c r="E48" s="107" t="n">
        <x:v>0.42</x:v>
      </x:c>
      <x:c r="F48" s="107" t="n">
        <x:v>24.56066057</x:v>
      </x:c>
      <x:c r="G48" s="107" t="n">
        <x:v>0</x:v>
      </x:c>
      <x:c r="H48" s="107" t="n">
        <x:v>2.78823234</x:v>
      </x:c>
      <x:c r="I48" s="107" t="n">
        <x:v>0</x:v>
      </x:c>
      <x:c r="J48" s="107" t="n">
        <x:v>-24.56066057</x:v>
      </x:c>
      <x:c r="K48" s="107" t="n">
        <x:v>-24.73045224</x:v>
      </x:c>
      <x:c r="L48" s="107" t="n">
        <x:v>-25.150452240000003</x:v>
      </x:c>
      <x:c r="M48" s="107" t="n">
        <x:v>-27.93868458</x:v>
      </x:c>
      <x:c r="N48" s="108"/>
      <x:c r="O48" s="108"/>
      <x:c r="P48" s="108"/>
      <x:c r="Q48" s="9" t="str">
        <x:v>Actual</x:v>
      </x:c>
      <x:c r="R48" s="9" t="n">
        <x:v>2023</x:v>
      </x:c>
      <x:c r="S48" s="9" t="str">
        <x:v>2023-09</x:v>
      </x:c>
    </x:row>
    <x:row r="49" ht="17" customHeight="1">
      <x:c r="A49" s="9" t="str">
        <x:v>2023-09-01</x:v>
      </x:c>
      <x:c r="B49" s="9" t="str">
        <x:v>Subscription Services</x:v>
      </x:c>
      <x:c r="C49" s="107" t="n">
        <x:v>1.32359106</x:v>
      </x:c>
      <x:c r="D49" s="107" t="n">
        <x:v>0</x:v>
      </x:c>
      <x:c r="E49" s="107" t="n">
        <x:v>0</x:v>
      </x:c>
      <x:c r="F49" s="107" t="n">
        <x:v>2.40693625</x:v>
      </x:c>
      <x:c r="G49" s="107" t="n">
        <x:v>5.24914008</x:v>
      </x:c>
      <x:c r="H49" s="107" t="n">
        <x:v>0</x:v>
      </x:c>
      <x:c r="I49" s="107" t="n">
        <x:v>3.92554902</x:v>
      </x:c>
      <x:c r="J49" s="107" t="n">
        <x:v>1.51861277</x:v>
      </x:c>
      <x:c r="K49" s="107" t="n">
        <x:v>1.51861277</x:v>
      </x:c>
      <x:c r="L49" s="107" t="n">
        <x:v>1.51861277</x:v>
      </x:c>
      <x:c r="M49" s="107" t="n">
        <x:v>1.51861277</x:v>
      </x:c>
      <x:c r="N49" s="108" t="n">
        <x:v>0.7478461157775008</x:v>
      </x:c>
      <x:c r="O49" s="108" t="n">
        <x:v>0.2893069620652989</x:v>
      </x:c>
      <x:c r="P49" s="108" t="n">
        <x:v>0.2893069620652989</x:v>
      </x:c>
      <x:c r="Q49" s="9" t="str">
        <x:v>Actual</x:v>
      </x:c>
      <x:c r="R49" s="9" t="n">
        <x:v>2023</x:v>
      </x:c>
      <x:c r="S49" s="9" t="str">
        <x:v>2023-09</x:v>
      </x:c>
    </x:row>
    <x:row r="50" ht="17" customHeight="1">
      <x:c r="A50" s="9" t="str">
        <x:v>2023-09-01</x:v>
      </x:c>
      <x:c r="B50" s="9" t="str">
        <x:v>Wholesale</x:v>
      </x:c>
      <x:c r="C50" s="107" t="n">
        <x:v>18.85049159</x:v>
      </x:c>
      <x:c r="D50" s="107" t="n">
        <x:v>0</x:v>
      </x:c>
      <x:c r="E50" s="107" t="n">
        <x:v>0</x:v>
      </x:c>
      <x:c r="F50" s="107" t="n">
        <x:v>2.98717832</x:v>
      </x:c>
      <x:c r="G50" s="107" t="n">
        <x:v>31.25121762</x:v>
      </x:c>
      <x:c r="H50" s="107" t="n">
        <x:v>0</x:v>
      </x:c>
      <x:c r="I50" s="107" t="n">
        <x:v>12.400726029999998</x:v>
      </x:c>
      <x:c r="J50" s="107" t="n">
        <x:v>9.413547709999998</x:v>
      </x:c>
      <x:c r="K50" s="107" t="n">
        <x:v>9.413547709999998</x:v>
      </x:c>
      <x:c r="L50" s="107" t="n">
        <x:v>9.413547709999998</x:v>
      </x:c>
      <x:c r="M50" s="107" t="n">
        <x:v>9.413547709999998</x:v>
      </x:c>
      <x:c r="N50" s="108" t="n">
        <x:v>0.39680777180546856</x:v>
      </x:c>
      <x:c r="O50" s="108" t="n">
        <x:v>0.3012217899623713</x:v>
      </x:c>
      <x:c r="P50" s="108" t="n">
        <x:v>0.3012217899623713</x:v>
      </x:c>
      <x:c r="Q50" s="9" t="str">
        <x:v>Actual</x:v>
      </x:c>
      <x:c r="R50" s="9" t="n">
        <x:v>2023</x:v>
      </x:c>
      <x:c r="S50" s="9" t="str">
        <x:v>2023-09</x:v>
      </x:c>
    </x:row>
    <x:row r="51" ht="17" customHeight="1">
      <x:c r="A51" s="9" t="str">
        <x:v>2023-10-01</x:v>
      </x:c>
      <x:c r="B51" s="9" t="str">
        <x:v>Digital Commerce</x:v>
      </x:c>
      <x:c r="C51" s="107" t="n">
        <x:v>22.47050722</x:v>
      </x:c>
      <x:c r="D51" s="107" t="n">
        <x:v>0</x:v>
      </x:c>
      <x:c r="E51" s="107" t="n">
        <x:v>0</x:v>
      </x:c>
      <x:c r="F51" s="107" t="n">
        <x:v>7.877371609999999</x:v>
      </x:c>
      <x:c r="G51" s="107" t="n">
        <x:v>49.29276525</x:v>
      </x:c>
      <x:c r="H51" s="107" t="n">
        <x:v>0</x:v>
      </x:c>
      <x:c r="I51" s="107" t="n">
        <x:v>26.82225803</x:v>
      </x:c>
      <x:c r="J51" s="107" t="n">
        <x:v>18.944886420000003</x:v>
      </x:c>
      <x:c r="K51" s="107" t="n">
        <x:v>18.944886420000003</x:v>
      </x:c>
      <x:c r="L51" s="107" t="n">
        <x:v>18.944886420000003</x:v>
      </x:c>
      <x:c r="M51" s="107" t="n">
        <x:v>18.944886420000003</x:v>
      </x:c>
      <x:c r="N51" s="108" t="n">
        <x:v>0.5441418815512689</x:v>
      </x:c>
      <x:c r="O51" s="108" t="n">
        <x:v>0.38433401583206983</x:v>
      </x:c>
      <x:c r="P51" s="108" t="n">
        <x:v>0.38433401583206983</x:v>
      </x:c>
      <x:c r="Q51" s="9" t="str">
        <x:v>Actual</x:v>
      </x:c>
      <x:c r="R51" s="9" t="n">
        <x:v>2023</x:v>
      </x:c>
      <x:c r="S51" s="9" t="str">
        <x:v>2023-10</x:v>
      </x:c>
    </x:row>
    <x:row r="52" ht="17" customHeight="1">
      <x:c r="A52" s="9" t="str">
        <x:v>2023-10-01</x:v>
      </x:c>
      <x:c r="B52" s="9" t="str">
        <x:v>Retail Stores</x:v>
      </x:c>
      <x:c r="C52" s="107" t="n">
        <x:v>15.425134439999999</x:v>
      </x:c>
      <x:c r="D52" s="107" t="n">
        <x:v>0.1075</x:v>
      </x:c>
      <x:c r="E52" s="107" t="n">
        <x:v>0</x:v>
      </x:c>
      <x:c r="F52" s="107" t="n">
        <x:v>6.07457818</x:v>
      </x:c>
      <x:c r="G52" s="107" t="n">
        <x:v>30.15377625</x:v>
      </x:c>
      <x:c r="H52" s="107" t="n">
        <x:v>0</x:v>
      </x:c>
      <x:c r="I52" s="107" t="n">
        <x:v>14.728641810000001</x:v>
      </x:c>
      <x:c r="J52" s="107" t="n">
        <x:v>8.654063630000001</x:v>
      </x:c>
      <x:c r="K52" s="107" t="n">
        <x:v>8.546563630000001</x:v>
      </x:c>
      <x:c r="L52" s="107" t="n">
        <x:v>8.546563630000001</x:v>
      </x:c>
      <x:c r="M52" s="107" t="n">
        <x:v>8.546563630000001</x:v>
      </x:c>
      <x:c r="N52" s="108" t="n">
        <x:v>0.48845098829039696</x:v>
      </x:c>
      <x:c r="O52" s="108" t="n">
        <x:v>0.2869976734671831</x:v>
      </x:c>
      <x:c r="P52" s="108" t="n">
        <x:v>0.28343261418211263</x:v>
      </x:c>
      <x:c r="Q52" s="9" t="str">
        <x:v>Actual</x:v>
      </x:c>
      <x:c r="R52" s="9" t="n">
        <x:v>2023</x:v>
      </x:c>
      <x:c r="S52" s="9" t="str">
        <x:v>2023-10</x:v>
      </x:c>
    </x:row>
    <x:row r="53" ht="17" customHeight="1">
      <x:c r="A53" s="9" t="str">
        <x:v>2023-10-01</x:v>
      </x:c>
      <x:c r="B53" s="9" t="str">
        <x:v>Shared Services</x:v>
      </x:c>
      <x:c r="C53" s="107" t="n">
        <x:v>0</x:v>
      </x:c>
      <x:c r="D53" s="107" t="n">
        <x:v>0.16979167</x:v>
      </x:c>
      <x:c r="E53" s="107" t="n">
        <x:v>0.42</x:v>
      </x:c>
      <x:c r="F53" s="107" t="n">
        <x:v>24.7042803</x:v>
      </x:c>
      <x:c r="G53" s="107" t="n">
        <x:v>0</x:v>
      </x:c>
      <x:c r="H53" s="107" t="n">
        <x:v>3.19500923</x:v>
      </x:c>
      <x:c r="I53" s="107" t="n">
        <x:v>0</x:v>
      </x:c>
      <x:c r="J53" s="107" t="n">
        <x:v>-24.7042803</x:v>
      </x:c>
      <x:c r="K53" s="107" t="n">
        <x:v>-24.874071970000003</x:v>
      </x:c>
      <x:c r="L53" s="107" t="n">
        <x:v>-25.29407197</x:v>
      </x:c>
      <x:c r="M53" s="107" t="n">
        <x:v>-28.489081200000005</x:v>
      </x:c>
      <x:c r="N53" s="108"/>
      <x:c r="O53" s="108"/>
      <x:c r="P53" s="108"/>
      <x:c r="Q53" s="9" t="str">
        <x:v>Actual</x:v>
      </x:c>
      <x:c r="R53" s="9" t="n">
        <x:v>2023</x:v>
      </x:c>
      <x:c r="S53" s="9" t="str">
        <x:v>2023-10</x:v>
      </x:c>
    </x:row>
    <x:row r="54" ht="17" customHeight="1">
      <x:c r="A54" s="9" t="str">
        <x:v>2023-10-01</x:v>
      </x:c>
      <x:c r="B54" s="9" t="str">
        <x:v>Subscription Services</x:v>
      </x:c>
      <x:c r="C54" s="107" t="n">
        <x:v>1.3153777999999998</x:v>
      </x:c>
      <x:c r="D54" s="107" t="n">
        <x:v>0</x:v>
      </x:c>
      <x:c r="E54" s="107" t="n">
        <x:v>0</x:v>
      </x:c>
      <x:c r="F54" s="107" t="n">
        <x:v>2.45537743</x:v>
      </x:c>
      <x:c r="G54" s="107" t="n">
        <x:v>5.18539728</x:v>
      </x:c>
      <x:c r="H54" s="107" t="n">
        <x:v>0</x:v>
      </x:c>
      <x:c r="I54" s="107" t="n">
        <x:v>3.8700194800000003</x:v>
      </x:c>
      <x:c r="J54" s="107" t="n">
        <x:v>1.4146420500000003</x:v>
      </x:c>
      <x:c r="K54" s="107" t="n">
        <x:v>1.4146420500000003</x:v>
      </x:c>
      <x:c r="L54" s="107" t="n">
        <x:v>1.4146420500000003</x:v>
      </x:c>
      <x:c r="M54" s="107" t="n">
        <x:v>1.4146420500000003</x:v>
      </x:c>
      <x:c r="N54" s="108" t="n">
        <x:v>0.746330371816757</x:v>
      </x:c>
      <x:c r="O54" s="108" t="n">
        <x:v>0.27281266479933053</x:v>
      </x:c>
      <x:c r="P54" s="108" t="n">
        <x:v>0.27281266479933053</x:v>
      </x:c>
      <x:c r="Q54" s="9" t="str">
        <x:v>Actual</x:v>
      </x:c>
      <x:c r="R54" s="9" t="n">
        <x:v>2023</x:v>
      </x:c>
      <x:c r="S54" s="9" t="str">
        <x:v>2023-10</x:v>
      </x:c>
    </x:row>
    <x:row r="55" ht="17" customHeight="1">
      <x:c r="A55" s="9" t="str">
        <x:v>2023-10-01</x:v>
      </x:c>
      <x:c r="B55" s="9" t="str">
        <x:v>Wholesale</x:v>
      </x:c>
      <x:c r="C55" s="107" t="n">
        <x:v>18.49296984</x:v>
      </x:c>
      <x:c r="D55" s="107" t="n">
        <x:v>0</x:v>
      </x:c>
      <x:c r="E55" s="107" t="n">
        <x:v>0</x:v>
      </x:c>
      <x:c r="F55" s="107" t="n">
        <x:v>2.9315100099999998</x:v>
      </x:c>
      <x:c r="G55" s="107" t="n">
        <x:v>30.592496649999998</x:v>
      </x:c>
      <x:c r="H55" s="107" t="n">
        <x:v>0</x:v>
      </x:c>
      <x:c r="I55" s="107" t="n">
        <x:v>12.099526809999999</x:v>
      </x:c>
      <x:c r="J55" s="107" t="n">
        <x:v>9.168016799999998</x:v>
      </x:c>
      <x:c r="K55" s="107" t="n">
        <x:v>9.168016799999998</x:v>
      </x:c>
      <x:c r="L55" s="107" t="n">
        <x:v>9.168016799999998</x:v>
      </x:c>
      <x:c r="M55" s="107" t="n">
        <x:v>9.168016799999998</x:v>
      </x:c>
      <x:c r="N55" s="108" t="n">
        <x:v>0.3955063540065796</x:v>
      </x:c>
      <x:c r="O55" s="108" t="n">
        <x:v>0.2996818764054682</x:v>
      </x:c>
      <x:c r="P55" s="108" t="n">
        <x:v>0.2996818764054682</x:v>
      </x:c>
      <x:c r="Q55" s="9" t="str">
        <x:v>Actual</x:v>
      </x:c>
      <x:c r="R55" s="9" t="n">
        <x:v>2023</x:v>
      </x:c>
      <x:c r="S55" s="9" t="str">
        <x:v>2023-10</x:v>
      </x:c>
    </x:row>
    <x:row r="56" ht="17" customHeight="1">
      <x:c r="A56" s="9" t="str">
        <x:v>2023-11-01</x:v>
      </x:c>
      <x:c r="B56" s="9" t="str">
        <x:v>Digital Commerce</x:v>
      </x:c>
      <x:c r="C56" s="107" t="n">
        <x:v>25.31581366</x:v>
      </x:c>
      <x:c r="D56" s="107" t="n">
        <x:v>0</x:v>
      </x:c>
      <x:c r="E56" s="107" t="n">
        <x:v>0</x:v>
      </x:c>
      <x:c r="F56" s="107" t="n">
        <x:v>8.24731123</x:v>
      </x:c>
      <x:c r="G56" s="107" t="n">
        <x:v>55.14217964</x:v>
      </x:c>
      <x:c r="H56" s="107" t="n">
        <x:v>0</x:v>
      </x:c>
      <x:c r="I56" s="107" t="n">
        <x:v>29.826365980000002</x:v>
      </x:c>
      <x:c r="J56" s="107" t="n">
        <x:v>21.57905475</x:v>
      </x:c>
      <x:c r="K56" s="107" t="n">
        <x:v>21.57905475</x:v>
      </x:c>
      <x:c r="L56" s="107" t="n">
        <x:v>21.57905475</x:v>
      </x:c>
      <x:c r="M56" s="107" t="n">
        <x:v>21.57905475</x:v>
      </x:c>
      <x:c r="N56" s="108" t="n">
        <x:v>0.5408992929681733</x:v>
      </x:c>
      <x:c r="O56" s="108" t="n">
        <x:v>0.3913348164849582</x:v>
      </x:c>
      <x:c r="P56" s="108" t="n">
        <x:v>0.3913348164849582</x:v>
      </x:c>
      <x:c r="Q56" s="9" t="str">
        <x:v>Actual</x:v>
      </x:c>
      <x:c r="R56" s="9" t="n">
        <x:v>2023</x:v>
      </x:c>
      <x:c r="S56" s="9" t="str">
        <x:v>2023-11</x:v>
      </x:c>
    </x:row>
    <x:row r="57" ht="17" customHeight="1">
      <x:c r="A57" s="9" t="str">
        <x:v>2023-11-01</x:v>
      </x:c>
      <x:c r="B57" s="9" t="str">
        <x:v>Retail Stores</x:v>
      </x:c>
      <x:c r="C57" s="107" t="n">
        <x:v>17.004341649999997</x:v>
      </x:c>
      <x:c r="D57" s="107" t="n">
        <x:v>0.1075</x:v>
      </x:c>
      <x:c r="E57" s="107" t="n">
        <x:v>0</x:v>
      </x:c>
      <x:c r="F57" s="107" t="n">
        <x:v>6.31991</x:v>
      </x:c>
      <x:c r="G57" s="107" t="n">
        <x:v>33.48824869</x:v>
      </x:c>
      <x:c r="H57" s="107" t="n">
        <x:v>0</x:v>
      </x:c>
      <x:c r="I57" s="107" t="n">
        <x:v>16.483907040000002</x:v>
      </x:c>
      <x:c r="J57" s="107" t="n">
        <x:v>10.163997040000003</x:v>
      </x:c>
      <x:c r="K57" s="107" t="n">
        <x:v>10.056497040000004</x:v>
      </x:c>
      <x:c r="L57" s="107" t="n">
        <x:v>10.056497040000004</x:v>
      </x:c>
      <x:c r="M57" s="107" t="n">
        <x:v>10.056497040000004</x:v>
      </x:c>
      <x:c r="N57" s="108" t="n">
        <x:v>0.492229593508791</x:v>
      </x:c>
      <x:c r="O57" s="108" t="n">
        <x:v>0.3035093633616946</x:v>
      </x:c>
      <x:c r="P57" s="108" t="n">
        <x:v>0.3002992820882567</x:v>
      </x:c>
      <x:c r="Q57" s="9" t="str">
        <x:v>Actual</x:v>
      </x:c>
      <x:c r="R57" s="9" t="n">
        <x:v>2023</x:v>
      </x:c>
      <x:c r="S57" s="9" t="str">
        <x:v>2023-11</x:v>
      </x:c>
    </x:row>
    <x:row r="58" ht="17" customHeight="1">
      <x:c r="A58" s="9" t="str">
        <x:v>2023-11-01</x:v>
      </x:c>
      <x:c r="B58" s="9" t="str">
        <x:v>Shared Services</x:v>
      </x:c>
      <x:c r="C58" s="107" t="n">
        <x:v>0</x:v>
      </x:c>
      <x:c r="D58" s="107" t="n">
        <x:v>0.16979167</x:v>
      </x:c>
      <x:c r="E58" s="107" t="n">
        <x:v>0.42</x:v>
      </x:c>
      <x:c r="F58" s="107" t="n">
        <x:v>24.83206602</x:v>
      </x:c>
      <x:c r="G58" s="107" t="n">
        <x:v>0</x:v>
      </x:c>
      <x:c r="H58" s="107" t="n">
        <x:v>3.98945241</x:v>
      </x:c>
      <x:c r="I58" s="107" t="n">
        <x:v>0</x:v>
      </x:c>
      <x:c r="J58" s="107" t="n">
        <x:v>-24.83206602</x:v>
      </x:c>
      <x:c r="K58" s="107" t="n">
        <x:v>-25.00185769</x:v>
      </x:c>
      <x:c r="L58" s="107" t="n">
        <x:v>-25.421857690000003</x:v>
      </x:c>
      <x:c r="M58" s="107" t="n">
        <x:v>-29.4113101</x:v>
      </x:c>
      <x:c r="N58" s="108"/>
      <x:c r="O58" s="108"/>
      <x:c r="P58" s="108"/>
      <x:c r="Q58" s="9" t="str">
        <x:v>Actual</x:v>
      </x:c>
      <x:c r="R58" s="9" t="n">
        <x:v>2023</x:v>
      </x:c>
      <x:c r="S58" s="9" t="str">
        <x:v>2023-11</x:v>
      </x:c>
    </x:row>
    <x:row r="59" ht="17" customHeight="1">
      <x:c r="A59" s="9" t="str">
        <x:v>2023-11-01</x:v>
      </x:c>
      <x:c r="B59" s="9" t="str">
        <x:v>Subscription Services</x:v>
      </x:c>
      <x:c r="C59" s="107" t="n">
        <x:v>1.4542216300000002</x:v>
      </x:c>
      <x:c r="D59" s="107" t="n">
        <x:v>0</x:v>
      </x:c>
      <x:c r="E59" s="107" t="n">
        <x:v>0</x:v>
      </x:c>
      <x:c r="F59" s="107" t="n">
        <x:v>2.4997720500000002</x:v>
      </x:c>
      <x:c r="G59" s="107" t="n">
        <x:v>5.71985992</x:v>
      </x:c>
      <x:c r="H59" s="107" t="n">
        <x:v>0</x:v>
      </x:c>
      <x:c r="I59" s="107" t="n">
        <x:v>4.26563829</x:v>
      </x:c>
      <x:c r="J59" s="107" t="n">
        <x:v>1.7658662399999998</x:v>
      </x:c>
      <x:c r="K59" s="107" t="n">
        <x:v>1.7658662399999998</x:v>
      </x:c>
      <x:c r="L59" s="107" t="n">
        <x:v>1.7658662399999998</x:v>
      </x:c>
      <x:c r="M59" s="107" t="n">
        <x:v>1.7658662399999998</x:v>
      </x:c>
      <x:c r="N59" s="108" t="n">
        <x:v>0.7457592230685258</x:v>
      </x:c>
      <x:c r="O59" s="108" t="n">
        <x:v>0.3087254346606446</x:v>
      </x:c>
      <x:c r="P59" s="108" t="n">
        <x:v>0.3087254346606446</x:v>
      </x:c>
      <x:c r="Q59" s="9" t="str">
        <x:v>Actual</x:v>
      </x:c>
      <x:c r="R59" s="9" t="n">
        <x:v>2023</x:v>
      </x:c>
      <x:c r="S59" s="9" t="str">
        <x:v>2023-11</x:v>
      </x:c>
    </x:row>
    <x:row r="60" ht="17" customHeight="1">
      <x:c r="A60" s="9" t="str">
        <x:v>2023-11-01</x:v>
      </x:c>
      <x:c r="B60" s="9" t="str">
        <x:v>Wholesale</x:v>
      </x:c>
      <x:c r="C60" s="107" t="n">
        <x:v>16.808527939999998</x:v>
      </x:c>
      <x:c r="D60" s="107" t="n">
        <x:v>0</x:v>
      </x:c>
      <x:c r="E60" s="107" t="n">
        <x:v>0</x:v>
      </x:c>
      <x:c r="F60" s="107" t="n">
        <x:v>2.89880236</x:v>
      </x:c>
      <x:c r="G60" s="107" t="n">
        <x:v>27.685579609999998</x:v>
      </x:c>
      <x:c r="H60" s="107" t="n">
        <x:v>0</x:v>
      </x:c>
      <x:c r="I60" s="107" t="n">
        <x:v>10.877051670000002</x:v>
      </x:c>
      <x:c r="J60" s="107" t="n">
        <x:v>7.9782493100000025</x:v>
      </x:c>
      <x:c r="K60" s="107" t="n">
        <x:v>7.9782493100000025</x:v>
      </x:c>
      <x:c r="L60" s="107" t="n">
        <x:v>7.9782493100000025</x:v>
      </x:c>
      <x:c r="M60" s="107" t="n">
        <x:v>7.9782493100000025</x:v>
      </x:c>
      <x:c r="N60" s="108" t="n">
        <x:v>0.39287787444663874</x:v>
      </x:c>
      <x:c r="O60" s="108" t="n">
        <x:v>0.28817346150550766</x:v>
      </x:c>
      <x:c r="P60" s="108" t="n">
        <x:v>0.28817346150550766</x:v>
      </x:c>
      <x:c r="Q60" s="9" t="str">
        <x:v>Actual</x:v>
      </x:c>
      <x:c r="R60" s="9" t="n">
        <x:v>2023</x:v>
      </x:c>
      <x:c r="S60" s="9" t="str">
        <x:v>2023-11</x:v>
      </x:c>
    </x:row>
    <x:row r="61" ht="17" customHeight="1">
      <x:c r="A61" s="9" t="str">
        <x:v>2023-12-01</x:v>
      </x:c>
      <x:c r="B61" s="9" t="str">
        <x:v>Digital Commerce</x:v>
      </x:c>
      <x:c r="C61" s="107" t="n">
        <x:v>28.0412883</x:v>
      </x:c>
      <x:c r="D61" s="107" t="n">
        <x:v>0</x:v>
      </x:c>
      <x:c r="E61" s="107" t="n">
        <x:v>0</x:v>
      </x:c>
      <x:c r="F61" s="107" t="n">
        <x:v>8.682097390000001</x:v>
      </x:c>
      <x:c r="G61" s="107" t="n">
        <x:v>61.117128900000004</x:v>
      </x:c>
      <x:c r="H61" s="107" t="n">
        <x:v>0</x:v>
      </x:c>
      <x:c r="I61" s="107" t="n">
        <x:v>33.07584060000001</x:v>
      </x:c>
      <x:c r="J61" s="107" t="n">
        <x:v>24.393743210000004</x:v>
      </x:c>
      <x:c r="K61" s="107" t="n">
        <x:v>24.393743210000004</x:v>
      </x:c>
      <x:c r="L61" s="107" t="n">
        <x:v>24.393743210000004</x:v>
      </x:c>
      <x:c r="M61" s="107" t="n">
        <x:v>24.393743210000004</x:v>
      </x:c>
      <x:c r="N61" s="108" t="n">
        <x:v>0.5411877356693043</x:v>
      </x:c>
      <x:c r="O61" s="108" t="n">
        <x:v>0.39913103984176196</x:v>
      </x:c>
      <x:c r="P61" s="108" t="n">
        <x:v>0.39913103984176196</x:v>
      </x:c>
      <x:c r="Q61" s="9" t="str">
        <x:v>Actual</x:v>
      </x:c>
      <x:c r="R61" s="9" t="n">
        <x:v>2023</x:v>
      </x:c>
      <x:c r="S61" s="9" t="str">
        <x:v>2023-12</x:v>
      </x:c>
    </x:row>
    <x:row r="62" ht="17" customHeight="1">
      <x:c r="A62" s="9" t="str">
        <x:v>2023-12-01</x:v>
      </x:c>
      <x:c r="B62" s="9" t="str">
        <x:v>Retail Stores</x:v>
      </x:c>
      <x:c r="C62" s="107" t="n">
        <x:v>19.75391352</x:v>
      </x:c>
      <x:c r="D62" s="107" t="n">
        <x:v>0.1075</x:v>
      </x:c>
      <x:c r="E62" s="107" t="n">
        <x:v>0</x:v>
      </x:c>
      <x:c r="F62" s="107" t="n">
        <x:v>6.596501320000001</x:v>
      </x:c>
      <x:c r="G62" s="107" t="n">
        <x:v>38.98264525</x:v>
      </x:c>
      <x:c r="H62" s="107" t="n">
        <x:v>0</x:v>
      </x:c>
      <x:c r="I62" s="107" t="n">
        <x:v>19.22873173</x:v>
      </x:c>
      <x:c r="J62" s="107" t="n">
        <x:v>12.63223041</x:v>
      </x:c>
      <x:c r="K62" s="107" t="n">
        <x:v>12.52473041</x:v>
      </x:c>
      <x:c r="L62" s="107" t="n">
        <x:v>12.52473041</x:v>
      </x:c>
      <x:c r="M62" s="107" t="n">
        <x:v>12.52473041</x:v>
      </x:c>
      <x:c r="N62" s="108" t="n">
        <x:v>0.4932639026080458</x:v>
      </x:c>
      <x:c r="O62" s="108" t="n">
        <x:v>0.3240475429255279</x:v>
      </x:c>
      <x:c r="P62" s="108" t="n">
        <x:v>0.3212899055381574</x:v>
      </x:c>
      <x:c r="Q62" s="9" t="str">
        <x:v>Actual</x:v>
      </x:c>
      <x:c r="R62" s="9" t="n">
        <x:v>2023</x:v>
      </x:c>
      <x:c r="S62" s="9" t="str">
        <x:v>2023-12</x:v>
      </x:c>
    </x:row>
    <x:row r="63" ht="17" customHeight="1">
      <x:c r="A63" s="9" t="str">
        <x:v>2023-12-01</x:v>
      </x:c>
      <x:c r="B63" s="9" t="str">
        <x:v>Shared Services</x:v>
      </x:c>
      <x:c r="C63" s="107" t="n">
        <x:v>0</x:v>
      </x:c>
      <x:c r="D63" s="107" t="n">
        <x:v>0.16979167</x:v>
      </x:c>
      <x:c r="E63" s="107" t="n">
        <x:v>0.42</x:v>
      </x:c>
      <x:c r="F63" s="107" t="n">
        <x:v>25.07738451</x:v>
      </x:c>
      <x:c r="G63" s="107" t="n">
        <x:v>0</x:v>
      </x:c>
      <x:c r="H63" s="107" t="n">
        <x:v>4.9831484900000005</x:v>
      </x:c>
      <x:c r="I63" s="107" t="n">
        <x:v>0</x:v>
      </x:c>
      <x:c r="J63" s="107" t="n">
        <x:v>-25.07738451</x:v>
      </x:c>
      <x:c r="K63" s="107" t="n">
        <x:v>-25.247176180000004</x:v>
      </x:c>
      <x:c r="L63" s="107" t="n">
        <x:v>-25.667176180000002</x:v>
      </x:c>
      <x:c r="M63" s="107" t="n">
        <x:v>-30.650324670000003</x:v>
      </x:c>
      <x:c r="N63" s="108"/>
      <x:c r="O63" s="108"/>
      <x:c r="P63" s="108"/>
      <x:c r="Q63" s="9" t="str">
        <x:v>Actual</x:v>
      </x:c>
      <x:c r="R63" s="9" t="n">
        <x:v>2023</x:v>
      </x:c>
      <x:c r="S63" s="9" t="str">
        <x:v>2023-12</x:v>
      </x:c>
    </x:row>
    <x:row r="64" ht="17" customHeight="1">
      <x:c r="A64" s="9" t="str">
        <x:v>2023-12-01</x:v>
      </x:c>
      <x:c r="B64" s="9" t="str">
        <x:v>Subscription Services</x:v>
      </x:c>
      <x:c r="C64" s="107" t="n">
        <x:v>1.41875643</x:v>
      </x:c>
      <x:c r="D64" s="107" t="n">
        <x:v>0</x:v>
      </x:c>
      <x:c r="E64" s="107" t="n">
        <x:v>0</x:v>
      </x:c>
      <x:c r="F64" s="107" t="n">
        <x:v>2.48033759</x:v>
      </x:c>
      <x:c r="G64" s="107" t="n">
        <x:v>5.59891596</x:v>
      </x:c>
      <x:c r="H64" s="107" t="n">
        <x:v>0</x:v>
      </x:c>
      <x:c r="I64" s="107" t="n">
        <x:v>4.18015953</x:v>
      </x:c>
      <x:c r="J64" s="107" t="n">
        <x:v>1.6998219400000003</x:v>
      </x:c>
      <x:c r="K64" s="107" t="n">
        <x:v>1.6998219400000003</x:v>
      </x:c>
      <x:c r="L64" s="107" t="n">
        <x:v>1.6998219400000003</x:v>
      </x:c>
      <x:c r="M64" s="107" t="n">
        <x:v>1.6998219400000003</x:v>
      </x:c>
      <x:c r="N64" s="108" t="n">
        <x:v>0.7466015849968215</x:v>
      </x:c>
      <x:c r="O64" s="108" t="n">
        <x:v>0.3035984022878601</x:v>
      </x:c>
      <x:c r="P64" s="108" t="n">
        <x:v>0.3035984022878601</x:v>
      </x:c>
      <x:c r="Q64" s="9" t="str">
        <x:v>Actual</x:v>
      </x:c>
      <x:c r="R64" s="9" t="n">
        <x:v>2023</x:v>
      </x:c>
      <x:c r="S64" s="9" t="str">
        <x:v>2023-12</x:v>
      </x:c>
    </x:row>
    <x:row r="65" ht="17" customHeight="1">
      <x:c r="A65" s="9" t="str">
        <x:v>2023-12-01</x:v>
      </x:c>
      <x:c r="B65" s="9" t="str">
        <x:v>Wholesale</x:v>
      </x:c>
      <x:c r="C65" s="107" t="n">
        <x:v>15.20399564</x:v>
      </x:c>
      <x:c r="D65" s="107" t="n">
        <x:v>0</x:v>
      </x:c>
      <x:c r="E65" s="107" t="n">
        <x:v>0</x:v>
      </x:c>
      <x:c r="F65" s="107" t="n">
        <x:v>2.9266403100000002</x:v>
      </x:c>
      <x:c r="G65" s="107" t="n">
        <x:v>25.112110519999998</x:v>
      </x:c>
      <x:c r="H65" s="107" t="n">
        <x:v>0</x:v>
      </x:c>
      <x:c r="I65" s="107" t="n">
        <x:v>9.90811488</x:v>
      </x:c>
      <x:c r="J65" s="107" t="n">
        <x:v>6.981474569999999</x:v>
      </x:c>
      <x:c r="K65" s="107" t="n">
        <x:v>6.981474569999999</x:v>
      </x:c>
      <x:c r="L65" s="107" t="n">
        <x:v>6.981474569999999</x:v>
      </x:c>
      <x:c r="M65" s="107" t="n">
        <x:v>6.981474569999999</x:v>
      </x:c>
      <x:c r="N65" s="108" t="n">
        <x:v>0.39455524345948123</x:v>
      </x:c>
      <x:c r="O65" s="108" t="n">
        <x:v>0.2780122588437859</x:v>
      </x:c>
      <x:c r="P65" s="108" t="n">
        <x:v>0.2780122588437859</x:v>
      </x:c>
      <x:c r="Q65" s="9" t="str">
        <x:v>Actual</x:v>
      </x:c>
      <x:c r="R65" s="9" t="n">
        <x:v>2023</x:v>
      </x:c>
      <x:c r="S65" s="9" t="str">
        <x:v>2023-12</x:v>
      </x:c>
    </x:row>
    <x:row r="66" ht="17" customHeight="1">
      <x:c r="A66" s="9" t="str">
        <x:v>2024-01-01</x:v>
      </x:c>
      <x:c r="B66" s="9" t="str">
        <x:v>Digital Commerce</x:v>
      </x:c>
      <x:c r="C66" s="107" t="n">
        <x:v>18.06829718</x:v>
      </x:c>
      <x:c r="D66" s="107" t="n">
        <x:v>0</x:v>
      </x:c>
      <x:c r="E66" s="107" t="n">
        <x:v>0</x:v>
      </x:c>
      <x:c r="F66" s="107" t="n">
        <x:v>7.4786440800000005</x:v>
      </x:c>
      <x:c r="G66" s="107" t="n">
        <x:v>39.3711445</x:v>
      </x:c>
      <x:c r="H66" s="107" t="n">
        <x:v>0</x:v>
      </x:c>
      <x:c r="I66" s="107" t="n">
        <x:v>21.30284732</x:v>
      </x:c>
      <x:c r="J66" s="107" t="n">
        <x:v>13.824203240000001</x:v>
      </x:c>
      <x:c r="K66" s="107" t="n">
        <x:v>13.824203240000001</x:v>
      </x:c>
      <x:c r="L66" s="107" t="n">
        <x:v>13.824203240000001</x:v>
      </x:c>
      <x:c r="M66" s="107" t="n">
        <x:v>13.824203240000001</x:v>
      </x:c>
      <x:c r="N66" s="108" t="n">
        <x:v>0.54107767479302</x:v>
      </x:c>
      <x:c r="O66" s="108" t="n">
        <x:v>0.3511252572299492</x:v>
      </x:c>
      <x:c r="P66" s="108" t="n">
        <x:v>0.3511252572299492</x:v>
      </x:c>
      <x:c r="Q66" s="9" t="str">
        <x:v>Actual</x:v>
      </x:c>
      <x:c r="R66" s="9" t="n">
        <x:v>2024</x:v>
      </x:c>
      <x:c r="S66" s="9" t="str">
        <x:v>2024-01</x:v>
      </x:c>
    </x:row>
    <x:row r="67" ht="17" customHeight="1">
      <x:c r="A67" s="9" t="str">
        <x:v>2024-01-01</x:v>
      </x:c>
      <x:c r="B67" s="9" t="str">
        <x:v>Retail Stores</x:v>
      </x:c>
      <x:c r="C67" s="107" t="n">
        <x:v>12.85416368</x:v>
      </x:c>
      <x:c r="D67" s="107" t="n">
        <x:v>0.1075</x:v>
      </x:c>
      <x:c r="E67" s="107" t="n">
        <x:v>0</x:v>
      </x:c>
      <x:c r="F67" s="107" t="n">
        <x:v>6.04003011</x:v>
      </x:c>
      <x:c r="G67" s="107" t="n">
        <x:v>25.18787776</x:v>
      </x:c>
      <x:c r="H67" s="107" t="n">
        <x:v>0</x:v>
      </x:c>
      <x:c r="I67" s="107" t="n">
        <x:v>12.333714079999998</x:v>
      </x:c>
      <x:c r="J67" s="107" t="n">
        <x:v>6.293683969999998</x:v>
      </x:c>
      <x:c r="K67" s="107" t="n">
        <x:v>6.186183969999998</x:v>
      </x:c>
      <x:c r="L67" s="107" t="n">
        <x:v>6.186183969999998</x:v>
      </x:c>
      <x:c r="M67" s="107" t="n">
        <x:v>6.186183969999998</x:v>
      </x:c>
      <x:c r="N67" s="108" t="n">
        <x:v>0.489668649241531</x:v>
      </x:c>
      <x:c r="O67" s="108" t="n">
        <x:v>0.24986956146002823</x:v>
      </x:c>
      <x:c r="P67" s="108" t="n">
        <x:v>0.24560163539558158</x:v>
      </x:c>
      <x:c r="Q67" s="9" t="str">
        <x:v>Actual</x:v>
      </x:c>
      <x:c r="R67" s="9" t="n">
        <x:v>2024</x:v>
      </x:c>
      <x:c r="S67" s="9" t="str">
        <x:v>2024-01</x:v>
      </x:c>
    </x:row>
    <x:row r="68" ht="17" customHeight="1">
      <x:c r="A68" s="9" t="str">
        <x:v>2024-01-01</x:v>
      </x:c>
      <x:c r="B68" s="9" t="str">
        <x:v>Shared Services</x:v>
      </x:c>
      <x:c r="C68" s="107" t="n">
        <x:v>0</x:v>
      </x:c>
      <x:c r="D68" s="107" t="n">
        <x:v>0.16979167</x:v>
      </x:c>
      <x:c r="E68" s="107" t="n">
        <x:v>0.4452</x:v>
      </x:c>
      <x:c r="F68" s="107" t="n">
        <x:v>25.7888387</x:v>
      </x:c>
      <x:c r="G68" s="107" t="n">
        <x:v>0</x:v>
      </x:c>
      <x:c r="H68" s="107" t="n">
        <x:v>0.46681373</x:v>
      </x:c>
      <x:c r="I68" s="107" t="n">
        <x:v>0</x:v>
      </x:c>
      <x:c r="J68" s="107" t="n">
        <x:v>-25.7888387</x:v>
      </x:c>
      <x:c r="K68" s="107" t="n">
        <x:v>-25.95863037</x:v>
      </x:c>
      <x:c r="L68" s="107" t="n">
        <x:v>-26.40383037</x:v>
      </x:c>
      <x:c r="M68" s="107" t="n">
        <x:v>-26.8706441</x:v>
      </x:c>
      <x:c r="N68" s="108"/>
      <x:c r="O68" s="108"/>
      <x:c r="P68" s="108"/>
      <x:c r="Q68" s="9" t="str">
        <x:v>Actual</x:v>
      </x:c>
      <x:c r="R68" s="9" t="n">
        <x:v>2024</x:v>
      </x:c>
      <x:c r="S68" s="9" t="str">
        <x:v>2024-01</x:v>
      </x:c>
    </x:row>
    <x:row r="69" ht="17" customHeight="1">
      <x:c r="A69" s="9" t="str">
        <x:v>2024-01-01</x:v>
      </x:c>
      <x:c r="B69" s="9" t="str">
        <x:v>Subscription Services</x:v>
      </x:c>
      <x:c r="C69" s="107" t="n">
        <x:v>1.25484591</x:v>
      </x:c>
      <x:c r="D69" s="107" t="n">
        <x:v>0</x:v>
      </x:c>
      <x:c r="E69" s="107" t="n">
        <x:v>0</x:v>
      </x:c>
      <x:c r="F69" s="107" t="n">
        <x:v>2.57197792</x:v>
      </x:c>
      <x:c r="G69" s="107" t="n">
        <x:v>5.04125067</x:v>
      </x:c>
      <x:c r="H69" s="107" t="n">
        <x:v>0</x:v>
      </x:c>
      <x:c r="I69" s="107" t="n">
        <x:v>3.78640476</x:v>
      </x:c>
      <x:c r="J69" s="107" t="n">
        <x:v>1.2144268399999998</x:v>
      </x:c>
      <x:c r="K69" s="107" t="n">
        <x:v>1.2144268399999998</x:v>
      </x:c>
      <x:c r="L69" s="107" t="n">
        <x:v>1.2144268399999998</x:v>
      </x:c>
      <x:c r="M69" s="107" t="n">
        <x:v>1.2144268399999998</x:v>
      </x:c>
      <x:c r="N69" s="108" t="n">
        <x:v>0.7510844050133297</x:v>
      </x:c>
      <x:c r="O69" s="108" t="n">
        <x:v>0.24089792781520222</x:v>
      </x:c>
      <x:c r="P69" s="108" t="n">
        <x:v>0.24089792781520222</x:v>
      </x:c>
      <x:c r="Q69" s="9" t="str">
        <x:v>Actual</x:v>
      </x:c>
      <x:c r="R69" s="9" t="n">
        <x:v>2024</x:v>
      </x:c>
      <x:c r="S69" s="9" t="str">
        <x:v>2024-01</x:v>
      </x:c>
    </x:row>
    <x:row r="70" ht="17" customHeight="1">
      <x:c r="A70" s="9" t="str">
        <x:v>2024-01-01</x:v>
      </x:c>
      <x:c r="B70" s="9" t="str">
        <x:v>Wholesale</x:v>
      </x:c>
      <x:c r="C70" s="107" t="n">
        <x:v>15.372707299999998</x:v>
      </x:c>
      <x:c r="D70" s="107" t="n">
        <x:v>0</x:v>
      </x:c>
      <x:c r="E70" s="107" t="n">
        <x:v>0</x:v>
      </x:c>
      <x:c r="F70" s="107" t="n">
        <x:v>3.00079581</x:v>
      </x:c>
      <x:c r="G70" s="107" t="n">
        <x:v>25.419774359999998</x:v>
      </x:c>
      <x:c r="H70" s="107" t="n">
        <x:v>0</x:v>
      </x:c>
      <x:c r="I70" s="107" t="n">
        <x:v>10.04706706</x:v>
      </x:c>
      <x:c r="J70" s="107" t="n">
        <x:v>7.04627125</x:v>
      </x:c>
      <x:c r="K70" s="107" t="n">
        <x:v>7.04627125</x:v>
      </x:c>
      <x:c r="L70" s="107" t="n">
        <x:v>7.04627125</x:v>
      </x:c>
      <x:c r="M70" s="107" t="n">
        <x:v>7.04627125</x:v>
      </x:c>
      <x:c r="N70" s="108" t="n">
        <x:v>0.3952461150013135</x:v>
      </x:c>
      <x:c r="O70" s="108" t="n">
        <x:v>0.27719645147943794</x:v>
      </x:c>
      <x:c r="P70" s="108" t="n">
        <x:v>0.27719645147943794</x:v>
      </x:c>
      <x:c r="Q70" s="9" t="str">
        <x:v>Actual</x:v>
      </x:c>
      <x:c r="R70" s="9" t="n">
        <x:v>2024</x:v>
      </x:c>
      <x:c r="S70" s="9" t="str">
        <x:v>2024-01</x:v>
      </x:c>
    </x:row>
    <x:row r="71" ht="17" customHeight="1">
      <x:c r="A71" s="9" t="str">
        <x:v>2024-02-01</x:v>
      </x:c>
      <x:c r="B71" s="9" t="str">
        <x:v>Digital Commerce</x:v>
      </x:c>
      <x:c r="C71" s="107" t="n">
        <x:v>19.069949960000002</x:v>
      </x:c>
      <x:c r="D71" s="107" t="n">
        <x:v>0</x:v>
      </x:c>
      <x:c r="E71" s="107" t="n">
        <x:v>0</x:v>
      </x:c>
      <x:c r="F71" s="107" t="n">
        <x:v>7.68270224</x:v>
      </x:c>
      <x:c r="G71" s="107" t="n">
        <x:v>41.52552976</x:v>
      </x:c>
      <x:c r="H71" s="107" t="n">
        <x:v>0</x:v>
      </x:c>
      <x:c r="I71" s="107" t="n">
        <x:v>22.455579799999995</x:v>
      </x:c>
      <x:c r="J71" s="107" t="n">
        <x:v>14.772877559999996</x:v>
      </x:c>
      <x:c r="K71" s="107" t="n">
        <x:v>14.772877559999996</x:v>
      </x:c>
      <x:c r="L71" s="107" t="n">
        <x:v>14.772877559999996</x:v>
      </x:c>
      <x:c r="M71" s="107" t="n">
        <x:v>14.772877559999996</x:v>
      </x:c>
      <x:c r="N71" s="108" t="n">
        <x:v>0.5407656429619021</x:v>
      </x:c>
      <x:c r="O71" s="108" t="n">
        <x:v>0.35575410224459464</x:v>
      </x:c>
      <x:c r="P71" s="108" t="n">
        <x:v>0.35575410224459464</x:v>
      </x:c>
      <x:c r="Q71" s="9" t="str">
        <x:v>Actual</x:v>
      </x:c>
      <x:c r="R71" s="9" t="n">
        <x:v>2024</x:v>
      </x:c>
      <x:c r="S71" s="9" t="str">
        <x:v>2024-02</x:v>
      </x:c>
    </x:row>
    <x:row r="72" ht="17" customHeight="1">
      <x:c r="A72" s="9" t="str">
        <x:v>2024-02-01</x:v>
      </x:c>
      <x:c r="B72" s="9" t="str">
        <x:v>Retail Stores</x:v>
      </x:c>
      <x:c r="C72" s="107" t="n">
        <x:v>13.18703179</x:v>
      </x:c>
      <x:c r="D72" s="107" t="n">
        <x:v>0.1075</x:v>
      </x:c>
      <x:c r="E72" s="107" t="n">
        <x:v>0</x:v>
      </x:c>
      <x:c r="F72" s="107" t="n">
        <x:v>6.166059809999999</x:v>
      </x:c>
      <x:c r="G72" s="107" t="n">
        <x:v>25.93625333</x:v>
      </x:c>
      <x:c r="H72" s="107" t="n">
        <x:v>0</x:v>
      </x:c>
      <x:c r="I72" s="107" t="n">
        <x:v>12.749221539999997</x:v>
      </x:c>
      <x:c r="J72" s="107" t="n">
        <x:v>6.583161729999998</x:v>
      </x:c>
      <x:c r="K72" s="107" t="n">
        <x:v>6.475661729999998</x:v>
      </x:c>
      <x:c r="L72" s="107" t="n">
        <x:v>6.475661729999998</x:v>
      </x:c>
      <x:c r="M72" s="107" t="n">
        <x:v>6.475661729999998</x:v>
      </x:c>
      <x:c r="N72" s="108" t="n">
        <x:v>0.49155987866810363</x:v>
      </x:c>
      <x:c r="O72" s="108" t="n">
        <x:v>0.25382084475498906</x:v>
      </x:c>
      <x:c r="P72" s="108" t="n">
        <x:v>0.24967606722555089</x:v>
      </x:c>
      <x:c r="Q72" s="9" t="str">
        <x:v>Actual</x:v>
      </x:c>
      <x:c r="R72" s="9" t="n">
        <x:v>2024</x:v>
      </x:c>
      <x:c r="S72" s="9" t="str">
        <x:v>2024-02</x:v>
      </x:c>
    </x:row>
    <x:row r="73" ht="17" customHeight="1">
      <x:c r="A73" s="9" t="str">
        <x:v>2024-02-01</x:v>
      </x:c>
      <x:c r="B73" s="9" t="str">
        <x:v>Shared Services</x:v>
      </x:c>
      <x:c r="C73" s="107" t="n">
        <x:v>0</x:v>
      </x:c>
      <x:c r="D73" s="107" t="n">
        <x:v>0.16979167</x:v>
      </x:c>
      <x:c r="E73" s="107" t="n">
        <x:v>0.4452</x:v>
      </x:c>
      <x:c r="F73" s="107" t="n">
        <x:v>25.99343545</x:v>
      </x:c>
      <x:c r="G73" s="107" t="n">
        <x:v>0</x:v>
      </x:c>
      <x:c r="H73" s="107" t="n">
        <x:v>0.84323203</x:v>
      </x:c>
      <x:c r="I73" s="107" t="n">
        <x:v>0</x:v>
      </x:c>
      <x:c r="J73" s="107" t="n">
        <x:v>-25.99343545</x:v>
      </x:c>
      <x:c r="K73" s="107" t="n">
        <x:v>-26.163227120000002</x:v>
      </x:c>
      <x:c r="L73" s="107" t="n">
        <x:v>-26.60842712</x:v>
      </x:c>
      <x:c r="M73" s="107" t="n">
        <x:v>-27.45165915</x:v>
      </x:c>
      <x:c r="N73" s="108"/>
      <x:c r="O73" s="108"/>
      <x:c r="P73" s="108"/>
      <x:c r="Q73" s="9" t="str">
        <x:v>Actual</x:v>
      </x:c>
      <x:c r="R73" s="9" t="n">
        <x:v>2024</x:v>
      </x:c>
      <x:c r="S73" s="9" t="str">
        <x:v>2024-02</x:v>
      </x:c>
    </x:row>
    <x:row r="74" ht="17" customHeight="1">
      <x:c r="A74" s="9" t="str">
        <x:v>2024-02-01</x:v>
      </x:c>
      <x:c r="B74" s="9" t="str">
        <x:v>Subscription Services</x:v>
      </x:c>
      <x:c r="C74" s="107" t="n">
        <x:v>1.31298548</x:v>
      </x:c>
      <x:c r="D74" s="107" t="n">
        <x:v>0</x:v>
      </x:c>
      <x:c r="E74" s="107" t="n">
        <x:v>0</x:v>
      </x:c>
      <x:c r="F74" s="107" t="n">
        <x:v>2.49703252</x:v>
      </x:c>
      <x:c r="G74" s="107" t="n">
        <x:v>5.178667519999999</x:v>
      </x:c>
      <x:c r="H74" s="107" t="n">
        <x:v>0</x:v>
      </x:c>
      <x:c r="I74" s="107" t="n">
        <x:v>3.8656820399999994</x:v>
      </x:c>
      <x:c r="J74" s="107" t="n">
        <x:v>1.3686495199999995</x:v>
      </x:c>
      <x:c r="K74" s="107" t="n">
        <x:v>1.3686495199999995</x:v>
      </x:c>
      <x:c r="L74" s="107" t="n">
        <x:v>1.3686495199999995</x:v>
      </x:c>
      <x:c r="M74" s="107" t="n">
        <x:v>1.3686495199999995</x:v>
      </x:c>
      <x:c r="N74" s="108" t="n">
        <x:v>0.746462680809445</x:v>
      </x:c>
      <x:c r="O74" s="108" t="n">
        <x:v>0.2642860378107455</x:v>
      </x:c>
      <x:c r="P74" s="108" t="n">
        <x:v>0.2642860378107455</x:v>
      </x:c>
      <x:c r="Q74" s="9" t="str">
        <x:v>Actual</x:v>
      </x:c>
      <x:c r="R74" s="9" t="n">
        <x:v>2024</x:v>
      </x:c>
      <x:c r="S74" s="9" t="str">
        <x:v>2024-02</x:v>
      </x:c>
    </x:row>
    <x:row r="75" ht="17" customHeight="1">
      <x:c r="A75" s="9" t="str">
        <x:v>2024-02-01</x:v>
      </x:c>
      <x:c r="B75" s="9" t="str">
        <x:v>Wholesale</x:v>
      </x:c>
      <x:c r="C75" s="107" t="n">
        <x:v>16.16004878</x:v>
      </x:c>
      <x:c r="D75" s="107" t="n">
        <x:v>0</x:v>
      </x:c>
      <x:c r="E75" s="107" t="n">
        <x:v>0</x:v>
      </x:c>
      <x:c r="F75" s="107" t="n">
        <x:v>3.03990802</x:v>
      </x:c>
      <x:c r="G75" s="107" t="n">
        <x:v>26.56412324</x:v>
      </x:c>
      <x:c r="H75" s="107" t="n">
        <x:v>0</x:v>
      </x:c>
      <x:c r="I75" s="107" t="n">
        <x:v>10.40407446</x:v>
      </x:c>
      <x:c r="J75" s="107" t="n">
        <x:v>7.364166440000002</x:v>
      </x:c>
      <x:c r="K75" s="107" t="n">
        <x:v>7.364166440000002</x:v>
      </x:c>
      <x:c r="L75" s="107" t="n">
        <x:v>7.364166440000002</x:v>
      </x:c>
      <x:c r="M75" s="107" t="n">
        <x:v>7.364166440000002</x:v>
      </x:c>
      <x:c r="N75" s="108" t="n">
        <x:v>0.3916588688435855</x:v>
      </x:c>
      <x:c r="O75" s="108" t="n">
        <x:v>0.27722226604155753</x:v>
      </x:c>
      <x:c r="P75" s="108" t="n">
        <x:v>0.27722226604155753</x:v>
      </x:c>
      <x:c r="Q75" s="9" t="str">
        <x:v>Actual</x:v>
      </x:c>
      <x:c r="R75" s="9" t="n">
        <x:v>2024</x:v>
      </x:c>
      <x:c r="S75" s="9" t="str">
        <x:v>2024-02</x:v>
      </x:c>
    </x:row>
    <x:row r="76" ht="17" customHeight="1">
      <x:c r="A76" s="9" t="str">
        <x:v>2024-03-01</x:v>
      </x:c>
      <x:c r="B76" s="9" t="str">
        <x:v>Digital Commerce</x:v>
      </x:c>
      <x:c r="C76" s="107" t="n">
        <x:v>20.195524719999998</x:v>
      </x:c>
      <x:c r="D76" s="107" t="n">
        <x:v>0</x:v>
      </x:c>
      <x:c r="E76" s="107" t="n">
        <x:v>0</x:v>
      </x:c>
      <x:c r="F76" s="107" t="n">
        <x:v>7.95863946</x:v>
      </x:c>
      <x:c r="G76" s="107" t="n">
        <x:v>44.16305182</x:v>
      </x:c>
      <x:c r="H76" s="107" t="n">
        <x:v>0</x:v>
      </x:c>
      <x:c r="I76" s="107" t="n">
        <x:v>23.9675271</x:v>
      </x:c>
      <x:c r="J76" s="107" t="n">
        <x:v>16.00888764</x:v>
      </x:c>
      <x:c r="K76" s="107" t="n">
        <x:v>16.00888764</x:v>
      </x:c>
      <x:c r="L76" s="107" t="n">
        <x:v>16.00888764</x:v>
      </x:c>
      <x:c r="M76" s="107" t="n">
        <x:v>16.00888764</x:v>
      </x:c>
      <x:c r="N76" s="108" t="n">
        <x:v>0.5427054089850261</x:v>
      </x:c>
      <x:c r="O76" s="108" t="n">
        <x:v>0.3624950491476248</x:v>
      </x:c>
      <x:c r="P76" s="108" t="n">
        <x:v>0.3624950491476248</x:v>
      </x:c>
      <x:c r="Q76" s="9" t="str">
        <x:v>Actual</x:v>
      </x:c>
      <x:c r="R76" s="9" t="n">
        <x:v>2024</x:v>
      </x:c>
      <x:c r="S76" s="9" t="str">
        <x:v>2024-03</x:v>
      </x:c>
    </x:row>
    <x:row r="77" ht="17" customHeight="1">
      <x:c r="A77" s="9" t="str">
        <x:v>2024-03-01</x:v>
      </x:c>
      <x:c r="B77" s="9" t="str">
        <x:v>Retail Stores</x:v>
      </x:c>
      <x:c r="C77" s="107" t="n">
        <x:v>15.63157176</x:v>
      </x:c>
      <x:c r="D77" s="107" t="n">
        <x:v>0.1075</x:v>
      </x:c>
      <x:c r="E77" s="107" t="n">
        <x:v>0</x:v>
      </x:c>
      <x:c r="F77" s="107" t="n">
        <x:v>6.37317508</x:v>
      </x:c>
      <x:c r="G77" s="107" t="n">
        <x:v>30.66111261</x:v>
      </x:c>
      <x:c r="H77" s="107" t="n">
        <x:v>0</x:v>
      </x:c>
      <x:c r="I77" s="107" t="n">
        <x:v>15.02954085</x:v>
      </x:c>
      <x:c r="J77" s="107" t="n">
        <x:v>8.656365769999999</x:v>
      </x:c>
      <x:c r="K77" s="107" t="n">
        <x:v>8.548865769999999</x:v>
      </x:c>
      <x:c r="L77" s="107" t="n">
        <x:v>8.548865769999999</x:v>
      </x:c>
      <x:c r="M77" s="107" t="n">
        <x:v>8.548865769999999</x:v>
      </x:c>
      <x:c r="N77" s="108" t="n">
        <x:v>0.49018250058865037</x:v>
      </x:c>
      <x:c r="O77" s="108" t="n">
        <x:v>0.28232392868798767</x:v>
      </x:c>
      <x:c r="P77" s="108" t="n">
        <x:v>0.27881785891917765</x:v>
      </x:c>
      <x:c r="Q77" s="9" t="str">
        <x:v>Actual</x:v>
      </x:c>
      <x:c r="R77" s="9" t="n">
        <x:v>2024</x:v>
      </x:c>
      <x:c r="S77" s="9" t="str">
        <x:v>2024-03</x:v>
      </x:c>
    </x:row>
    <x:row r="78" ht="17" customHeight="1">
      <x:c r="A78" s="9" t="str">
        <x:v>2024-03-01</x:v>
      </x:c>
      <x:c r="B78" s="9" t="str">
        <x:v>Shared Services</x:v>
      </x:c>
      <x:c r="C78" s="107" t="n">
        <x:v>0</x:v>
      </x:c>
      <x:c r="D78" s="107" t="n">
        <x:v>0.16979167</x:v>
      </x:c>
      <x:c r="E78" s="107" t="n">
        <x:v>0.4452</x:v>
      </x:c>
      <x:c r="F78" s="107" t="n">
        <x:v>26.01534751</x:v>
      </x:c>
      <x:c r="G78" s="107" t="n">
        <x:v>0</x:v>
      </x:c>
      <x:c r="H78" s="107" t="n">
        <x:v>1.93782248</x:v>
      </x:c>
      <x:c r="I78" s="107" t="n">
        <x:v>0</x:v>
      </x:c>
      <x:c r="J78" s="107" t="n">
        <x:v>-26.01534751</x:v>
      </x:c>
      <x:c r="K78" s="107" t="n">
        <x:v>-26.185139180000004</x:v>
      </x:c>
      <x:c r="L78" s="107" t="n">
        <x:v>-26.630339180000004</x:v>
      </x:c>
      <x:c r="M78" s="107" t="n">
        <x:v>-28.568161660000005</x:v>
      </x:c>
      <x:c r="N78" s="108"/>
      <x:c r="O78" s="108"/>
      <x:c r="P78" s="108"/>
      <x:c r="Q78" s="9" t="str">
        <x:v>Actual</x:v>
      </x:c>
      <x:c r="R78" s="9" t="n">
        <x:v>2024</x:v>
      </x:c>
      <x:c r="S78" s="9" t="str">
        <x:v>2024-03</x:v>
      </x:c>
    </x:row>
    <x:row r="79" ht="17" customHeight="1">
      <x:c r="A79" s="9" t="str">
        <x:v>2024-03-01</x:v>
      </x:c>
      <x:c r="B79" s="9" t="str">
        <x:v>Subscription Services</x:v>
      </x:c>
      <x:c r="C79" s="107" t="n">
        <x:v>1.28183311</x:v>
      </x:c>
      <x:c r="D79" s="107" t="n">
        <x:v>0</x:v>
      </x:c>
      <x:c r="E79" s="107" t="n">
        <x:v>0</x:v>
      </x:c>
      <x:c r="F79" s="107" t="n">
        <x:v>2.56623573</x:v>
      </x:c>
      <x:c r="G79" s="107" t="n">
        <x:v>5.09166582</x:v>
      </x:c>
      <x:c r="H79" s="107" t="n">
        <x:v>0</x:v>
      </x:c>
      <x:c r="I79" s="107" t="n">
        <x:v>3.80983271</x:v>
      </x:c>
      <x:c r="J79" s="107" t="n">
        <x:v>1.24359698</x:v>
      </x:c>
      <x:c r="K79" s="107" t="n">
        <x:v>1.24359698</x:v>
      </x:c>
      <x:c r="L79" s="107" t="n">
        <x:v>1.24359698</x:v>
      </x:c>
      <x:c r="M79" s="107" t="n">
        <x:v>1.24359698</x:v>
      </x:c>
      <x:c r="N79" s="108" t="n">
        <x:v>0.7482487745042151</x:v>
      </x:c>
      <x:c r="O79" s="108" t="n">
        <x:v>0.2442416733468969</x:v>
      </x:c>
      <x:c r="P79" s="108" t="n">
        <x:v>0.2442416733468969</x:v>
      </x:c>
      <x:c r="Q79" s="9" t="str">
        <x:v>Actual</x:v>
      </x:c>
      <x:c r="R79" s="9" t="n">
        <x:v>2024</x:v>
      </x:c>
      <x:c r="S79" s="9" t="str">
        <x:v>2024-03</x:v>
      </x:c>
    </x:row>
    <x:row r="80" ht="17" customHeight="1">
      <x:c r="A80" s="9" t="str">
        <x:v>2024-03-01</x:v>
      </x:c>
      <x:c r="B80" s="9" t="str">
        <x:v>Wholesale</x:v>
      </x:c>
      <x:c r="C80" s="107" t="n">
        <x:v>18.01985268</x:v>
      </x:c>
      <x:c r="D80" s="107" t="n">
        <x:v>0</x:v>
      </x:c>
      <x:c r="E80" s="107" t="n">
        <x:v>0</x:v>
      </x:c>
      <x:c r="F80" s="107" t="n">
        <x:v>3.03653973</x:v>
      </x:c>
      <x:c r="G80" s="107" t="n">
        <x:v>29.636671109999998</x:v>
      </x:c>
      <x:c r="H80" s="107" t="n">
        <x:v>0</x:v>
      </x:c>
      <x:c r="I80" s="107" t="n">
        <x:v>11.61681843</x:v>
      </x:c>
      <x:c r="J80" s="107" t="n">
        <x:v>8.5802787</x:v>
      </x:c>
      <x:c r="K80" s="107" t="n">
        <x:v>8.5802787</x:v>
      </x:c>
      <x:c r="L80" s="107" t="n">
        <x:v>8.5802787</x:v>
      </x:c>
      <x:c r="M80" s="107" t="n">
        <x:v>8.5802787</x:v>
      </x:c>
      <x:c r="N80" s="108" t="n">
        <x:v>0.3919744692945712</x:v>
      </x:c>
      <x:c r="O80" s="108" t="n">
        <x:v>0.2895156027528626</x:v>
      </x:c>
      <x:c r="P80" s="108" t="n">
        <x:v>0.2895156027528626</x:v>
      </x:c>
      <x:c r="Q80" s="9" t="str">
        <x:v>Actual</x:v>
      </x:c>
      <x:c r="R80" s="9" t="n">
        <x:v>2024</x:v>
      </x:c>
      <x:c r="S80" s="9" t="str">
        <x:v>2024-03</x:v>
      </x:c>
    </x:row>
    <x:row r="81" ht="17" customHeight="1">
      <x:c r="A81" s="9" t="str">
        <x:v>2024-04-01</x:v>
      </x:c>
      <x:c r="B81" s="9" t="str">
        <x:v>Digital Commerce</x:v>
      </x:c>
      <x:c r="C81" s="107" t="n">
        <x:v>21.41056395</x:v>
      </x:c>
      <x:c r="D81" s="107" t="n">
        <x:v>0</x:v>
      </x:c>
      <x:c r="E81" s="107" t="n">
        <x:v>0</x:v>
      </x:c>
      <x:c r="F81" s="107" t="n">
        <x:v>8.45264234</x:v>
      </x:c>
      <x:c r="G81" s="107" t="n">
        <x:v>46.47294625</x:v>
      </x:c>
      <x:c r="H81" s="107" t="n">
        <x:v>0</x:v>
      </x:c>
      <x:c r="I81" s="107" t="n">
        <x:v>25.0623823</x:v>
      </x:c>
      <x:c r="J81" s="107" t="n">
        <x:v>16.609739960000002</x:v>
      </x:c>
      <x:c r="K81" s="107" t="n">
        <x:v>16.609739960000002</x:v>
      </x:c>
      <x:c r="L81" s="107" t="n">
        <x:v>16.609739960000002</x:v>
      </x:c>
      <x:c r="M81" s="107" t="n">
        <x:v>16.609739960000002</x:v>
      </x:c>
      <x:c r="N81" s="108" t="n">
        <x:v>0.5392897227814559</x:v>
      </x:c>
      <x:c r="O81" s="108" t="n">
        <x:v>0.35740664838954556</x:v>
      </x:c>
      <x:c r="P81" s="108" t="n">
        <x:v>0.35740664838954556</x:v>
      </x:c>
      <x:c r="Q81" s="9" t="str">
        <x:v>Actual</x:v>
      </x:c>
      <x:c r="R81" s="9" t="n">
        <x:v>2024</x:v>
      </x:c>
      <x:c r="S81" s="9" t="str">
        <x:v>2024-04</x:v>
      </x:c>
    </x:row>
    <x:row r="82" ht="17" customHeight="1">
      <x:c r="A82" s="9" t="str">
        <x:v>2024-04-01</x:v>
      </x:c>
      <x:c r="B82" s="9" t="str">
        <x:v>Retail Stores</x:v>
      </x:c>
      <x:c r="C82" s="107" t="n">
        <x:v>16.54960381</x:v>
      </x:c>
      <x:c r="D82" s="107" t="n">
        <x:v>0.1075</x:v>
      </x:c>
      <x:c r="E82" s="107" t="n">
        <x:v>0</x:v>
      </x:c>
      <x:c r="F82" s="107" t="n">
        <x:v>6.67200335</x:v>
      </x:c>
      <x:c r="G82" s="107" t="n">
        <x:v>32.59712415</x:v>
      </x:c>
      <x:c r="H82" s="107" t="n">
        <x:v>0</x:v>
      </x:c>
      <x:c r="I82" s="107" t="n">
        <x:v>16.04752034</x:v>
      </x:c>
      <x:c r="J82" s="107" t="n">
        <x:v>9.375516989999998</x:v>
      </x:c>
      <x:c r="K82" s="107" t="n">
        <x:v>9.268016989999998</x:v>
      </x:c>
      <x:c r="L82" s="107" t="n">
        <x:v>9.268016989999998</x:v>
      </x:c>
      <x:c r="M82" s="107" t="n">
        <x:v>9.268016989999998</x:v>
      </x:c>
      <x:c r="N82" s="108" t="n">
        <x:v>0.49229865389827643</x:v>
      </x:c>
      <x:c r="O82" s="108" t="n">
        <x:v>0.28761791828191074</x:v>
      </x:c>
      <x:c r="P82" s="108" t="n">
        <x:v>0.284320081346808</x:v>
      </x:c>
      <x:c r="Q82" s="9" t="str">
        <x:v>Actual</x:v>
      </x:c>
      <x:c r="R82" s="9" t="n">
        <x:v>2024</x:v>
      </x:c>
      <x:c r="S82" s="9" t="str">
        <x:v>2024-04</x:v>
      </x:c>
    </x:row>
    <x:row r="83" ht="17" customHeight="1">
      <x:c r="A83" s="9" t="str">
        <x:v>2024-04-01</x:v>
      </x:c>
      <x:c r="B83" s="9" t="str">
        <x:v>Shared Services</x:v>
      </x:c>
      <x:c r="C83" s="107" t="n">
        <x:v>0</x:v>
      </x:c>
      <x:c r="D83" s="107" t="n">
        <x:v>0.16979167</x:v>
      </x:c>
      <x:c r="E83" s="107" t="n">
        <x:v>0.4452</x:v>
      </x:c>
      <x:c r="F83" s="107" t="n">
        <x:v>26.97652889</x:v>
      </x:c>
      <x:c r="G83" s="107" t="n">
        <x:v>0</x:v>
      </x:c>
      <x:c r="H83" s="107" t="n">
        <x:v>2.09326971</x:v>
      </x:c>
      <x:c r="I83" s="107" t="n">
        <x:v>0</x:v>
      </x:c>
      <x:c r="J83" s="107" t="n">
        <x:v>-26.97652889</x:v>
      </x:c>
      <x:c r="K83" s="107" t="n">
        <x:v>-27.146320560000003</x:v>
      </x:c>
      <x:c r="L83" s="107" t="n">
        <x:v>-27.591520560000003</x:v>
      </x:c>
      <x:c r="M83" s="107" t="n">
        <x:v>-29.684790270000004</x:v>
      </x:c>
      <x:c r="N83" s="108"/>
      <x:c r="O83" s="108"/>
      <x:c r="P83" s="108"/>
      <x:c r="Q83" s="9" t="str">
        <x:v>Actual</x:v>
      </x:c>
      <x:c r="R83" s="9" t="n">
        <x:v>2024</x:v>
      </x:c>
      <x:c r="S83" s="9" t="str">
        <x:v>2024-04</x:v>
      </x:c>
    </x:row>
    <x:row r="84" ht="17" customHeight="1">
      <x:c r="A84" s="9" t="str">
        <x:v>2024-04-01</x:v>
      </x:c>
      <x:c r="B84" s="9" t="str">
        <x:v>Subscription Services</x:v>
      </x:c>
      <x:c r="C84" s="107" t="n">
        <x:v>1.45929176</x:v>
      </x:c>
      <x:c r="D84" s="107" t="n">
        <x:v>0</x:v>
      </x:c>
      <x:c r="E84" s="107" t="n">
        <x:v>0</x:v>
      </x:c>
      <x:c r="F84" s="107" t="n">
        <x:v>2.769454</x:v>
      </x:c>
      <x:c r="G84" s="107" t="n">
        <x:v>5.708958320000001</x:v>
      </x:c>
      <x:c r="H84" s="107" t="n">
        <x:v>0</x:v>
      </x:c>
      <x:c r="I84" s="107" t="n">
        <x:v>4.2496665600000005</x:v>
      </x:c>
      <x:c r="J84" s="107" t="n">
        <x:v>1.4802125600000005</x:v>
      </x:c>
      <x:c r="K84" s="107" t="n">
        <x:v>1.4802125600000005</x:v>
      </x:c>
      <x:c r="L84" s="107" t="n">
        <x:v>1.4802125600000005</x:v>
      </x:c>
      <x:c r="M84" s="107" t="n">
        <x:v>1.4802125600000005</x:v>
      </x:c>
      <x:c r="N84" s="108" t="n">
        <x:v>0.7443856342605073</x:v>
      </x:c>
      <x:c r="O84" s="108" t="n">
        <x:v>0.2592789221834782</x:v>
      </x:c>
      <x:c r="P84" s="108" t="n">
        <x:v>0.2592789221834782</x:v>
      </x:c>
      <x:c r="Q84" s="9" t="str">
        <x:v>Actual</x:v>
      </x:c>
      <x:c r="R84" s="9" t="n">
        <x:v>2024</x:v>
      </x:c>
      <x:c r="S84" s="9" t="str">
        <x:v>2024-04</x:v>
      </x:c>
    </x:row>
    <x:row r="85" ht="17" customHeight="1">
      <x:c r="A85" s="9" t="str">
        <x:v>2024-04-01</x:v>
      </x:c>
      <x:c r="B85" s="9" t="str">
        <x:v>Wholesale</x:v>
      </x:c>
      <x:c r="C85" s="107" t="n">
        <x:v>18.373378489999997</x:v>
      </x:c>
      <x:c r="D85" s="107" t="n">
        <x:v>0</x:v>
      </x:c>
      <x:c r="E85" s="107" t="n">
        <x:v>0</x:v>
      </x:c>
      <x:c r="F85" s="107" t="n">
        <x:v>3.1835964</x:v>
      </x:c>
      <x:c r="G85" s="107" t="n">
        <x:v>30.16360478</x:v>
      </x:c>
      <x:c r="H85" s="107" t="n">
        <x:v>0</x:v>
      </x:c>
      <x:c r="I85" s="107" t="n">
        <x:v>11.790226290000003</x:v>
      </x:c>
      <x:c r="J85" s="107" t="n">
        <x:v>8.606629890000002</x:v>
      </x:c>
      <x:c r="K85" s="107" t="n">
        <x:v>8.606629890000002</x:v>
      </x:c>
      <x:c r="L85" s="107" t="n">
        <x:v>8.606629890000002</x:v>
      </x:c>
      <x:c r="M85" s="107" t="n">
        <x:v>8.606629890000002</x:v>
      </x:c>
      <x:c r="N85" s="108" t="n">
        <x:v>0.39087590412328704</x:v>
      </x:c>
      <x:c r="O85" s="108" t="n">
        <x:v>0.2853316091618676</x:v>
      </x:c>
      <x:c r="P85" s="108" t="n">
        <x:v>0.2853316091618676</x:v>
      </x:c>
      <x:c r="Q85" s="9" t="str">
        <x:v>Actual</x:v>
      </x:c>
      <x:c r="R85" s="9" t="n">
        <x:v>2024</x:v>
      </x:c>
      <x:c r="S85" s="9" t="str">
        <x:v>2024-04</x:v>
      </x:c>
    </x:row>
    <x:row r="86" ht="17" customHeight="1">
      <x:c r="A86" s="9" t="str">
        <x:v>2024-05-01</x:v>
      </x:c>
      <x:c r="B86" s="9" t="str">
        <x:v>Digital Commerce</x:v>
      </x:c>
      <x:c r="C86" s="107" t="n">
        <x:v>22.454399679999998</x:v>
      </x:c>
      <x:c r="D86" s="107" t="n">
        <x:v>0</x:v>
      </x:c>
      <x:c r="E86" s="107" t="n">
        <x:v>0</x:v>
      </x:c>
      <x:c r="F86" s="107" t="n">
        <x:v>8.50428045</x:v>
      </x:c>
      <x:c r="G86" s="107" t="n">
        <x:v>48.92947087</x:v>
      </x:c>
      <x:c r="H86" s="107" t="n">
        <x:v>0</x:v>
      </x:c>
      <x:c r="I86" s="107" t="n">
        <x:v>26.475071190000005</x:v>
      </x:c>
      <x:c r="J86" s="107" t="n">
        <x:v>17.970790740000005</x:v>
      </x:c>
      <x:c r="K86" s="107" t="n">
        <x:v>17.970790740000005</x:v>
      </x:c>
      <x:c r="L86" s="107" t="n">
        <x:v>17.970790740000005</x:v>
      </x:c>
      <x:c r="M86" s="107" t="n">
        <x:v>17.970790740000005</x:v>
      </x:c>
      <x:c r="N86" s="108" t="n">
        <x:v>0.5410863988360151</x:v>
      </x:c>
      <x:c r="O86" s="108" t="n">
        <x:v>0.36727948249729364</x:v>
      </x:c>
      <x:c r="P86" s="108" t="n">
        <x:v>0.36727948249729364</x:v>
      </x:c>
      <x:c r="Q86" s="9" t="str">
        <x:v>Actual</x:v>
      </x:c>
      <x:c r="R86" s="9" t="n">
        <x:v>2024</x:v>
      </x:c>
      <x:c r="S86" s="9" t="str">
        <x:v>2024-05</x:v>
      </x:c>
    </x:row>
    <x:row r="87" ht="17" customHeight="1">
      <x:c r="A87" s="9" t="str">
        <x:v>2024-05-01</x:v>
      </x:c>
      <x:c r="B87" s="9" t="str">
        <x:v>Retail Stores</x:v>
      </x:c>
      <x:c r="C87" s="107" t="n">
        <x:v>16.62856137</x:v>
      </x:c>
      <x:c r="D87" s="107" t="n">
        <x:v>0.1075</x:v>
      </x:c>
      <x:c r="E87" s="107" t="n">
        <x:v>0</x:v>
      </x:c>
      <x:c r="F87" s="107" t="n">
        <x:v>6.585980309999999</x:v>
      </x:c>
      <x:c r="G87" s="107" t="n">
        <x:v>32.679485840000005</x:v>
      </x:c>
      <x:c r="H87" s="107" t="n">
        <x:v>0</x:v>
      </x:c>
      <x:c r="I87" s="107" t="n">
        <x:v>16.05092447</x:v>
      </x:c>
      <x:c r="J87" s="107" t="n">
        <x:v>9.464944160000003</x:v>
      </x:c>
      <x:c r="K87" s="107" t="n">
        <x:v>9.357444160000004</x:v>
      </x:c>
      <x:c r="L87" s="107" t="n">
        <x:v>9.357444160000004</x:v>
      </x:c>
      <x:c r="M87" s="107" t="n">
        <x:v>9.357444160000004</x:v>
      </x:c>
      <x:c r="N87" s="108" t="n">
        <x:v>0.49116208708380343</x:v>
      </x:c>
      <x:c r="O87" s="108" t="n">
        <x:v>0.2896295310868943</x:v>
      </x:c>
      <x:c r="P87" s="108" t="n">
        <x:v>0.2863400056480204</x:v>
      </x:c>
      <x:c r="Q87" s="9" t="str">
        <x:v>Actual</x:v>
      </x:c>
      <x:c r="R87" s="9" t="n">
        <x:v>2024</x:v>
      </x:c>
      <x:c r="S87" s="9" t="str">
        <x:v>2024-05</x:v>
      </x:c>
    </x:row>
    <x:row r="88" ht="17" customHeight="1">
      <x:c r="A88" s="9" t="str">
        <x:v>2024-05-01</x:v>
      </x:c>
      <x:c r="B88" s="9" t="str">
        <x:v>Shared Services</x:v>
      </x:c>
      <x:c r="C88" s="107" t="n">
        <x:v>0</x:v>
      </x:c>
      <x:c r="D88" s="107" t="n">
        <x:v>0.16979167</x:v>
      </x:c>
      <x:c r="E88" s="107" t="n">
        <x:v>0.4452</x:v>
      </x:c>
      <x:c r="F88" s="107" t="n">
        <x:v>27.35730358</x:v>
      </x:c>
      <x:c r="G88" s="107" t="n">
        <x:v>0</x:v>
      </x:c>
      <x:c r="H88" s="107" t="n">
        <x:v>2.2385779300000004</x:v>
      </x:c>
      <x:c r="I88" s="107" t="n">
        <x:v>0</x:v>
      </x:c>
      <x:c r="J88" s="107" t="n">
        <x:v>-27.35730358</x:v>
      </x:c>
      <x:c r="K88" s="107" t="n">
        <x:v>-27.52709525</x:v>
      </x:c>
      <x:c r="L88" s="107" t="n">
        <x:v>-27.97229525</x:v>
      </x:c>
      <x:c r="M88" s="107" t="n">
        <x:v>-30.21087318</x:v>
      </x:c>
      <x:c r="N88" s="108"/>
      <x:c r="O88" s="108"/>
      <x:c r="P88" s="108"/>
      <x:c r="Q88" s="9" t="str">
        <x:v>Actual</x:v>
      </x:c>
      <x:c r="R88" s="9" t="n">
        <x:v>2024</x:v>
      </x:c>
      <x:c r="S88" s="9" t="str">
        <x:v>2024-05</x:v>
      </x:c>
    </x:row>
    <x:row r="89" ht="17" customHeight="1">
      <x:c r="A89" s="9" t="str">
        <x:v>2024-05-01</x:v>
      </x:c>
      <x:c r="B89" s="9" t="str">
        <x:v>Subscription Services</x:v>
      </x:c>
      <x:c r="C89" s="107" t="n">
        <x:v>1.43129726</x:v>
      </x:c>
      <x:c r="D89" s="107" t="n">
        <x:v>0</x:v>
      </x:c>
      <x:c r="E89" s="107" t="n">
        <x:v>0</x:v>
      </x:c>
      <x:c r="F89" s="107" t="n">
        <x:v>2.7753776799999996</x:v>
      </x:c>
      <x:c r="G89" s="107" t="n">
        <x:v>5.7026110800000005</x:v>
      </x:c>
      <x:c r="H89" s="107" t="n">
        <x:v>0</x:v>
      </x:c>
      <x:c r="I89" s="107" t="n">
        <x:v>4.2713138200000005</x:v>
      </x:c>
      <x:c r="J89" s="107" t="n">
        <x:v>1.4959361400000006</x:v>
      </x:c>
      <x:c r="K89" s="107" t="n">
        <x:v>1.4959361400000006</x:v>
      </x:c>
      <x:c r="L89" s="107" t="n">
        <x:v>1.4959361400000006</x:v>
      </x:c>
      <x:c r="M89" s="107" t="n">
        <x:v>1.4959361400000006</x:v>
      </x:c>
      <x:c r="N89" s="108" t="n">
        <x:v>0.7490101920119021</x:v>
      </x:c>
      <x:c r="O89" s="108" t="n">
        <x:v>0.2623247700069352</x:v>
      </x:c>
      <x:c r="P89" s="108" t="n">
        <x:v>0.2623247700069352</x:v>
      </x:c>
      <x:c r="Q89" s="9" t="str">
        <x:v>Actual</x:v>
      </x:c>
      <x:c r="R89" s="9" t="n">
        <x:v>2024</x:v>
      </x:c>
      <x:c r="S89" s="9" t="str">
        <x:v>2024-05</x:v>
      </x:c>
    </x:row>
    <x:row r="90" ht="17" customHeight="1">
      <x:c r="A90" s="9" t="str">
        <x:v>2024-05-01</x:v>
      </x:c>
      <x:c r="B90" s="9" t="str">
        <x:v>Wholesale</x:v>
      </x:c>
      <x:c r="C90" s="107" t="n">
        <x:v>17.29249561</x:v>
      </x:c>
      <x:c r="D90" s="107" t="n">
        <x:v>0</x:v>
      </x:c>
      <x:c r="E90" s="107" t="n">
        <x:v>0</x:v>
      </x:c>
      <x:c r="F90" s="107" t="n">
        <x:v>3.1163066400000003</x:v>
      </x:c>
      <x:c r="G90" s="107" t="n">
        <x:v>28.511238170000002</x:v>
      </x:c>
      <x:c r="H90" s="107" t="n">
        <x:v>0</x:v>
      </x:c>
      <x:c r="I90" s="107" t="n">
        <x:v>11.218742560000003</x:v>
      </x:c>
      <x:c r="J90" s="107" t="n">
        <x:v>8.102435920000001</x:v>
      </x:c>
      <x:c r="K90" s="107" t="n">
        <x:v>8.102435920000001</x:v>
      </x:c>
      <x:c r="L90" s="107" t="n">
        <x:v>8.102435920000001</x:v>
      </x:c>
      <x:c r="M90" s="107" t="n">
        <x:v>8.102435920000001</x:v>
      </x:c>
      <x:c r="N90" s="108" t="n">
        <x:v>0.3934849301565777</x:v>
      </x:c>
      <x:c r="O90" s="108" t="n">
        <x:v>0.2841839372842643</x:v>
      </x:c>
      <x:c r="P90" s="108" t="n">
        <x:v>0.2841839372842643</x:v>
      </x:c>
      <x:c r="Q90" s="9" t="str">
        <x:v>Actual</x:v>
      </x:c>
      <x:c r="R90" s="9" t="n">
        <x:v>2024</x:v>
      </x:c>
      <x:c r="S90" s="9" t="str">
        <x:v>2024-05</x:v>
      </x:c>
    </x:row>
    <x:row r="91" ht="17" customHeight="1">
      <x:c r="A91" s="9" t="str">
        <x:v>2024-06-01</x:v>
      </x:c>
      <x:c r="B91" s="9" t="str">
        <x:v>Digital Commerce</x:v>
      </x:c>
      <x:c r="C91" s="107" t="n">
        <x:v>23.17301736</x:v>
      </x:c>
      <x:c r="D91" s="107" t="n">
        <x:v>0</x:v>
      </x:c>
      <x:c r="E91" s="107" t="n">
        <x:v>0</x:v>
      </x:c>
      <x:c r="F91" s="107" t="n">
        <x:v>8.65317605</x:v>
      </x:c>
      <x:c r="G91" s="107" t="n">
        <x:v>50.52868964</x:v>
      </x:c>
      <x:c r="H91" s="107" t="n">
        <x:v>0</x:v>
      </x:c>
      <x:c r="I91" s="107" t="n">
        <x:v>27.35567228</x:v>
      </x:c>
      <x:c r="J91" s="107" t="n">
        <x:v>18.70249623</x:v>
      </x:c>
      <x:c r="K91" s="107" t="n">
        <x:v>18.70249623</x:v>
      </x:c>
      <x:c r="L91" s="107" t="n">
        <x:v>18.70249623</x:v>
      </x:c>
      <x:c r="M91" s="107" t="n">
        <x:v>18.70249623</x:v>
      </x:c>
      <x:c r="N91" s="108" t="n">
        <x:v>0.5413889114263601</x:v>
      </x:c>
      <x:c r="O91" s="108" t="n">
        <x:v>0.3701361813110339</x:v>
      </x:c>
      <x:c r="P91" s="108" t="n">
        <x:v>0.3701361813110339</x:v>
      </x:c>
      <x:c r="Q91" s="9" t="str">
        <x:v>Actual</x:v>
      </x:c>
      <x:c r="R91" s="9" t="n">
        <x:v>2024</x:v>
      </x:c>
      <x:c r="S91" s="9" t="str">
        <x:v>2024-06</x:v>
      </x:c>
    </x:row>
    <x:row r="92" ht="17" customHeight="1">
      <x:c r="A92" s="9" t="str">
        <x:v>2024-06-01</x:v>
      </x:c>
      <x:c r="B92" s="9" t="str">
        <x:v>Retail Stores</x:v>
      </x:c>
      <x:c r="C92" s="107" t="n">
        <x:v>18.36715504</x:v>
      </x:c>
      <x:c r="D92" s="107" t="n">
        <x:v>0.1075</x:v>
      </x:c>
      <x:c r="E92" s="107" t="n">
        <x:v>0</x:v>
      </x:c>
      <x:c r="F92" s="107" t="n">
        <x:v>6.84365116</x:v>
      </x:c>
      <x:c r="G92" s="107" t="n">
        <x:v>36.18084496</x:v>
      </x:c>
      <x:c r="H92" s="107" t="n">
        <x:v>0</x:v>
      </x:c>
      <x:c r="I92" s="107" t="n">
        <x:v>17.81368992</x:v>
      </x:c>
      <x:c r="J92" s="107" t="n">
        <x:v>10.970038760000001</x:v>
      </x:c>
      <x:c r="K92" s="107" t="n">
        <x:v>10.862538760000001</x:v>
      </x:c>
      <x:c r="L92" s="107" t="n">
        <x:v>10.862538760000001</x:v>
      </x:c>
      <x:c r="M92" s="107" t="n">
        <x:v>10.862538760000001</x:v>
      </x:c>
      <x:c r="N92" s="108" t="n">
        <x:v>0.4923514069307684</x:v>
      </x:c>
      <x:c r="O92" s="108" t="n">
        <x:v>0.3032001815360589</x:v>
      </x:c>
      <x:c r="P92" s="108" t="n">
        <x:v>0.3002289960892058</x:v>
      </x:c>
      <x:c r="Q92" s="9" t="str">
        <x:v>Actual</x:v>
      </x:c>
      <x:c r="R92" s="9" t="n">
        <x:v>2024</x:v>
      </x:c>
      <x:c r="S92" s="9" t="str">
        <x:v>2024-06</x:v>
      </x:c>
    </x:row>
    <x:row r="93" ht="17" customHeight="1">
      <x:c r="A93" s="9" t="str">
        <x:v>2024-06-01</x:v>
      </x:c>
      <x:c r="B93" s="9" t="str">
        <x:v>Shared Services</x:v>
      </x:c>
      <x:c r="C93" s="107" t="n">
        <x:v>0</x:v>
      </x:c>
      <x:c r="D93" s="107" t="n">
        <x:v>0.16979167</x:v>
      </x:c>
      <x:c r="E93" s="107" t="n">
        <x:v>0.4452</x:v>
      </x:c>
      <x:c r="F93" s="107" t="n">
        <x:v>27.538498960000002</x:v>
      </x:c>
      <x:c r="G93" s="107" t="n">
        <x:v>0</x:v>
      </x:c>
      <x:c r="H93" s="107" t="n">
        <x:v>2.66403707</x:v>
      </x:c>
      <x:c r="I93" s="107" t="n">
        <x:v>0</x:v>
      </x:c>
      <x:c r="J93" s="107" t="n">
        <x:v>-27.538498960000002</x:v>
      </x:c>
      <x:c r="K93" s="107" t="n">
        <x:v>-27.708290630000004</x:v>
      </x:c>
      <x:c r="L93" s="107" t="n">
        <x:v>-28.153490630000004</x:v>
      </x:c>
      <x:c r="M93" s="107" t="n">
        <x:v>-30.817527700000003</x:v>
      </x:c>
      <x:c r="N93" s="108"/>
      <x:c r="O93" s="108"/>
      <x:c r="P93" s="108"/>
      <x:c r="Q93" s="9" t="str">
        <x:v>Actual</x:v>
      </x:c>
      <x:c r="R93" s="9" t="n">
        <x:v>2024</x:v>
      </x:c>
      <x:c r="S93" s="9" t="str">
        <x:v>2024-06</x:v>
      </x:c>
    </x:row>
    <x:row r="94" ht="17" customHeight="1">
      <x:c r="A94" s="9" t="str">
        <x:v>2024-06-01</x:v>
      </x:c>
      <x:c r="B94" s="9" t="str">
        <x:v>Subscription Services</x:v>
      </x:c>
      <x:c r="C94" s="107" t="n">
        <x:v>1.51650027</x:v>
      </x:c>
      <x:c r="D94" s="107" t="n">
        <x:v>0</x:v>
      </x:c>
      <x:c r="E94" s="107" t="n">
        <x:v>0</x:v>
      </x:c>
      <x:c r="F94" s="107" t="n">
        <x:v>2.83782396</x:v>
      </x:c>
      <x:c r="G94" s="107" t="n">
        <x:v>5.9647555</x:v>
      </x:c>
      <x:c r="H94" s="107" t="n">
        <x:v>0</x:v>
      </x:c>
      <x:c r="I94" s="107" t="n">
        <x:v>4.44825523</x:v>
      </x:c>
      <x:c r="J94" s="107" t="n">
        <x:v>1.6104312700000005</x:v>
      </x:c>
      <x:c r="K94" s="107" t="n">
        <x:v>1.6104312700000005</x:v>
      </x:c>
      <x:c r="L94" s="107" t="n">
        <x:v>1.6104312700000005</x:v>
      </x:c>
      <x:c r="M94" s="107" t="n">
        <x:v>1.6104312700000005</x:v>
      </x:c>
      <x:c r="N94" s="108" t="n">
        <x:v>0.7457565075383225</x:v>
      </x:c>
      <x:c r="O94" s="108" t="n">
        <x:v>0.2699911622530044</x:v>
      </x:c>
      <x:c r="P94" s="108" t="n">
        <x:v>0.2699911622530044</x:v>
      </x:c>
      <x:c r="Q94" s="9" t="str">
        <x:v>Actual</x:v>
      </x:c>
      <x:c r="R94" s="9" t="n">
        <x:v>2024</x:v>
      </x:c>
      <x:c r="S94" s="9" t="str">
        <x:v>2024-06</x:v>
      </x:c>
    </x:row>
    <x:row r="95" ht="17" customHeight="1">
      <x:c r="A95" s="9" t="str">
        <x:v>2024-06-01</x:v>
      </x:c>
      <x:c r="B95" s="9" t="str">
        <x:v>Wholesale</x:v>
      </x:c>
      <x:c r="C95" s="107" t="n">
        <x:v>16.80633925</x:v>
      </x:c>
      <x:c r="D95" s="107" t="n">
        <x:v>0</x:v>
      </x:c>
      <x:c r="E95" s="107" t="n">
        <x:v>0</x:v>
      </x:c>
      <x:c r="F95" s="107" t="n">
        <x:v>3.2071877399999997</x:v>
      </x:c>
      <x:c r="G95" s="107" t="n">
        <x:v>27.64769963</x:v>
      </x:c>
      <x:c r="H95" s="107" t="n">
        <x:v>0</x:v>
      </x:c>
      <x:c r="I95" s="107" t="n">
        <x:v>10.841360380000003</x:v>
      </x:c>
      <x:c r="J95" s="107" t="n">
        <x:v>7.634172640000003</x:v>
      </x:c>
      <x:c r="K95" s="107" t="n">
        <x:v>7.634172640000003</x:v>
      </x:c>
      <x:c r="L95" s="107" t="n">
        <x:v>7.634172640000003</x:v>
      </x:c>
      <x:c r="M95" s="107" t="n">
        <x:v>7.634172640000003</x:v>
      </x:c>
      <x:c r="N95" s="108" t="n">
        <x:v>0.39212522289688956</x:v>
      </x:c>
      <x:c r="O95" s="108" t="n">
        <x:v>0.2761232486668187</x:v>
      </x:c>
      <x:c r="P95" s="108" t="n">
        <x:v>0.2761232486668187</x:v>
      </x:c>
      <x:c r="Q95" s="9" t="str">
        <x:v>Actual</x:v>
      </x:c>
      <x:c r="R95" s="9" t="n">
        <x:v>2024</x:v>
      </x:c>
      <x:c r="S95" s="9" t="str">
        <x:v>2024-06</x:v>
      </x:c>
    </x:row>
    <x:row r="96" ht="17" customHeight="1">
      <x:c r="A96" s="9" t="str">
        <x:v>2024-07-01</x:v>
      </x:c>
      <x:c r="B96" s="9" t="str">
        <x:v>Digital Commerce</x:v>
      </x:c>
      <x:c r="C96" s="107" t="n">
        <x:v>21.745078600000003</x:v>
      </x:c>
      <x:c r="D96" s="107" t="n">
        <x:v>0</x:v>
      </x:c>
      <x:c r="E96" s="107" t="n">
        <x:v>0</x:v>
      </x:c>
      <x:c r="F96" s="107" t="n">
        <x:v>8.4999468</x:v>
      </x:c>
      <x:c r="G96" s="107" t="n">
        <x:v>47.563525829999996</x:v>
      </x:c>
      <x:c r="H96" s="107" t="n">
        <x:v>0</x:v>
      </x:c>
      <x:c r="I96" s="107" t="n">
        <x:v>25.818447229999997</x:v>
      </x:c>
      <x:c r="J96" s="107" t="n">
        <x:v>17.318500429999997</x:v>
      </x:c>
      <x:c r="K96" s="107" t="n">
        <x:v>17.318500429999997</x:v>
      </x:c>
      <x:c r="L96" s="107" t="n">
        <x:v>17.318500429999997</x:v>
      </x:c>
      <x:c r="M96" s="107" t="n">
        <x:v>17.318500429999997</x:v>
      </x:c>
      <x:c r="N96" s="108" t="n">
        <x:v>0.5428202972647455</x:v>
      </x:c>
      <x:c r="O96" s="108" t="n">
        <x:v>0.3641130493962793</x:v>
      </x:c>
      <x:c r="P96" s="108" t="n">
        <x:v>0.3641130493962793</x:v>
      </x:c>
      <x:c r="Q96" s="9" t="str">
        <x:v>Actual</x:v>
      </x:c>
      <x:c r="R96" s="9" t="n">
        <x:v>2024</x:v>
      </x:c>
      <x:c r="S96" s="9" t="str">
        <x:v>2024-07</x:v>
      </x:c>
    </x:row>
    <x:row r="97" ht="17" customHeight="1">
      <x:c r="A97" s="9" t="str">
        <x:v>2024-07-01</x:v>
      </x:c>
      <x:c r="B97" s="9" t="str">
        <x:v>Retail Stores</x:v>
      </x:c>
      <x:c r="C97" s="107" t="n">
        <x:v>17.68575557</x:v>
      </x:c>
      <x:c r="D97" s="107" t="n">
        <x:v>0.1075</x:v>
      </x:c>
      <x:c r="E97" s="107" t="n">
        <x:v>0</x:v>
      </x:c>
      <x:c r="F97" s="107" t="n">
        <x:v>6.82875659</x:v>
      </x:c>
      <x:c r="G97" s="107" t="n">
        <x:v>34.54405699</x:v>
      </x:c>
      <x:c r="H97" s="107" t="n">
        <x:v>0</x:v>
      </x:c>
      <x:c r="I97" s="107" t="n">
        <x:v>16.85830142</x:v>
      </x:c>
      <x:c r="J97" s="107" t="n">
        <x:v>10.029544830000003</x:v>
      </x:c>
      <x:c r="K97" s="107" t="n">
        <x:v>9.922044830000003</x:v>
      </x:c>
      <x:c r="L97" s="107" t="n">
        <x:v>9.922044830000003</x:v>
      </x:c>
      <x:c r="M97" s="107" t="n">
        <x:v>9.922044830000003</x:v>
      </x:c>
      <x:c r="N97" s="108" t="n">
        <x:v>0.4880232054063665</x:v>
      </x:c>
      <x:c r="O97" s="108" t="n">
        <x:v>0.2903406751819396</x:v>
      </x:c>
      <x:c r="P97" s="108" t="n">
        <x:v>0.2872287071802912</x:v>
      </x:c>
      <x:c r="Q97" s="9" t="str">
        <x:v>Actual</x:v>
      </x:c>
      <x:c r="R97" s="9" t="n">
        <x:v>2024</x:v>
      </x:c>
      <x:c r="S97" s="9" t="str">
        <x:v>2024-07</x:v>
      </x:c>
    </x:row>
    <x:row r="98" ht="17" customHeight="1">
      <x:c r="A98" s="9" t="str">
        <x:v>2024-07-01</x:v>
      </x:c>
      <x:c r="B98" s="9" t="str">
        <x:v>Shared Services</x:v>
      </x:c>
      <x:c r="C98" s="107" t="n">
        <x:v>0</x:v>
      </x:c>
      <x:c r="D98" s="107" t="n">
        <x:v>0.42604167</x:v>
      </x:c>
      <x:c r="E98" s="107" t="n">
        <x:v>0.4452</x:v>
      </x:c>
      <x:c r="F98" s="107" t="n">
        <x:v>27.58640341</x:v>
      </x:c>
      <x:c r="G98" s="107" t="n">
        <x:v>0</x:v>
      </x:c>
      <x:c r="H98" s="107" t="n">
        <x:v>1.76016928</x:v>
      </x:c>
      <x:c r="I98" s="107" t="n">
        <x:v>0</x:v>
      </x:c>
      <x:c r="J98" s="107" t="n">
        <x:v>-27.58640341</x:v>
      </x:c>
      <x:c r="K98" s="107" t="n">
        <x:v>-28.012445080000003</x:v>
      </x:c>
      <x:c r="L98" s="107" t="n">
        <x:v>-28.457645080000002</x:v>
      </x:c>
      <x:c r="M98" s="107" t="n">
        <x:v>-30.217814360000002</x:v>
      </x:c>
      <x:c r="N98" s="108"/>
      <x:c r="O98" s="108"/>
      <x:c r="P98" s="108"/>
      <x:c r="Q98" s="9" t="str">
        <x:v>Actual</x:v>
      </x:c>
      <x:c r="R98" s="9" t="n">
        <x:v>2024</x:v>
      </x:c>
      <x:c r="S98" s="9" t="str">
        <x:v>2024-07</x:v>
      </x:c>
    </x:row>
    <x:row r="99" ht="17" customHeight="1">
      <x:c r="A99" s="9" t="str">
        <x:v>2024-07-01</x:v>
      </x:c>
      <x:c r="B99" s="9" t="str">
        <x:v>Subscription Services</x:v>
      </x:c>
      <x:c r="C99" s="107" t="n">
        <x:v>1.5149915</x:v>
      </x:c>
      <x:c r="D99" s="107" t="n">
        <x:v>0</x:v>
      </x:c>
      <x:c r="E99" s="107" t="n">
        <x:v>0</x:v>
      </x:c>
      <x:c r="F99" s="107" t="n">
        <x:v>2.8129625299999996</x:v>
      </x:c>
      <x:c r="G99" s="107" t="n">
        <x:v>6.03257653</x:v>
      </x:c>
      <x:c r="H99" s="107" t="n">
        <x:v>0</x:v>
      </x:c>
      <x:c r="I99" s="107" t="n">
        <x:v>4.51758503</x:v>
      </x:c>
      <x:c r="J99" s="107" t="n">
        <x:v>1.7046225000000004</x:v>
      </x:c>
      <x:c r="K99" s="107" t="n">
        <x:v>1.7046225000000004</x:v>
      </x:c>
      <x:c r="L99" s="107" t="n">
        <x:v>1.7046225000000004</x:v>
      </x:c>
      <x:c r="M99" s="107" t="n">
        <x:v>1.7046225000000004</x:v>
      </x:c>
      <x:c r="N99" s="108" t="n">
        <x:v>0.7488649348307563</x:v>
      </x:c>
      <x:c r="O99" s="108" t="n">
        <x:v>0.28256956070476913</x:v>
      </x:c>
      <x:c r="P99" s="108" t="n">
        <x:v>0.28256956070476913</x:v>
      </x:c>
      <x:c r="Q99" s="9" t="str">
        <x:v>Actual</x:v>
      </x:c>
      <x:c r="R99" s="9" t="n">
        <x:v>2024</x:v>
      </x:c>
      <x:c r="S99" s="9" t="str">
        <x:v>2024-07</x:v>
      </x:c>
    </x:row>
    <x:row r="100" ht="17" customHeight="1">
      <x:c r="A100" s="9" t="str">
        <x:v>2024-07-01</x:v>
      </x:c>
      <x:c r="B100" s="9" t="str">
        <x:v>Wholesale</x:v>
      </x:c>
      <x:c r="C100" s="107" t="n">
        <x:v>15.17931386</x:v>
      </x:c>
      <x:c r="D100" s="107" t="n">
        <x:v>0</x:v>
      </x:c>
      <x:c r="E100" s="107" t="n">
        <x:v>0</x:v>
      </x:c>
      <x:c r="F100" s="107" t="n">
        <x:v>3.2205567</x:v>
      </x:c>
      <x:c r="G100" s="107" t="n">
        <x:v>24.953025009999998</x:v>
      </x:c>
      <x:c r="H100" s="107" t="n">
        <x:v>0</x:v>
      </x:c>
      <x:c r="I100" s="107" t="n">
        <x:v>9.773711149999997</x:v>
      </x:c>
      <x:c r="J100" s="107" t="n">
        <x:v>6.553154449999997</x:v>
      </x:c>
      <x:c r="K100" s="107" t="n">
        <x:v>6.553154449999997</x:v>
      </x:c>
      <x:c r="L100" s="107" t="n">
        <x:v>6.553154449999997</x:v>
      </x:c>
      <x:c r="M100" s="107" t="n">
        <x:v>6.553154449999997</x:v>
      </x:c>
      <x:c r="N100" s="108" t="n">
        <x:v>0.3916844208701411</x:v>
      </x:c>
      <x:c r="O100" s="108" t="n">
        <x:v>0.2626196401988858</x:v>
      </x:c>
      <x:c r="P100" s="108" t="n">
        <x:v>0.2626196401988858</x:v>
      </x:c>
      <x:c r="Q100" s="9" t="str">
        <x:v>Actual</x:v>
      </x:c>
      <x:c r="R100" s="9" t="n">
        <x:v>2024</x:v>
      </x:c>
      <x:c r="S100" s="9" t="str">
        <x:v>2024-07</x:v>
      </x:c>
    </x:row>
    <x:row r="101" ht="17" customHeight="1">
      <x:c r="A101" s="9" t="str">
        <x:v>2024-08-01</x:v>
      </x:c>
      <x:c r="B101" s="9" t="str">
        <x:v>Digital Commerce</x:v>
      </x:c>
      <x:c r="C101" s="107" t="n">
        <x:v>21.14375653</x:v>
      </x:c>
      <x:c r="D101" s="107" t="n">
        <x:v>0</x:v>
      </x:c>
      <x:c r="E101" s="107" t="n">
        <x:v>0</x:v>
      </x:c>
      <x:c r="F101" s="107" t="n">
        <x:v>8.443286279999999</x:v>
      </x:c>
      <x:c r="G101" s="107" t="n">
        <x:v>46.12700943</x:v>
      </x:c>
      <x:c r="H101" s="107" t="n">
        <x:v>0</x:v>
      </x:c>
      <x:c r="I101" s="107" t="n">
        <x:v>24.9832529</x:v>
      </x:c>
      <x:c r="J101" s="107" t="n">
        <x:v>16.539966619999998</x:v>
      </x:c>
      <x:c r="K101" s="107" t="n">
        <x:v>16.539966619999998</x:v>
      </x:c>
      <x:c r="L101" s="107" t="n">
        <x:v>16.539966619999998</x:v>
      </x:c>
      <x:c r="M101" s="107" t="n">
        <x:v>16.539966619999998</x:v>
      </x:c>
      <x:c r="N101" s="108" t="n">
        <x:v>0.5416187437408729</x:v>
      </x:c>
      <x:c r="O101" s="108" t="n">
        <x:v>0.3585744409704299</x:v>
      </x:c>
      <x:c r="P101" s="108" t="n">
        <x:v>0.3585744409704299</x:v>
      </x:c>
      <x:c r="Q101" s="9" t="str">
        <x:v>Actual</x:v>
      </x:c>
      <x:c r="R101" s="9" t="n">
        <x:v>2024</x:v>
      </x:c>
      <x:c r="S101" s="9" t="str">
        <x:v>2024-08</x:v>
      </x:c>
    </x:row>
    <x:row r="102" ht="17" customHeight="1">
      <x:c r="A102" s="9" t="str">
        <x:v>2024-08-01</x:v>
      </x:c>
      <x:c r="B102" s="9" t="str">
        <x:v>Retail Stores</x:v>
      </x:c>
      <x:c r="C102" s="107" t="n">
        <x:v>14.919323910000001</x:v>
      </x:c>
      <x:c r="D102" s="107" t="n">
        <x:v>0.1075</x:v>
      </x:c>
      <x:c r="E102" s="107" t="n">
        <x:v>0</x:v>
      </x:c>
      <x:c r="F102" s="107" t="n">
        <x:v>6.70097082</x:v>
      </x:c>
      <x:c r="G102" s="107" t="n">
        <x:v>29.386318020000004</x:v>
      </x:c>
      <x:c r="H102" s="107" t="n">
        <x:v>0</x:v>
      </x:c>
      <x:c r="I102" s="107" t="n">
        <x:v>14.466994110000003</x:v>
      </x:c>
      <x:c r="J102" s="107" t="n">
        <x:v>7.766023290000003</x:v>
      </x:c>
      <x:c r="K102" s="107" t="n">
        <x:v>7.658523290000002</x:v>
      </x:c>
      <x:c r="L102" s="107" t="n">
        <x:v>7.658523290000002</x:v>
      </x:c>
      <x:c r="M102" s="107" t="n">
        <x:v>7.658523290000002</x:v>
      </x:c>
      <x:c r="N102" s="108" t="n">
        <x:v>0.4923037346888415</x:v>
      </x:c>
      <x:c r="O102" s="108" t="n">
        <x:v>0.2642734378874731</x:v>
      </x:c>
      <x:c r="P102" s="108" t="n">
        <x:v>0.2606152728895024</x:v>
      </x:c>
      <x:c r="Q102" s="9" t="str">
        <x:v>Actual</x:v>
      </x:c>
      <x:c r="R102" s="9" t="n">
        <x:v>2024</x:v>
      </x:c>
      <x:c r="S102" s="9" t="str">
        <x:v>2024-08</x:v>
      </x:c>
    </x:row>
    <x:row r="103" ht="17" customHeight="1">
      <x:c r="A103" s="9" t="str">
        <x:v>2024-08-01</x:v>
      </x:c>
      <x:c r="B103" s="9" t="str">
        <x:v>Shared Services</x:v>
      </x:c>
      <x:c r="C103" s="107" t="n">
        <x:v>0</x:v>
      </x:c>
      <x:c r="D103" s="107" t="n">
        <x:v>0.42604167</x:v>
      </x:c>
      <x:c r="E103" s="107" t="n">
        <x:v>0.4452</x:v>
      </x:c>
      <x:c r="F103" s="107" t="n">
        <x:v>28.172322100000002</x:v>
      </x:c>
      <x:c r="G103" s="107" t="n">
        <x:v>0</x:v>
      </x:c>
      <x:c r="H103" s="107" t="n">
        <x:v>1.0201244200000001</x:v>
      </x:c>
      <x:c r="I103" s="107" t="n">
        <x:v>0</x:v>
      </x:c>
      <x:c r="J103" s="107" t="n">
        <x:v>-28.172322100000002</x:v>
      </x:c>
      <x:c r="K103" s="107" t="n">
        <x:v>-28.598363770000002</x:v>
      </x:c>
      <x:c r="L103" s="107" t="n">
        <x:v>-29.043563770000002</x:v>
      </x:c>
      <x:c r="M103" s="107" t="n">
        <x:v>-30.063688190000004</x:v>
      </x:c>
      <x:c r="N103" s="108"/>
      <x:c r="O103" s="108"/>
      <x:c r="P103" s="108"/>
      <x:c r="Q103" s="9" t="str">
        <x:v>Actual</x:v>
      </x:c>
      <x:c r="R103" s="9" t="n">
        <x:v>2024</x:v>
      </x:c>
      <x:c r="S103" s="9" t="str">
        <x:v>2024-08</x:v>
      </x:c>
    </x:row>
    <x:row r="104" ht="17" customHeight="1">
      <x:c r="A104" s="9" t="str">
        <x:v>2024-08-01</x:v>
      </x:c>
      <x:c r="B104" s="9" t="str">
        <x:v>Subscription Services</x:v>
      </x:c>
      <x:c r="C104" s="107" t="n">
        <x:v>1.58332498</x:v>
      </x:c>
      <x:c r="D104" s="107" t="n">
        <x:v>0</x:v>
      </x:c>
      <x:c r="E104" s="107" t="n">
        <x:v>0</x:v>
      </x:c>
      <x:c r="F104" s="107" t="n">
        <x:v>2.81770479</x:v>
      </x:c>
      <x:c r="G104" s="107" t="n">
        <x:v>6.26227045</x:v>
      </x:c>
      <x:c r="H104" s="107" t="n">
        <x:v>0</x:v>
      </x:c>
      <x:c r="I104" s="107" t="n">
        <x:v>4.67894547</x:v>
      </x:c>
      <x:c r="J104" s="107" t="n">
        <x:v>1.8612406800000005</x:v>
      </x:c>
      <x:c r="K104" s="107" t="n">
        <x:v>1.8612406800000005</x:v>
      </x:c>
      <x:c r="L104" s="107" t="n">
        <x:v>1.8612406800000005</x:v>
      </x:c>
      <x:c r="M104" s="107" t="n">
        <x:v>1.8612406800000005</x:v>
      </x:c>
      <x:c r="N104" s="108" t="n">
        <x:v>0.7471643882770985</x:v>
      </x:c>
      <x:c r="O104" s="108" t="n">
        <x:v>0.29721499492248865</x:v>
      </x:c>
      <x:c r="P104" s="108" t="n">
        <x:v>0.29721499492248865</x:v>
      </x:c>
      <x:c r="Q104" s="9" t="str">
        <x:v>Actual</x:v>
      </x:c>
      <x:c r="R104" s="9" t="n">
        <x:v>2024</x:v>
      </x:c>
      <x:c r="S104" s="9" t="str">
        <x:v>2024-08</x:v>
      </x:c>
    </x:row>
    <x:row r="105" ht="17" customHeight="1">
      <x:c r="A105" s="9" t="str">
        <x:v>2024-08-01</x:v>
      </x:c>
      <x:c r="B105" s="9" t="str">
        <x:v>Wholesale</x:v>
      </x:c>
      <x:c r="C105" s="107" t="n">
        <x:v>16.05458224</x:v>
      </x:c>
      <x:c r="D105" s="107" t="n">
        <x:v>0</x:v>
      </x:c>
      <x:c r="E105" s="107" t="n">
        <x:v>0</x:v>
      </x:c>
      <x:c r="F105" s="107" t="n">
        <x:v>3.38942198</x:v>
      </x:c>
      <x:c r="G105" s="107" t="n">
        <x:v>26.508335060000004</x:v>
      </x:c>
      <x:c r="H105" s="107" t="n">
        <x:v>0</x:v>
      </x:c>
      <x:c r="I105" s="107" t="n">
        <x:v>10.453752820000002</x:v>
      </x:c>
      <x:c r="J105" s="107" t="n">
        <x:v>7.064330840000002</x:v>
      </x:c>
      <x:c r="K105" s="107" t="n">
        <x:v>7.064330840000002</x:v>
      </x:c>
      <x:c r="L105" s="107" t="n">
        <x:v>7.064330840000002</x:v>
      </x:c>
      <x:c r="M105" s="107" t="n">
        <x:v>7.064330840000002</x:v>
      </x:c>
      <x:c r="N105" s="108" t="n">
        <x:v>0.39435720109688405</x:v>
      </x:c>
      <x:c r="O105" s="108" t="n">
        <x:v>0.2664947015348312</x:v>
      </x:c>
      <x:c r="P105" s="108" t="n">
        <x:v>0.2664947015348312</x:v>
      </x:c>
      <x:c r="Q105" s="9" t="str">
        <x:v>Actual</x:v>
      </x:c>
      <x:c r="R105" s="9" t="n">
        <x:v>2024</x:v>
      </x:c>
      <x:c r="S105" s="9" t="str">
        <x:v>2024-08</x:v>
      </x:c>
    </x:row>
    <x:row r="106" ht="17" customHeight="1">
      <x:c r="A106" s="9" t="str">
        <x:v>2024-09-01</x:v>
      </x:c>
      <x:c r="B106" s="9" t="str">
        <x:v>Digital Commerce</x:v>
      </x:c>
      <x:c r="C106" s="107" t="n">
        <x:v>23.2446443</x:v>
      </x:c>
      <x:c r="D106" s="107" t="n">
        <x:v>0</x:v>
      </x:c>
      <x:c r="E106" s="107" t="n">
        <x:v>0</x:v>
      </x:c>
      <x:c r="F106" s="107" t="n">
        <x:v>8.72806433</x:v>
      </x:c>
      <x:c r="G106" s="107" t="n">
        <x:v>50.425016119999995</x:v>
      </x:c>
      <x:c r="H106" s="107" t="n">
        <x:v>0</x:v>
      </x:c>
      <x:c r="I106" s="107" t="n">
        <x:v>27.180371819999998</x:v>
      </x:c>
      <x:c r="J106" s="107" t="n">
        <x:v>18.452307489999995</x:v>
      </x:c>
      <x:c r="K106" s="107" t="n">
        <x:v>18.452307489999995</x:v>
      </x:c>
      <x:c r="L106" s="107" t="n">
        <x:v>18.452307489999995</x:v>
      </x:c>
      <x:c r="M106" s="107" t="n">
        <x:v>18.452307489999995</x:v>
      </x:c>
      <x:c r="N106" s="108" t="n">
        <x:v>0.5390255454815708</x:v>
      </x:c>
      <x:c r="O106" s="108" t="n">
        <x:v>0.36593557939749044</x:v>
      </x:c>
      <x:c r="P106" s="108" t="n">
        <x:v>0.36593557939749044</x:v>
      </x:c>
      <x:c r="Q106" s="9" t="str">
        <x:v>Actual</x:v>
      </x:c>
      <x:c r="R106" s="9" t="n">
        <x:v>2024</x:v>
      </x:c>
      <x:c r="S106" s="9" t="str">
        <x:v>2024-09</x:v>
      </x:c>
    </x:row>
    <x:row r="107" ht="17" customHeight="1">
      <x:c r="A107" s="9" t="str">
        <x:v>2024-09-01</x:v>
      </x:c>
      <x:c r="B107" s="9" t="str">
        <x:v>Retail Stores</x:v>
      </x:c>
      <x:c r="C107" s="107" t="n">
        <x:v>17.05947693</x:v>
      </x:c>
      <x:c r="D107" s="107" t="n">
        <x:v>0.1075</x:v>
      </x:c>
      <x:c r="E107" s="107" t="n">
        <x:v>0</x:v>
      </x:c>
      <x:c r="F107" s="107" t="n">
        <x:v>6.95578314</x:v>
      </x:c>
      <x:c r="G107" s="107" t="n">
        <x:v>33.57191506</x:v>
      </x:c>
      <x:c r="H107" s="107" t="n">
        <x:v>0</x:v>
      </x:c>
      <x:c r="I107" s="107" t="n">
        <x:v>16.512438130000003</x:v>
      </x:c>
      <x:c r="J107" s="107" t="n">
        <x:v>9.556654990000002</x:v>
      </x:c>
      <x:c r="K107" s="107" t="n">
        <x:v>9.449154990000002</x:v>
      </x:c>
      <x:c r="L107" s="107" t="n">
        <x:v>9.449154990000002</x:v>
      </x:c>
      <x:c r="M107" s="107" t="n">
        <x:v>9.449154990000002</x:v>
      </x:c>
      <x:c r="N107" s="108" t="n">
        <x:v>0.49185273168029997</x:v>
      </x:c>
      <x:c r="O107" s="108" t="n">
        <x:v>0.28466219376881746</x:v>
      </x:c>
      <x:c r="P107" s="108" t="n">
        <x:v>0.28146011251107944</x:v>
      </x:c>
      <x:c r="Q107" s="9" t="str">
        <x:v>Actual</x:v>
      </x:c>
      <x:c r="R107" s="9" t="n">
        <x:v>2024</x:v>
      </x:c>
      <x:c r="S107" s="9" t="str">
        <x:v>2024-09</x:v>
      </x:c>
    </x:row>
    <x:row r="108" ht="17" customHeight="1">
      <x:c r="A108" s="9" t="str">
        <x:v>2024-09-01</x:v>
      </x:c>
      <x:c r="B108" s="9" t="str">
        <x:v>Shared Services</x:v>
      </x:c>
      <x:c r="C108" s="107" t="n">
        <x:v>0</x:v>
      </x:c>
      <x:c r="D108" s="107" t="n">
        <x:v>0.42604167</x:v>
      </x:c>
      <x:c r="E108" s="107" t="n">
        <x:v>0.4452</x:v>
      </x:c>
      <x:c r="F108" s="107" t="n">
        <x:v>27.85671661</x:v>
      </x:c>
      <x:c r="G108" s="107" t="n">
        <x:v>0</x:v>
      </x:c>
      <x:c r="H108" s="107" t="n">
        <x:v>2.8646115</x:v>
      </x:c>
      <x:c r="I108" s="107" t="n">
        <x:v>0</x:v>
      </x:c>
      <x:c r="J108" s="107" t="n">
        <x:v>-27.85671661</x:v>
      </x:c>
      <x:c r="K108" s="107" t="n">
        <x:v>-28.28275828</x:v>
      </x:c>
      <x:c r="L108" s="107" t="n">
        <x:v>-28.727958280000003</x:v>
      </x:c>
      <x:c r="M108" s="107" t="n">
        <x:v>-31.59256978</x:v>
      </x:c>
      <x:c r="N108" s="108"/>
      <x:c r="O108" s="108"/>
      <x:c r="P108" s="108"/>
      <x:c r="Q108" s="9" t="str">
        <x:v>Actual</x:v>
      </x:c>
      <x:c r="R108" s="9" t="n">
        <x:v>2024</x:v>
      </x:c>
      <x:c r="S108" s="9" t="str">
        <x:v>2024-09</x:v>
      </x:c>
    </x:row>
    <x:row r="109" ht="17" customHeight="1">
      <x:c r="A109" s="9" t="str">
        <x:v>2024-09-01</x:v>
      </x:c>
      <x:c r="B109" s="9" t="str">
        <x:v>Subscription Services</x:v>
      </x:c>
      <x:c r="C109" s="107" t="n">
        <x:v>1.62003426</x:v>
      </x:c>
      <x:c r="D109" s="107" t="n">
        <x:v>0</x:v>
      </x:c>
      <x:c r="E109" s="107" t="n">
        <x:v>0</x:v>
      </x:c>
      <x:c r="F109" s="107" t="n">
        <x:v>2.84360944</x:v>
      </x:c>
      <x:c r="G109" s="107" t="n">
        <x:v>6.39114262</x:v>
      </x:c>
      <x:c r="H109" s="107" t="n">
        <x:v>0</x:v>
      </x:c>
      <x:c r="I109" s="107" t="n">
        <x:v>4.77110836</x:v>
      </x:c>
      <x:c r="J109" s="107" t="n">
        <x:v>1.9274989200000003</x:v>
      </x:c>
      <x:c r="K109" s="107" t="n">
        <x:v>1.9274989200000003</x:v>
      </x:c>
      <x:c r="L109" s="107" t="n">
        <x:v>1.9274989200000003</x:v>
      </x:c>
      <x:c r="M109" s="107" t="n">
        <x:v>1.9274989200000003</x:v>
      </x:c>
      <x:c r="N109" s="108" t="n">
        <x:v>0.746518837659736</x:v>
      </x:c>
      <x:c r="O109" s="108" t="n">
        <x:v>0.3015890951906187</x:v>
      </x:c>
      <x:c r="P109" s="108" t="n">
        <x:v>0.3015890951906187</x:v>
      </x:c>
      <x:c r="Q109" s="9" t="str">
        <x:v>Actual</x:v>
      </x:c>
      <x:c r="R109" s="9" t="n">
        <x:v>2024</x:v>
      </x:c>
      <x:c r="S109" s="9" t="str">
        <x:v>2024-09</x:v>
      </x:c>
    </x:row>
    <x:row r="110" ht="17" customHeight="1">
      <x:c r="A110" s="9" t="str">
        <x:v>2024-09-01</x:v>
      </x:c>
      <x:c r="B110" s="9" t="str">
        <x:v>Wholesale</x:v>
      </x:c>
      <x:c r="C110" s="107" t="n">
        <x:v>21.247899330000003</x:v>
      </x:c>
      <x:c r="D110" s="107" t="n">
        <x:v>0</x:v>
      </x:c>
      <x:c r="E110" s="107" t="n">
        <x:v>0</x:v>
      </x:c>
      <x:c r="F110" s="107" t="n">
        <x:v>3.6730377200000004</x:v>
      </x:c>
      <x:c r="G110" s="107" t="n">
        <x:v>35.27837993</x:v>
      </x:c>
      <x:c r="H110" s="107" t="n">
        <x:v>0</x:v>
      </x:c>
      <x:c r="I110" s="107" t="n">
        <x:v>14.030480599999997</x:v>
      </x:c>
      <x:c r="J110" s="107" t="n">
        <x:v>10.357442879999997</x:v>
      </x:c>
      <x:c r="K110" s="107" t="n">
        <x:v>10.357442879999997</x:v>
      </x:c>
      <x:c r="L110" s="107" t="n">
        <x:v>10.357442879999997</x:v>
      </x:c>
      <x:c r="M110" s="107" t="n">
        <x:v>10.357442879999997</x:v>
      </x:c>
      <x:c r="N110" s="108" t="n">
        <x:v>0.39770762228422996</x:v>
      </x:c>
      <x:c r="O110" s="108" t="n">
        <x:v>0.2935917947635754</x:v>
      </x:c>
      <x:c r="P110" s="108" t="n">
        <x:v>0.2935917947635754</x:v>
      </x:c>
      <x:c r="Q110" s="9" t="str">
        <x:v>Actual</x:v>
      </x:c>
      <x:c r="R110" s="9" t="n">
        <x:v>2024</x:v>
      </x:c>
      <x:c r="S110" s="9" t="str">
        <x:v>2024-09</x:v>
      </x:c>
    </x:row>
    <x:row r="111" ht="17" customHeight="1">
      <x:c r="A111" s="9" t="str">
        <x:v>2024-10-01</x:v>
      </x:c>
      <x:c r="B111" s="9" t="str">
        <x:v>Digital Commerce</x:v>
      </x:c>
      <x:c r="C111" s="107" t="n">
        <x:v>24.97414755</x:v>
      </x:c>
      <x:c r="D111" s="107" t="n">
        <x:v>0</x:v>
      </x:c>
      <x:c r="E111" s="107" t="n">
        <x:v>0</x:v>
      </x:c>
      <x:c r="F111" s="107" t="n">
        <x:v>9.12039231</x:v>
      </x:c>
      <x:c r="G111" s="107" t="n">
        <x:v>54.78055233</x:v>
      </x:c>
      <x:c r="H111" s="107" t="n">
        <x:v>0</x:v>
      </x:c>
      <x:c r="I111" s="107" t="n">
        <x:v>29.806404779999998</x:v>
      </x:c>
      <x:c r="J111" s="107" t="n">
        <x:v>20.686012469999998</x:v>
      </x:c>
      <x:c r="K111" s="107" t="n">
        <x:v>20.686012469999998</x:v>
      </x:c>
      <x:c r="L111" s="107" t="n">
        <x:v>20.686012469999998</x:v>
      </x:c>
      <x:c r="M111" s="107" t="n">
        <x:v>20.686012469999998</x:v>
      </x:c>
      <x:c r="N111" s="108" t="n">
        <x:v>0.5441055906199185</x:v>
      </x:c>
      <x:c r="O111" s="108" t="n">
        <x:v>0.3776159894370309</x:v>
      </x:c>
      <x:c r="P111" s="108" t="n">
        <x:v>0.3776159894370309</x:v>
      </x:c>
      <x:c r="Q111" s="9" t="str">
        <x:v>Actual</x:v>
      </x:c>
      <x:c r="R111" s="9" t="n">
        <x:v>2024</x:v>
      </x:c>
      <x:c r="S111" s="9" t="str">
        <x:v>2024-10</x:v>
      </x:c>
    </x:row>
    <x:row r="112" ht="17" customHeight="1">
      <x:c r="A112" s="9" t="str">
        <x:v>2024-10-01</x:v>
      </x:c>
      <x:c r="B112" s="9" t="str">
        <x:v>Retail Stores</x:v>
      </x:c>
      <x:c r="C112" s="107" t="n">
        <x:v>17.314849510000002</x:v>
      </x:c>
      <x:c r="D112" s="107" t="n">
        <x:v>0.1075</x:v>
      </x:c>
      <x:c r="E112" s="107" t="n">
        <x:v>0</x:v>
      </x:c>
      <x:c r="F112" s="107" t="n">
        <x:v>6.99504167</x:v>
      </x:c>
      <x:c r="G112" s="107" t="n">
        <x:v>33.84532737999999</x:v>
      </x:c>
      <x:c r="H112" s="107" t="n">
        <x:v>0</x:v>
      </x:c>
      <x:c r="I112" s="107" t="n">
        <x:v>16.530477869999995</x:v>
      </x:c>
      <x:c r="J112" s="107" t="n">
        <x:v>9.535436199999994</x:v>
      </x:c>
      <x:c r="K112" s="107" t="n">
        <x:v>9.427936199999994</x:v>
      </x:c>
      <x:c r="L112" s="107" t="n">
        <x:v>9.427936199999994</x:v>
      </x:c>
      <x:c r="M112" s="107" t="n">
        <x:v>9.427936199999994</x:v>
      </x:c>
      <x:c r="N112" s="108" t="n">
        <x:v>0.48841240873232755</x:v>
      </x:c>
      <x:c r="O112" s="108" t="n">
        <x:v>0.2817356763295695</x:v>
      </x:c>
      <x:c r="P112" s="108" t="n">
        <x:v>0.27855946240813095</x:v>
      </x:c>
      <x:c r="Q112" s="9" t="str">
        <x:v>Actual</x:v>
      </x:c>
      <x:c r="R112" s="9" t="n">
        <x:v>2024</x:v>
      </x:c>
      <x:c r="S112" s="9" t="str">
        <x:v>2024-10</x:v>
      </x:c>
    </x:row>
    <x:row r="113" ht="17" customHeight="1">
      <x:c r="A113" s="9" t="str">
        <x:v>2024-10-01</x:v>
      </x:c>
      <x:c r="B113" s="9" t="str">
        <x:v>Shared Services</x:v>
      </x:c>
      <x:c r="C113" s="107" t="n">
        <x:v>0</x:v>
      </x:c>
      <x:c r="D113" s="107" t="n">
        <x:v>0.42604167</x:v>
      </x:c>
      <x:c r="E113" s="107" t="n">
        <x:v>0.4452</x:v>
      </x:c>
      <x:c r="F113" s="107" t="n">
        <x:v>28.27704505</x:v>
      </x:c>
      <x:c r="G113" s="107" t="n">
        <x:v>0</x:v>
      </x:c>
      <x:c r="H113" s="107" t="n">
        <x:v>3.2055512999999998</x:v>
      </x:c>
      <x:c r="I113" s="107" t="n">
        <x:v>0</x:v>
      </x:c>
      <x:c r="J113" s="107" t="n">
        <x:v>-28.27704505</x:v>
      </x:c>
      <x:c r="K113" s="107" t="n">
        <x:v>-28.70308672</x:v>
      </x:c>
      <x:c r="L113" s="107" t="n">
        <x:v>-29.14828672</x:v>
      </x:c>
      <x:c r="M113" s="107" t="n">
        <x:v>-32.353838020000005</x:v>
      </x:c>
      <x:c r="N113" s="108"/>
      <x:c r="O113" s="108"/>
      <x:c r="P113" s="108"/>
      <x:c r="Q113" s="9" t="str">
        <x:v>Actual</x:v>
      </x:c>
      <x:c r="R113" s="9" t="n">
        <x:v>2024</x:v>
      </x:c>
      <x:c r="S113" s="9" t="str">
        <x:v>2024-10</x:v>
      </x:c>
    </x:row>
    <x:row r="114" ht="17" customHeight="1">
      <x:c r="A114" s="9" t="str">
        <x:v>2024-10-01</x:v>
      </x:c>
      <x:c r="B114" s="9" t="str">
        <x:v>Subscription Services</x:v>
      </x:c>
      <x:c r="C114" s="107" t="n">
        <x:v>1.6377198</x:v>
      </x:c>
      <x:c r="D114" s="107" t="n">
        <x:v>0</x:v>
      </x:c>
      <x:c r="E114" s="107" t="n">
        <x:v>0</x:v>
      </x:c>
      <x:c r="F114" s="107" t="n">
        <x:v>2.84612294</x:v>
      </x:c>
      <x:c r="G114" s="107" t="n">
        <x:v>6.50484659</x:v>
      </x:c>
      <x:c r="H114" s="107" t="n">
        <x:v>0</x:v>
      </x:c>
      <x:c r="I114" s="107" t="n">
        <x:v>4.86712679</x:v>
      </x:c>
      <x:c r="J114" s="107" t="n">
        <x:v>2.02100385</x:v>
      </x:c>
      <x:c r="K114" s="107" t="n">
        <x:v>2.02100385</x:v>
      </x:c>
      <x:c r="L114" s="107" t="n">
        <x:v>2.02100385</x:v>
      </x:c>
      <x:c r="M114" s="107" t="n">
        <x:v>2.02100385</x:v>
      </x:c>
      <x:c r="N114" s="108" t="n">
        <x:v>0.748230834141778</x:v>
      </x:c>
      <x:c r="O114" s="108" t="n">
        <x:v>0.3106920081876981</x:v>
      </x:c>
      <x:c r="P114" s="108" t="n">
        <x:v>0.3106920081876981</x:v>
      </x:c>
      <x:c r="Q114" s="9" t="str">
        <x:v>Actual</x:v>
      </x:c>
      <x:c r="R114" s="9" t="n">
        <x:v>2024</x:v>
      </x:c>
      <x:c r="S114" s="9" t="str">
        <x:v>2024-10</x:v>
      </x:c>
    </x:row>
    <x:row r="115" ht="17" customHeight="1">
      <x:c r="A115" s="9" t="str">
        <x:v>2024-10-01</x:v>
      </x:c>
      <x:c r="B115" s="9" t="str">
        <x:v>Wholesale</x:v>
      </x:c>
      <x:c r="C115" s="107" t="n">
        <x:v>20.83893264</x:v>
      </x:c>
      <x:c r="D115" s="107" t="n">
        <x:v>0</x:v>
      </x:c>
      <x:c r="E115" s="107" t="n">
        <x:v>0</x:v>
      </x:c>
      <x:c r="F115" s="107" t="n">
        <x:v>3.64408227</x:v>
      </x:c>
      <x:c r="G115" s="107" t="n">
        <x:v>34.31855431</x:v>
      </x:c>
      <x:c r="H115" s="107" t="n">
        <x:v>0</x:v>
      </x:c>
      <x:c r="I115" s="107" t="n">
        <x:v>13.479621670000002</x:v>
      </x:c>
      <x:c r="J115" s="107" t="n">
        <x:v>9.835539400000002</x:v>
      </x:c>
      <x:c r="K115" s="107" t="n">
        <x:v>9.835539400000002</x:v>
      </x:c>
      <x:c r="L115" s="107" t="n">
        <x:v>9.835539400000002</x:v>
      </x:c>
      <x:c r="M115" s="107" t="n">
        <x:v>9.835539400000002</x:v>
      </x:c>
      <x:c r="N115" s="108" t="n">
        <x:v>0.39277941454754717</x:v>
      </x:c>
      <x:c r="O115" s="108" t="n">
        <x:v>0.2865953883475228</x:v>
      </x:c>
      <x:c r="P115" s="108" t="n">
        <x:v>0.2865953883475228</x:v>
      </x:c>
      <x:c r="Q115" s="9" t="str">
        <x:v>Actual</x:v>
      </x:c>
      <x:c r="R115" s="9" t="n">
        <x:v>2024</x:v>
      </x:c>
      <x:c r="S115" s="9" t="str">
        <x:v>2024-10</x:v>
      </x:c>
    </x:row>
    <x:row r="116" ht="17" customHeight="1">
      <x:c r="A116" s="9" t="str">
        <x:v>2024-11-01</x:v>
      </x:c>
      <x:c r="B116" s="9" t="str">
        <x:v>Digital Commerce</x:v>
      </x:c>
      <x:c r="C116" s="107" t="n">
        <x:v>29.25445823</x:v>
      </x:c>
      <x:c r="D116" s="107" t="n">
        <x:v>0</x:v>
      </x:c>
      <x:c r="E116" s="107" t="n">
        <x:v>0</x:v>
      </x:c>
      <x:c r="F116" s="107" t="n">
        <x:v>9.64603453</x:v>
      </x:c>
      <x:c r="G116" s="107" t="n">
        <x:v>63.30954899</x:v>
      </x:c>
      <x:c r="H116" s="107" t="n">
        <x:v>0</x:v>
      </x:c>
      <x:c r="I116" s="107" t="n">
        <x:v>34.055090760000006</x:v>
      </x:c>
      <x:c r="J116" s="107" t="n">
        <x:v>24.409056230000004</x:v>
      </x:c>
      <x:c r="K116" s="107" t="n">
        <x:v>24.409056230000004</x:v>
      </x:c>
      <x:c r="L116" s="107" t="n">
        <x:v>24.409056230000004</x:v>
      </x:c>
      <x:c r="M116" s="107" t="n">
        <x:v>24.409056230000004</x:v>
      </x:c>
      <x:c r="N116" s="108" t="n">
        <x:v>0.5379139687976476</x:v>
      </x:c>
      <x:c r="O116" s="108" t="n">
        <x:v>0.38555094167319864</x:v>
      </x:c>
      <x:c r="P116" s="108" t="n">
        <x:v>0.38555094167319864</x:v>
      </x:c>
      <x:c r="Q116" s="9" t="str">
        <x:v>Actual</x:v>
      </x:c>
      <x:c r="R116" s="9" t="n">
        <x:v>2024</x:v>
      </x:c>
      <x:c r="S116" s="9" t="str">
        <x:v>2024-11</x:v>
      </x:c>
    </x:row>
    <x:row r="117" ht="17" customHeight="1">
      <x:c r="A117" s="9" t="str">
        <x:v>2024-11-01</x:v>
      </x:c>
      <x:c r="B117" s="9" t="str">
        <x:v>Retail Stores</x:v>
      </x:c>
      <x:c r="C117" s="107" t="n">
        <x:v>17.85337263</x:v>
      </x:c>
      <x:c r="D117" s="107" t="n">
        <x:v>0.1075</x:v>
      </x:c>
      <x:c r="E117" s="107" t="n">
        <x:v>0</x:v>
      </x:c>
      <x:c r="F117" s="107" t="n">
        <x:v>7.1701912000000005</x:v>
      </x:c>
      <x:c r="G117" s="107" t="n">
        <x:v>35.06495142</x:v>
      </x:c>
      <x:c r="H117" s="107" t="n">
        <x:v>0</x:v>
      </x:c>
      <x:c r="I117" s="107" t="n">
        <x:v>17.211578790000004</x:v>
      </x:c>
      <x:c r="J117" s="107" t="n">
        <x:v>10.041387590000003</x:v>
      </x:c>
      <x:c r="K117" s="107" t="n">
        <x:v>9.933887590000003</x:v>
      </x:c>
      <x:c r="L117" s="107" t="n">
        <x:v>9.933887590000003</x:v>
      </x:c>
      <x:c r="M117" s="107" t="n">
        <x:v>9.933887590000003</x:v>
      </x:c>
      <x:c r="N117" s="108" t="n">
        <x:v>0.4908484995129077</x:v>
      </x:c>
      <x:c r="O117" s="108" t="n">
        <x:v>0.2863653643698675</x:v>
      </x:c>
      <x:c r="P117" s="108" t="n">
        <x:v>0.2832996250590557</x:v>
      </x:c>
      <x:c r="Q117" s="9" t="str">
        <x:v>Actual</x:v>
      </x:c>
      <x:c r="R117" s="9" t="n">
        <x:v>2024</x:v>
      </x:c>
      <x:c r="S117" s="9" t="str">
        <x:v>2024-11</x:v>
      </x:c>
    </x:row>
    <x:row r="118" ht="17" customHeight="1">
      <x:c r="A118" s="9" t="str">
        <x:v>2024-11-01</x:v>
      </x:c>
      <x:c r="B118" s="9" t="str">
        <x:v>Shared Services</x:v>
      </x:c>
      <x:c r="C118" s="107" t="n">
        <x:v>0</x:v>
      </x:c>
      <x:c r="D118" s="107" t="n">
        <x:v>0.646875</x:v>
      </x:c>
      <x:c r="E118" s="107" t="n">
        <x:v>0.4452</x:v>
      </x:c>
      <x:c r="F118" s="107" t="n">
        <x:v>28.4014713</x:v>
      </x:c>
      <x:c r="G118" s="107" t="n">
        <x:v>0</x:v>
      </x:c>
      <x:c r="H118" s="107" t="n">
        <x:v>3.76625391</x:v>
      </x:c>
      <x:c r="I118" s="107" t="n">
        <x:v>0</x:v>
      </x:c>
      <x:c r="J118" s="107" t="n">
        <x:v>-28.4014713</x:v>
      </x:c>
      <x:c r="K118" s="107" t="n">
        <x:v>-29.048346300000002</x:v>
      </x:c>
      <x:c r="L118" s="107" t="n">
        <x:v>-29.493546300000002</x:v>
      </x:c>
      <x:c r="M118" s="107" t="n">
        <x:v>-33.25980021</x:v>
      </x:c>
      <x:c r="N118" s="108"/>
      <x:c r="O118" s="108"/>
      <x:c r="P118" s="108"/>
      <x:c r="Q118" s="9" t="str">
        <x:v>Actual</x:v>
      </x:c>
      <x:c r="R118" s="9" t="n">
        <x:v>2024</x:v>
      </x:c>
      <x:c r="S118" s="9" t="str">
        <x:v>2024-11</x:v>
      </x:c>
    </x:row>
    <x:row r="119" ht="17" customHeight="1">
      <x:c r="A119" s="9" t="str">
        <x:v>2024-11-01</x:v>
      </x:c>
      <x:c r="B119" s="9" t="str">
        <x:v>Subscription Services</x:v>
      </x:c>
      <x:c r="C119" s="107" t="n">
        <x:v>1.6109914</x:v>
      </x:c>
      <x:c r="D119" s="107" t="n">
        <x:v>0</x:v>
      </x:c>
      <x:c r="E119" s="107" t="n">
        <x:v>0</x:v>
      </x:c>
      <x:c r="F119" s="107" t="n">
        <x:v>2.86401364</x:v>
      </x:c>
      <x:c r="G119" s="107" t="n">
        <x:v>6.35196655</x:v>
      </x:c>
      <x:c r="H119" s="107" t="n">
        <x:v>0</x:v>
      </x:c>
      <x:c r="I119" s="107" t="n">
        <x:v>4.74097515</x:v>
      </x:c>
      <x:c r="J119" s="107" t="n">
        <x:v>1.8769615099999992</x:v>
      </x:c>
      <x:c r="K119" s="107" t="n">
        <x:v>1.8769615099999992</x:v>
      </x:c>
      <x:c r="L119" s="107" t="n">
        <x:v>1.8769615099999992</x:v>
      </x:c>
      <x:c r="M119" s="107" t="n">
        <x:v>1.8769615099999992</x:v>
      </x:c>
      <x:c r="N119" s="108" t="n">
        <x:v>0.7463791115209824</x:v>
      </x:c>
      <x:c r="O119" s="108" t="n">
        <x:v>0.2954929776826358</x:v>
      </x:c>
      <x:c r="P119" s="108" t="n">
        <x:v>0.2954929776826358</x:v>
      </x:c>
      <x:c r="Q119" s="9" t="str">
        <x:v>Actual</x:v>
      </x:c>
      <x:c r="R119" s="9" t="n">
        <x:v>2024</x:v>
      </x:c>
      <x:c r="S119" s="9" t="str">
        <x:v>2024-11</x:v>
      </x:c>
    </x:row>
    <x:row r="120" ht="17" customHeight="1">
      <x:c r="A120" s="9" t="str">
        <x:v>2024-11-01</x:v>
      </x:c>
      <x:c r="B120" s="9" t="str">
        <x:v>Wholesale</x:v>
      </x:c>
      <x:c r="C120" s="107" t="n">
        <x:v>18.614257100000003</x:v>
      </x:c>
      <x:c r="D120" s="107" t="n">
        <x:v>0</x:v>
      </x:c>
      <x:c r="E120" s="107" t="n">
        <x:v>0</x:v>
      </x:c>
      <x:c r="F120" s="107" t="n">
        <x:v>3.5701999100000004</x:v>
      </x:c>
      <x:c r="G120" s="107" t="n">
        <x:v>30.523113629999997</x:v>
      </x:c>
      <x:c r="H120" s="107" t="n">
        <x:v>0</x:v>
      </x:c>
      <x:c r="I120" s="107" t="n">
        <x:v>11.908856529999998</x:v>
      </x:c>
      <x:c r="J120" s="107" t="n">
        <x:v>8.338656619999997</x:v>
      </x:c>
      <x:c r="K120" s="107" t="n">
        <x:v>8.338656619999997</x:v>
      </x:c>
      <x:c r="L120" s="107" t="n">
        <x:v>8.338656619999997</x:v>
      </x:c>
      <x:c r="M120" s="107" t="n">
        <x:v>8.338656619999997</x:v>
      </x:c>
      <x:c r="N120" s="108" t="n">
        <x:v>0.390158640902717</x:v>
      </x:c>
      <x:c r="O120" s="108" t="n">
        <x:v>0.2731915466122123</x:v>
      </x:c>
      <x:c r="P120" s="108" t="n">
        <x:v>0.2731915466122123</x:v>
      </x:c>
      <x:c r="Q120" s="9" t="str">
        <x:v>Actual</x:v>
      </x:c>
      <x:c r="R120" s="9" t="n">
        <x:v>2024</x:v>
      </x:c>
      <x:c r="S120" s="9" t="str">
        <x:v>2024-11</x:v>
      </x:c>
    </x:row>
    <x:row r="121" ht="17" customHeight="1">
      <x:c r="A121" s="9" t="str">
        <x:v>2024-12-01</x:v>
      </x:c>
      <x:c r="B121" s="9" t="str">
        <x:v>Digital Commerce</x:v>
      </x:c>
      <x:c r="C121" s="107" t="n">
        <x:v>32.21196531</x:v>
      </x:c>
      <x:c r="D121" s="107" t="n">
        <x:v>0</x:v>
      </x:c>
      <x:c r="E121" s="107" t="n">
        <x:v>0</x:v>
      </x:c>
      <x:c r="F121" s="107" t="n">
        <x:v>10.25588077</x:v>
      </x:c>
      <x:c r="G121" s="107" t="n">
        <x:v>70.09826403</x:v>
      </x:c>
      <x:c r="H121" s="107" t="n">
        <x:v>0</x:v>
      </x:c>
      <x:c r="I121" s="107" t="n">
        <x:v>37.88629872</x:v>
      </x:c>
      <x:c r="J121" s="107" t="n">
        <x:v>27.63041795</x:v>
      </x:c>
      <x:c r="K121" s="107" t="n">
        <x:v>27.63041795</x:v>
      </x:c>
      <x:c r="L121" s="107" t="n">
        <x:v>27.63041795</x:v>
      </x:c>
      <x:c r="M121" s="107" t="n">
        <x:v>27.63041795</x:v>
      </x:c>
      <x:c r="N121" s="108" t="n">
        <x:v>0.5404741364748459</x:v>
      </x:c>
      <x:c r="O121" s="108" t="n">
        <x:v>0.3941669359768309</x:v>
      </x:c>
      <x:c r="P121" s="108" t="n">
        <x:v>0.3941669359768309</x:v>
      </x:c>
      <x:c r="Q121" s="9" t="str">
        <x:v>Actual</x:v>
      </x:c>
      <x:c r="R121" s="9" t="n">
        <x:v>2024</x:v>
      </x:c>
      <x:c r="S121" s="9" t="str">
        <x:v>2024-12</x:v>
      </x:c>
    </x:row>
    <x:row r="122" ht="17" customHeight="1">
      <x:c r="A122" s="9" t="str">
        <x:v>2024-12-01</x:v>
      </x:c>
      <x:c r="B122" s="9" t="str">
        <x:v>Retail Stores</x:v>
      </x:c>
      <x:c r="C122" s="107" t="n">
        <x:v>22.114443039999998</x:v>
      </x:c>
      <x:c r="D122" s="107" t="n">
        <x:v>0.1075</x:v>
      </x:c>
      <x:c r="E122" s="107" t="n">
        <x:v>0</x:v>
      </x:c>
      <x:c r="F122" s="107" t="n">
        <x:v>7.59358049</x:v>
      </x:c>
      <x:c r="G122" s="107" t="n">
        <x:v>43.436581520000004</x:v>
      </x:c>
      <x:c r="H122" s="107" t="n">
        <x:v>0</x:v>
      </x:c>
      <x:c r="I122" s="107" t="n">
        <x:v>21.322138480000003</x:v>
      </x:c>
      <x:c r="J122" s="107" t="n">
        <x:v>13.728557990000004</x:v>
      </x:c>
      <x:c r="K122" s="107" t="n">
        <x:v>13.621057990000004</x:v>
      </x:c>
      <x:c r="L122" s="107" t="n">
        <x:v>13.621057990000004</x:v>
      </x:c>
      <x:c r="M122" s="107" t="n">
        <x:v>13.621057990000004</x:v>
      </x:c>
      <x:c r="N122" s="108" t="n">
        <x:v>0.49087975466445044</x:v>
      </x:c>
      <x:c r="O122" s="108" t="n">
        <x:v>0.316059816624354</x:v>
      </x:c>
      <x:c r="P122" s="108" t="n">
        <x:v>0.3135849441496289</x:v>
      </x:c>
      <x:c r="Q122" s="9" t="str">
        <x:v>Actual</x:v>
      </x:c>
      <x:c r="R122" s="9" t="n">
        <x:v>2024</x:v>
      </x:c>
      <x:c r="S122" s="9" t="str">
        <x:v>2024-12</x:v>
      </x:c>
    </x:row>
    <x:row r="123" ht="17" customHeight="1">
      <x:c r="A123" s="9" t="str">
        <x:v>2024-12-01</x:v>
      </x:c>
      <x:c r="B123" s="9" t="str">
        <x:v>Shared Services</x:v>
      </x:c>
      <x:c r="C123" s="107" t="n">
        <x:v>0</x:v>
      </x:c>
      <x:c r="D123" s="107" t="n">
        <x:v>0.646875</x:v>
      </x:c>
      <x:c r="E123" s="107" t="n">
        <x:v>0.4452</x:v>
      </x:c>
      <x:c r="F123" s="107" t="n">
        <x:v>29.011532640000002</x:v>
      </x:c>
      <x:c r="G123" s="107" t="n">
        <x:v>0</x:v>
      </x:c>
      <x:c r="H123" s="107" t="n">
        <x:v>5.198952429999999</x:v>
      </x:c>
      <x:c r="I123" s="107" t="n">
        <x:v>0</x:v>
      </x:c>
      <x:c r="J123" s="107" t="n">
        <x:v>-29.011532640000002</x:v>
      </x:c>
      <x:c r="K123" s="107" t="n">
        <x:v>-29.65840764</x:v>
      </x:c>
      <x:c r="L123" s="107" t="n">
        <x:v>-30.10360764</x:v>
      </x:c>
      <x:c r="M123" s="107" t="n">
        <x:v>-35.30256007</x:v>
      </x:c>
      <x:c r="N123" s="108"/>
      <x:c r="O123" s="108"/>
      <x:c r="P123" s="108"/>
      <x:c r="Q123" s="9" t="str">
        <x:v>Actual</x:v>
      </x:c>
      <x:c r="R123" s="9" t="n">
        <x:v>2024</x:v>
      </x:c>
      <x:c r="S123" s="9" t="str">
        <x:v>2024-12</x:v>
      </x:c>
    </x:row>
    <x:row r="124" ht="17" customHeight="1">
      <x:c r="A124" s="9" t="str">
        <x:v>2024-12-01</x:v>
      </x:c>
      <x:c r="B124" s="9" t="str">
        <x:v>Subscription Services</x:v>
      </x:c>
      <x:c r="C124" s="107" t="n">
        <x:v>1.68121205</x:v>
      </x:c>
      <x:c r="D124" s="107" t="n">
        <x:v>0</x:v>
      </x:c>
      <x:c r="E124" s="107" t="n">
        <x:v>0</x:v>
      </x:c>
      <x:c r="F124" s="107" t="n">
        <x:v>2.8695900699999997</x:v>
      </x:c>
      <x:c r="G124" s="107" t="n">
        <x:v>6.669692469999999</x:v>
      </x:c>
      <x:c r="H124" s="107" t="n">
        <x:v>0</x:v>
      </x:c>
      <x:c r="I124" s="107" t="n">
        <x:v>4.98848042</x:v>
      </x:c>
      <x:c r="J124" s="107" t="n">
        <x:v>2.11889035</x:v>
      </x:c>
      <x:c r="K124" s="107" t="n">
        <x:v>2.11889035</x:v>
      </x:c>
      <x:c r="L124" s="107" t="n">
        <x:v>2.11889035</x:v>
      </x:c>
      <x:c r="M124" s="107" t="n">
        <x:v>2.11889035</x:v>
      </x:c>
      <x:c r="N124" s="108" t="n">
        <x:v>0.7479325984575718</x:v>
      </x:c>
      <x:c r="O124" s="108" t="n">
        <x:v>0.31768936267012027</x:v>
      </x:c>
      <x:c r="P124" s="108" t="n">
        <x:v>0.31768936267012027</x:v>
      </x:c>
      <x:c r="Q124" s="9" t="str">
        <x:v>Actual</x:v>
      </x:c>
      <x:c r="R124" s="9" t="n">
        <x:v>2024</x:v>
      </x:c>
      <x:c r="S124" s="9" t="str">
        <x:v>2024-12</x:v>
      </x:c>
    </x:row>
    <x:row r="125" ht="17" customHeight="1">
      <x:c r="A125" s="9" t="str">
        <x:v>2024-12-01</x:v>
      </x:c>
      <x:c r="B125" s="9" t="str">
        <x:v>Wholesale</x:v>
      </x:c>
      <x:c r="C125" s="107" t="n">
        <x:v>16.69044437</x:v>
      </x:c>
      <x:c r="D125" s="107" t="n">
        <x:v>0</x:v>
      </x:c>
      <x:c r="E125" s="107" t="n">
        <x:v>0</x:v>
      </x:c>
      <x:c r="F125" s="107" t="n">
        <x:v>3.58027844</x:v>
      </x:c>
      <x:c r="G125" s="107" t="n">
        <x:v>27.79977389</x:v>
      </x:c>
      <x:c r="H125" s="107" t="n">
        <x:v>0</x:v>
      </x:c>
      <x:c r="I125" s="107" t="n">
        <x:v>11.10932952</x:v>
      </x:c>
      <x:c r="J125" s="107" t="n">
        <x:v>7.52905108</x:v>
      </x:c>
      <x:c r="K125" s="107" t="n">
        <x:v>7.52905108</x:v>
      </x:c>
      <x:c r="L125" s="107" t="n">
        <x:v>7.52905108</x:v>
      </x:c>
      <x:c r="M125" s="107" t="n">
        <x:v>7.52905108</x:v>
      </x:c>
      <x:c r="N125" s="108" t="n">
        <x:v>0.39961942007003853</x:v>
      </x:c>
      <x:c r="O125" s="108" t="n">
        <x:v>0.27083137833391924</x:v>
      </x:c>
      <x:c r="P125" s="108" t="n">
        <x:v>0.27083137833391924</x:v>
      </x:c>
      <x:c r="Q125" s="9" t="str">
        <x:v>Actual</x:v>
      </x:c>
      <x:c r="R125" s="9" t="n">
        <x:v>2024</x:v>
      </x:c>
      <x:c r="S125" s="9" t="str">
        <x:v>2024-12</x:v>
      </x:c>
    </x:row>
    <x:row r="126" ht="17" customHeight="1">
      <x:c r="A126" s="9" t="str">
        <x:v>2025-01-01</x:v>
      </x:c>
      <x:c r="B126" s="9" t="str">
        <x:v>Digital Commerce</x:v>
      </x:c>
      <x:c r="C126" s="107" t="n">
        <x:v>21.031999289999998</x:v>
      </x:c>
      <x:c r="D126" s="107" t="n">
        <x:v>0</x:v>
      </x:c>
      <x:c r="E126" s="107" t="n">
        <x:v>0</x:v>
      </x:c>
      <x:c r="F126" s="107" t="n">
        <x:v>8.41741776</x:v>
      </x:c>
      <x:c r="G126" s="107" t="n">
        <x:v>46.07468731</x:v>
      </x:c>
      <x:c r="H126" s="107" t="n">
        <x:v>0</x:v>
      </x:c>
      <x:c r="I126" s="107" t="n">
        <x:v>25.042688020000003</x:v>
      </x:c>
      <x:c r="J126" s="107" t="n">
        <x:v>16.625270260000004</x:v>
      </x:c>
      <x:c r="K126" s="107" t="n">
        <x:v>16.625270260000004</x:v>
      </x:c>
      <x:c r="L126" s="107" t="n">
        <x:v>16.625270260000004</x:v>
      </x:c>
      <x:c r="M126" s="107" t="n">
        <x:v>16.625270260000004</x:v>
      </x:c>
      <x:c r="N126" s="108" t="n">
        <x:v>0.543523775896896</x:v>
      </x:c>
      <x:c r="O126" s="108" t="n">
        <x:v>0.36083305673116683</x:v>
      </x:c>
      <x:c r="P126" s="108" t="n">
        <x:v>0.36083305673116683</x:v>
      </x:c>
      <x:c r="Q126" s="9" t="str">
        <x:v>Actual</x:v>
      </x:c>
      <x:c r="R126" s="9" t="n">
        <x:v>2025</x:v>
      </x:c>
      <x:c r="S126" s="9" t="str">
        <x:v>2025-01</x:v>
      </x:c>
    </x:row>
    <x:row r="127" ht="17" customHeight="1">
      <x:c r="A127" s="9" t="str">
        <x:v>2025-01-01</x:v>
      </x:c>
      <x:c r="B127" s="9" t="str">
        <x:v>Retail Stores</x:v>
      </x:c>
      <x:c r="C127" s="107" t="n">
        <x:v>14.21643609</x:v>
      </x:c>
      <x:c r="D127" s="107" t="n">
        <x:v>0.1075</x:v>
      </x:c>
      <x:c r="E127" s="107" t="n">
        <x:v>0</x:v>
      </x:c>
      <x:c r="F127" s="107" t="n">
        <x:v>6.89532711</x:v>
      </x:c>
      <x:c r="G127" s="107" t="n">
        <x:v>27.96804439</x:v>
      </x:c>
      <x:c r="H127" s="107" t="n">
        <x:v>0</x:v>
      </x:c>
      <x:c r="I127" s="107" t="n">
        <x:v>13.751608300000001</x:v>
      </x:c>
      <x:c r="J127" s="107" t="n">
        <x:v>6.856281190000001</x:v>
      </x:c>
      <x:c r="K127" s="107" t="n">
        <x:v>6.748781190000001</x:v>
      </x:c>
      <x:c r="L127" s="107" t="n">
        <x:v>6.748781190000001</x:v>
      </x:c>
      <x:c r="M127" s="107" t="n">
        <x:v>6.748781190000001</x:v>
      </x:c>
      <x:c r="N127" s="108" t="n">
        <x:v>0.4916900198040626</x:v>
      </x:c>
      <x:c r="O127" s="108" t="n">
        <x:v>0.2451469646712757</x:v>
      </x:c>
      <x:c r="P127" s="108" t="n">
        <x:v>0.24130329228213873</x:v>
      </x:c>
      <x:c r="Q127" s="9" t="str">
        <x:v>Actual</x:v>
      </x:c>
      <x:c r="R127" s="9" t="n">
        <x:v>2025</x:v>
      </x:c>
      <x:c r="S127" s="9" t="str">
        <x:v>2025-01</x:v>
      </x:c>
    </x:row>
    <x:row r="128" ht="17" customHeight="1">
      <x:c r="A128" s="9" t="str">
        <x:v>2025-01-01</x:v>
      </x:c>
      <x:c r="B128" s="9" t="str">
        <x:v>Shared Services</x:v>
      </x:c>
      <x:c r="C128" s="107" t="n">
        <x:v>0</x:v>
      </x:c>
      <x:c r="D128" s="107" t="n">
        <x:v>0.646875</x:v>
      </x:c>
      <x:c r="E128" s="107" t="n">
        <x:v>0.471912</x:v>
      </x:c>
      <x:c r="F128" s="107" t="n">
        <x:v>29.83121869</x:v>
      </x:c>
      <x:c r="G128" s="107" t="n">
        <x:v>0</x:v>
      </x:c>
      <x:c r="H128" s="107" t="n">
        <x:v>0.41991926</x:v>
      </x:c>
      <x:c r="I128" s="107" t="n">
        <x:v>0</x:v>
      </x:c>
      <x:c r="J128" s="107" t="n">
        <x:v>-29.83121869</x:v>
      </x:c>
      <x:c r="K128" s="107" t="n">
        <x:v>-30.47809369</x:v>
      </x:c>
      <x:c r="L128" s="107" t="n">
        <x:v>-30.95000569</x:v>
      </x:c>
      <x:c r="M128" s="107" t="n">
        <x:v>-31.36992495</x:v>
      </x:c>
      <x:c r="N128" s="108"/>
      <x:c r="O128" s="108"/>
      <x:c r="P128" s="108"/>
      <x:c r="Q128" s="9" t="str">
        <x:v>Actual</x:v>
      </x:c>
      <x:c r="R128" s="9" t="n">
        <x:v>2025</x:v>
      </x:c>
      <x:c r="S128" s="9" t="str">
        <x:v>2025-01</x:v>
      </x:c>
    </x:row>
    <x:row r="129" ht="17" customHeight="1">
      <x:c r="A129" s="9" t="str">
        <x:v>2025-01-01</x:v>
      </x:c>
      <x:c r="B129" s="9" t="str">
        <x:v>Subscription Services</x:v>
      </x:c>
      <x:c r="C129" s="107" t="n">
        <x:v>1.56651254</x:v>
      </x:c>
      <x:c r="D129" s="107" t="n">
        <x:v>0</x:v>
      </x:c>
      <x:c r="E129" s="107" t="n">
        <x:v>0</x:v>
      </x:c>
      <x:c r="F129" s="107" t="n">
        <x:v>2.91815898</x:v>
      </x:c>
      <x:c r="G129" s="107" t="n">
        <x:v>6.1516091500000005</x:v>
      </x:c>
      <x:c r="H129" s="107" t="n">
        <x:v>0</x:v>
      </x:c>
      <x:c r="I129" s="107" t="n">
        <x:v>4.58509661</x:v>
      </x:c>
      <x:c r="J129" s="107" t="n">
        <x:v>1.6669376300000003</x:v>
      </x:c>
      <x:c r="K129" s="107" t="n">
        <x:v>1.6669376300000003</x:v>
      </x:c>
      <x:c r="L129" s="107" t="n">
        <x:v>1.6669376300000003</x:v>
      </x:c>
      <x:c r="M129" s="107" t="n">
        <x:v>1.6669376300000003</x:v>
      </x:c>
      <x:c r="N129" s="108" t="n">
        <x:v>0.7453491433213049</x:v>
      </x:c>
      <x:c r="O129" s="108" t="n">
        <x:v>0.2709758681596343</x:v>
      </x:c>
      <x:c r="P129" s="108" t="n">
        <x:v>0.2709758681596343</x:v>
      </x:c>
      <x:c r="Q129" s="9" t="str">
        <x:v>Actual</x:v>
      </x:c>
      <x:c r="R129" s="9" t="n">
        <x:v>2025</x:v>
      </x:c>
      <x:c r="S129" s="9" t="str">
        <x:v>2025-01</x:v>
      </x:c>
    </x:row>
    <x:row r="130" ht="17" customHeight="1">
      <x:c r="A130" s="9" t="str">
        <x:v>2025-01-01</x:v>
      </x:c>
      <x:c r="B130" s="9" t="str">
        <x:v>Wholesale</x:v>
      </x:c>
      <x:c r="C130" s="107" t="n">
        <x:v>16.75019535</x:v>
      </x:c>
      <x:c r="D130" s="107" t="n">
        <x:v>0</x:v>
      </x:c>
      <x:c r="E130" s="107" t="n">
        <x:v>0</x:v>
      </x:c>
      <x:c r="F130" s="107" t="n">
        <x:v>3.5368124</x:v>
      </x:c>
      <x:c r="G130" s="107" t="n">
        <x:v>27.875701380000002</x:v>
      </x:c>
      <x:c r="H130" s="107" t="n">
        <x:v>0</x:v>
      </x:c>
      <x:c r="I130" s="107" t="n">
        <x:v>11.125506030000004</x:v>
      </x:c>
      <x:c r="J130" s="107" t="n">
        <x:v>7.5886936300000025</x:v>
      </x:c>
      <x:c r="K130" s="107" t="n">
        <x:v>7.5886936300000025</x:v>
      </x:c>
      <x:c r="L130" s="107" t="n">
        <x:v>7.5886936300000025</x:v>
      </x:c>
      <x:c r="M130" s="107" t="n">
        <x:v>7.5886936300000025</x:v>
      </x:c>
      <x:c r="N130" s="108" t="n">
        <x:v>0.39911125027269184</x:v>
      </x:c>
      <x:c r="O130" s="108" t="n">
        <x:v>0.27223328039540085</x:v>
      </x:c>
      <x:c r="P130" s="108" t="n">
        <x:v>0.27223328039540085</x:v>
      </x:c>
      <x:c r="Q130" s="9" t="str">
        <x:v>Actual</x:v>
      </x:c>
      <x:c r="R130" s="9" t="n">
        <x:v>2025</x:v>
      </x:c>
      <x:c r="S130" s="9" t="str">
        <x:v>2025-01</x:v>
      </x:c>
    </x:row>
    <x:row r="131" ht="17" customHeight="1">
      <x:c r="A131" s="9" t="str">
        <x:v>2025-02-01</x:v>
      </x:c>
      <x:c r="B131" s="9" t="str">
        <x:v>Digital Commerce</x:v>
      </x:c>
      <x:c r="C131" s="107" t="n">
        <x:v>21.55762047</x:v>
      </x:c>
      <x:c r="D131" s="107" t="n">
        <x:v>0</x:v>
      </x:c>
      <x:c r="E131" s="107" t="n">
        <x:v>0</x:v>
      </x:c>
      <x:c r="F131" s="107" t="n">
        <x:v>8.48947208</x:v>
      </x:c>
      <x:c r="G131" s="107" t="n">
        <x:v>47.1178442</x:v>
      </x:c>
      <x:c r="H131" s="107" t="n">
        <x:v>0</x:v>
      </x:c>
      <x:c r="I131" s="107" t="n">
        <x:v>25.560223730000004</x:v>
      </x:c>
      <x:c r="J131" s="107" t="n">
        <x:v>17.070751650000005</x:v>
      </x:c>
      <x:c r="K131" s="107" t="n">
        <x:v>17.070751650000005</x:v>
      </x:c>
      <x:c r="L131" s="107" t="n">
        <x:v>17.070751650000005</x:v>
      </x:c>
      <x:c r="M131" s="107" t="n">
        <x:v>17.070751650000005</x:v>
      </x:c>
      <x:c r="N131" s="108" t="n">
        <x:v>0.5424743887157724</x:v>
      </x:c>
      <x:c r="O131" s="108" t="n">
        <x:v>0.3622990809498879</x:v>
      </x:c>
      <x:c r="P131" s="108" t="n">
        <x:v>0.3622990809498879</x:v>
      </x:c>
      <x:c r="Q131" s="9" t="str">
        <x:v>Actual</x:v>
      </x:c>
      <x:c r="R131" s="9" t="n">
        <x:v>2025</x:v>
      </x:c>
      <x:c r="S131" s="9" t="str">
        <x:v>2025-02</x:v>
      </x:c>
    </x:row>
    <x:row r="132" ht="17" customHeight="1">
      <x:c r="A132" s="9" t="str">
        <x:v>2025-02-01</x:v>
      </x:c>
      <x:c r="B132" s="9" t="str">
        <x:v>Retail Stores</x:v>
      </x:c>
      <x:c r="C132" s="107" t="n">
        <x:v>14.89065023</x:v>
      </x:c>
      <x:c r="D132" s="107" t="n">
        <x:v>0.1075</x:v>
      </x:c>
      <x:c r="E132" s="107" t="n">
        <x:v>0</x:v>
      </x:c>
      <x:c r="F132" s="107" t="n">
        <x:v>7.032375899999999</x:v>
      </x:c>
      <x:c r="G132" s="107" t="n">
        <x:v>29.02519218</x:v>
      </x:c>
      <x:c r="H132" s="107" t="n">
        <x:v>0</x:v>
      </x:c>
      <x:c r="I132" s="107" t="n">
        <x:v>14.13454195</x:v>
      </x:c>
      <x:c r="J132" s="107" t="n">
        <x:v>7.10216605</x:v>
      </x:c>
      <x:c r="K132" s="107" t="n">
        <x:v>6.99466605</x:v>
      </x:c>
      <x:c r="L132" s="107" t="n">
        <x:v>6.99466605</x:v>
      </x:c>
      <x:c r="M132" s="107" t="n">
        <x:v>6.99466605</x:v>
      </x:c>
      <x:c r="N132" s="108" t="n">
        <x:v>0.48697496513871485</x:v>
      </x:c>
      <x:c r="O132" s="108" t="n">
        <x:v>0.24468971664186928</x:v>
      </x:c>
      <x:c r="P132" s="108" t="n">
        <x:v>0.24098603746092406</x:v>
      </x:c>
      <x:c r="Q132" s="9" t="str">
        <x:v>Actual</x:v>
      </x:c>
      <x:c r="R132" s="9" t="n">
        <x:v>2025</x:v>
      </x:c>
      <x:c r="S132" s="9" t="str">
        <x:v>2025-02</x:v>
      </x:c>
    </x:row>
    <x:row r="133" ht="17" customHeight="1">
      <x:c r="A133" s="9" t="str">
        <x:v>2025-02-01</x:v>
      </x:c>
      <x:c r="B133" s="9" t="str">
        <x:v>Shared Services</x:v>
      </x:c>
      <x:c r="C133" s="107" t="n">
        <x:v>0</x:v>
      </x:c>
      <x:c r="D133" s="107" t="n">
        <x:v>0.646875</x:v>
      </x:c>
      <x:c r="E133" s="107" t="n">
        <x:v>0.471912</x:v>
      </x:c>
      <x:c r="F133" s="107" t="n">
        <x:v>30.03622839</x:v>
      </x:c>
      <x:c r="G133" s="107" t="n">
        <x:v>0</x:v>
      </x:c>
      <x:c r="H133" s="107" t="n">
        <x:v>0.63061741</x:v>
      </x:c>
      <x:c r="I133" s="107" t="n">
        <x:v>0</x:v>
      </x:c>
      <x:c r="J133" s="107" t="n">
        <x:v>-30.03622839</x:v>
      </x:c>
      <x:c r="K133" s="107" t="n">
        <x:v>-30.68310339</x:v>
      </x:c>
      <x:c r="L133" s="107" t="n">
        <x:v>-31.15501539</x:v>
      </x:c>
      <x:c r="M133" s="107" t="n">
        <x:v>-31.785632800000002</x:v>
      </x:c>
      <x:c r="N133" s="108"/>
      <x:c r="O133" s="108"/>
      <x:c r="P133" s="108"/>
      <x:c r="Q133" s="9" t="str">
        <x:v>Actual</x:v>
      </x:c>
      <x:c r="R133" s="9" t="n">
        <x:v>2025</x:v>
      </x:c>
      <x:c r="S133" s="9" t="str">
        <x:v>2025-02</x:v>
      </x:c>
    </x:row>
    <x:row r="134" ht="17" customHeight="1">
      <x:c r="A134" s="9" t="str">
        <x:v>2025-02-01</x:v>
      </x:c>
      <x:c r="B134" s="9" t="str">
        <x:v>Subscription Services</x:v>
      </x:c>
      <x:c r="C134" s="107" t="n">
        <x:v>1.58353685</x:v>
      </x:c>
      <x:c r="D134" s="107" t="n">
        <x:v>0</x:v>
      </x:c>
      <x:c r="E134" s="107" t="n">
        <x:v>0</x:v>
      </x:c>
      <x:c r="F134" s="107" t="n">
        <x:v>3.0678254</x:v>
      </x:c>
      <x:c r="G134" s="107" t="n">
        <x:v>6.25730892</x:v>
      </x:c>
      <x:c r="H134" s="107" t="n">
        <x:v>0</x:v>
      </x:c>
      <x:c r="I134" s="107" t="n">
        <x:v>4.67377207</x:v>
      </x:c>
      <x:c r="J134" s="107" t="n">
        <x:v>1.6059466700000005</x:v>
      </x:c>
      <x:c r="K134" s="107" t="n">
        <x:v>1.6059466700000005</x:v>
      </x:c>
      <x:c r="L134" s="107" t="n">
        <x:v>1.6059466700000005</x:v>
      </x:c>
      <x:c r="M134" s="107" t="n">
        <x:v>1.6059466700000005</x:v>
      </x:c>
      <x:c r="N134" s="108" t="n">
        <x:v>0.7469300508820013</x:v>
      </x:c>
      <x:c r="O134" s="108" t="n">
        <x:v>0.2566513321512661</x:v>
      </x:c>
      <x:c r="P134" s="108" t="n">
        <x:v>0.2566513321512661</x:v>
      </x:c>
      <x:c r="Q134" s="9" t="str">
        <x:v>Actual</x:v>
      </x:c>
      <x:c r="R134" s="9" t="n">
        <x:v>2025</x:v>
      </x:c>
      <x:c r="S134" s="9" t="str">
        <x:v>2025-02</x:v>
      </x:c>
    </x:row>
    <x:row r="135" ht="17" customHeight="1">
      <x:c r="A135" s="9" t="str">
        <x:v>2025-02-01</x:v>
      </x:c>
      <x:c r="B135" s="9" t="str">
        <x:v>Wholesale</x:v>
      </x:c>
      <x:c r="C135" s="107" t="n">
        <x:v>18.11372732</x:v>
      </x:c>
      <x:c r="D135" s="107" t="n">
        <x:v>0</x:v>
      </x:c>
      <x:c r="E135" s="107" t="n">
        <x:v>0</x:v>
      </x:c>
      <x:c r="F135" s="107" t="n">
        <x:v>3.6630070499999996</x:v>
      </x:c>
      <x:c r="G135" s="107" t="n">
        <x:v>29.782855039999998</x:v>
      </x:c>
      <x:c r="H135" s="107" t="n">
        <x:v>0</x:v>
      </x:c>
      <x:c r="I135" s="107" t="n">
        <x:v>11.669127719999999</x:v>
      </x:c>
      <x:c r="J135" s="107" t="n">
        <x:v>8.00612067</x:v>
      </x:c>
      <x:c r="K135" s="107" t="n">
        <x:v>8.00612067</x:v>
      </x:c>
      <x:c r="L135" s="107" t="n">
        <x:v>8.00612067</x:v>
      </x:c>
      <x:c r="M135" s="107" t="n">
        <x:v>8.00612067</x:v>
      </x:c>
      <x:c r="N135" s="108" t="n">
        <x:v>0.39180688702704036</x:v>
      </x:c>
      <x:c r="O135" s="108" t="n">
        <x:v>0.2688164267410677</x:v>
      </x:c>
      <x:c r="P135" s="108" t="n">
        <x:v>0.2688164267410677</x:v>
      </x:c>
      <x:c r="Q135" s="9" t="str">
        <x:v>Actual</x:v>
      </x:c>
      <x:c r="R135" s="9" t="n">
        <x:v>2025</x:v>
      </x:c>
      <x:c r="S135" s="9" t="str">
        <x:v>2025-02</x:v>
      </x:c>
    </x:row>
    <x:row r="136" ht="17" customHeight="1">
      <x:c r="A136" s="9" t="str">
        <x:v>2025-03-01</x:v>
      </x:c>
      <x:c r="B136" s="9" t="str">
        <x:v>Digital Commerce</x:v>
      </x:c>
      <x:c r="C136" s="107" t="n">
        <x:v>24.573277179999998</x:v>
      </x:c>
      <x:c r="D136" s="107" t="n">
        <x:v>0</x:v>
      </x:c>
      <x:c r="E136" s="107" t="n">
        <x:v>0</x:v>
      </x:c>
      <x:c r="F136" s="107" t="n">
        <x:v>8.90720081</x:v>
      </x:c>
      <x:c r="G136" s="107" t="n">
        <x:v>53.373456950000005</x:v>
      </x:c>
      <x:c r="H136" s="107" t="n">
        <x:v>0</x:v>
      </x:c>
      <x:c r="I136" s="107" t="n">
        <x:v>28.800179770000003</x:v>
      </x:c>
      <x:c r="J136" s="107" t="n">
        <x:v>19.89297896</x:v>
      </x:c>
      <x:c r="K136" s="107" t="n">
        <x:v>19.89297896</x:v>
      </x:c>
      <x:c r="L136" s="107" t="n">
        <x:v>19.89297896</x:v>
      </x:c>
      <x:c r="M136" s="107" t="n">
        <x:v>19.89297896</x:v>
      </x:c>
      <x:c r="N136" s="108" t="n">
        <x:v>0.539597421935399</x:v>
      </x:c>
      <x:c r="O136" s="108" t="n">
        <x:v>0.37271295690357187</x:v>
      </x:c>
      <x:c r="P136" s="108" t="n">
        <x:v>0.37271295690357187</x:v>
      </x:c>
      <x:c r="Q136" s="9" t="str">
        <x:v>Actual</x:v>
      </x:c>
      <x:c r="R136" s="9" t="n">
        <x:v>2025</x:v>
      </x:c>
      <x:c r="S136" s="9" t="str">
        <x:v>2025-03</x:v>
      </x:c>
    </x:row>
    <x:row r="137" ht="17" customHeight="1">
      <x:c r="A137" s="9" t="str">
        <x:v>2025-03-01</x:v>
      </x:c>
      <x:c r="B137" s="9" t="str">
        <x:v>Retail Stores</x:v>
      </x:c>
      <x:c r="C137" s="107" t="n">
        <x:v>17.019328390000002</x:v>
      </x:c>
      <x:c r="D137" s="107" t="n">
        <x:v>0.1075</x:v>
      </x:c>
      <x:c r="E137" s="107" t="n">
        <x:v>0</x:v>
      </x:c>
      <x:c r="F137" s="107" t="n">
        <x:v>7.271080050000001</x:v>
      </x:c>
      <x:c r="G137" s="107" t="n">
        <x:v>33.24479169</x:v>
      </x:c>
      <x:c r="H137" s="107" t="n">
        <x:v>0</x:v>
      </x:c>
      <x:c r="I137" s="107" t="n">
        <x:v>16.225463299999998</x:v>
      </x:c>
      <x:c r="J137" s="107" t="n">
        <x:v>8.954383249999996</x:v>
      </x:c>
      <x:c r="K137" s="107" t="n">
        <x:v>8.846883249999996</x:v>
      </x:c>
      <x:c r="L137" s="107" t="n">
        <x:v>8.846883249999996</x:v>
      </x:c>
      <x:c r="M137" s="107" t="n">
        <x:v>8.846883249999996</x:v>
      </x:c>
      <x:c r="N137" s="108" t="n">
        <x:v>0.4880603088537505</x:v>
      </x:c>
      <x:c r="O137" s="108" t="n">
        <x:v>0.2693469501477871</x:v>
      </x:c>
      <x:c r="P137" s="108" t="n">
        <x:v>0.26611336092868737</x:v>
      </x:c>
      <x:c r="Q137" s="9" t="str">
        <x:v>Actual</x:v>
      </x:c>
      <x:c r="R137" s="9" t="n">
        <x:v>2025</x:v>
      </x:c>
      <x:c r="S137" s="9" t="str">
        <x:v>2025-03</x:v>
      </x:c>
    </x:row>
    <x:row r="138" ht="17" customHeight="1">
      <x:c r="A138" s="9" t="str">
        <x:v>2025-03-01</x:v>
      </x:c>
      <x:c r="B138" s="9" t="str">
        <x:v>Shared Services</x:v>
      </x:c>
      <x:c r="C138" s="107" t="n">
        <x:v>0</x:v>
      </x:c>
      <x:c r="D138" s="107" t="n">
        <x:v>0.646875</x:v>
      </x:c>
      <x:c r="E138" s="107" t="n">
        <x:v>0.471912</x:v>
      </x:c>
      <x:c r="F138" s="107" t="n">
        <x:v>29.66506013</x:v>
      </x:c>
      <x:c r="G138" s="107" t="n">
        <x:v>0</x:v>
      </x:c>
      <x:c r="H138" s="107" t="n">
        <x:v>2.3545882400000004</x:v>
      </x:c>
      <x:c r="I138" s="107" t="n">
        <x:v>0</x:v>
      </x:c>
      <x:c r="J138" s="107" t="n">
        <x:v>-29.66506013</x:v>
      </x:c>
      <x:c r="K138" s="107" t="n">
        <x:v>-30.31193513</x:v>
      </x:c>
      <x:c r="L138" s="107" t="n">
        <x:v>-30.783847129999998</x:v>
      </x:c>
      <x:c r="M138" s="107" t="n">
        <x:v>-33.138435369999996</x:v>
      </x:c>
      <x:c r="N138" s="108"/>
      <x:c r="O138" s="108"/>
      <x:c r="P138" s="108"/>
      <x:c r="Q138" s="9" t="str">
        <x:v>Actual</x:v>
      </x:c>
      <x:c r="R138" s="9" t="n">
        <x:v>2025</x:v>
      </x:c>
      <x:c r="S138" s="9" t="str">
        <x:v>2025-03</x:v>
      </x:c>
    </x:row>
    <x:row r="139" ht="17" customHeight="1">
      <x:c r="A139" s="9" t="str">
        <x:v>2025-03-01</x:v>
      </x:c>
      <x:c r="B139" s="9" t="str">
        <x:v>Subscription Services</x:v>
      </x:c>
      <x:c r="C139" s="107" t="n">
        <x:v>1.68688131</x:v>
      </x:c>
      <x:c r="D139" s="107" t="n">
        <x:v>0</x:v>
      </x:c>
      <x:c r="E139" s="107" t="n">
        <x:v>0</x:v>
      </x:c>
      <x:c r="F139" s="107" t="n">
        <x:v>3.0659317799999997</x:v>
      </x:c>
      <x:c r="G139" s="107" t="n">
        <x:v>6.71385335</x:v>
      </x:c>
      <x:c r="H139" s="107" t="n">
        <x:v>0</x:v>
      </x:c>
      <x:c r="I139" s="107" t="n">
        <x:v>5.0269720399999995</x:v>
      </x:c>
      <x:c r="J139" s="107" t="n">
        <x:v>1.9610402599999992</x:v>
      </x:c>
      <x:c r="K139" s="107" t="n">
        <x:v>1.9610402599999992</x:v>
      </x:c>
      <x:c r="L139" s="107" t="n">
        <x:v>1.9610402599999992</x:v>
      </x:c>
      <x:c r="M139" s="107" t="n">
        <x:v>1.9610402599999992</x:v>
      </x:c>
      <x:c r="N139" s="108" t="n">
        <x:v>0.7487461786754694</x:v>
      </x:c>
      <x:c r="O139" s="108" t="n">
        <x:v>0.2920886349118721</x:v>
      </x:c>
      <x:c r="P139" s="108" t="n">
        <x:v>0.2920886349118721</x:v>
      </x:c>
      <x:c r="Q139" s="9" t="str">
        <x:v>Actual</x:v>
      </x:c>
      <x:c r="R139" s="9" t="n">
        <x:v>2025</x:v>
      </x:c>
      <x:c r="S139" s="9" t="str">
        <x:v>2025-03</x:v>
      </x:c>
    </x:row>
    <x:row r="140" ht="17" customHeight="1">
      <x:c r="A140" s="9" t="str">
        <x:v>2025-03-01</x:v>
      </x:c>
      <x:c r="B140" s="9" t="str">
        <x:v>Wholesale</x:v>
      </x:c>
      <x:c r="C140" s="107" t="n">
        <x:v>20.96150737</x:v>
      </x:c>
      <x:c r="D140" s="107" t="n">
        <x:v>0</x:v>
      </x:c>
      <x:c r="E140" s="107" t="n">
        <x:v>0</x:v>
      </x:c>
      <x:c r="F140" s="107" t="n">
        <x:v>3.75879301</x:v>
      </x:c>
      <x:c r="G140" s="107" t="n">
        <x:v>34.22159798</x:v>
      </x:c>
      <x:c r="H140" s="107" t="n">
        <x:v>0</x:v>
      </x:c>
      <x:c r="I140" s="107" t="n">
        <x:v>13.260090609999995</x:v>
      </x:c>
      <x:c r="J140" s="107" t="n">
        <x:v>9.501297599999996</x:v>
      </x:c>
      <x:c r="K140" s="107" t="n">
        <x:v>9.501297599999996</x:v>
      </x:c>
      <x:c r="L140" s="107" t="n">
        <x:v>9.501297599999996</x:v>
      </x:c>
      <x:c r="M140" s="107" t="n">
        <x:v>9.501297599999996</x:v>
      </x:c>
      <x:c r="N140" s="108" t="n">
        <x:v>0.3874772480744336</x:v>
      </x:c>
      <x:c r="O140" s="108" t="n">
        <x:v>0.277640383875493</x:v>
      </x:c>
      <x:c r="P140" s="108" t="n">
        <x:v>0.277640383875493</x:v>
      </x:c>
      <x:c r="Q140" s="9" t="str">
        <x:v>Actual</x:v>
      </x:c>
      <x:c r="R140" s="9" t="n">
        <x:v>2025</x:v>
      </x:c>
      <x:c r="S140" s="9" t="str">
        <x:v>2025-03</x:v>
      </x:c>
    </x:row>
    <x:row r="141" ht="17" customHeight="1">
      <x:c r="A141" s="9" t="str">
        <x:v>2025-04-01</x:v>
      </x:c>
      <x:c r="B141" s="9" t="str">
        <x:v>Digital Commerce</x:v>
      </x:c>
      <x:c r="C141" s="107" t="n">
        <x:v>24.73122582</x:v>
      </x:c>
      <x:c r="D141" s="107" t="n">
        <x:v>0</x:v>
      </x:c>
      <x:c r="E141" s="107" t="n">
        <x:v>0</x:v>
      </x:c>
      <x:c r="F141" s="107" t="n">
        <x:v>9.37697541</x:v>
      </x:c>
      <x:c r="G141" s="107" t="n">
        <x:v>54.195028719999996</x:v>
      </x:c>
      <x:c r="H141" s="107" t="n">
        <x:v>0</x:v>
      </x:c>
      <x:c r="I141" s="107" t="n">
        <x:v>29.463802899999997</x:v>
      </x:c>
      <x:c r="J141" s="107" t="n">
        <x:v>20.086827489999997</x:v>
      </x:c>
      <x:c r="K141" s="107" t="n">
        <x:v>20.086827489999997</x:v>
      </x:c>
      <x:c r="L141" s="107" t="n">
        <x:v>20.086827489999997</x:v>
      </x:c>
      <x:c r="M141" s="107" t="n">
        <x:v>20.086827489999997</x:v>
      </x:c>
      <x:c r="N141" s="108" t="n">
        <x:v>0.5436624649139958</x:v>
      </x:c>
      <x:c r="O141" s="108" t="n">
        <x:v>0.3706396687005944</x:v>
      </x:c>
      <x:c r="P141" s="108" t="n">
        <x:v>0.3706396687005944</x:v>
      </x:c>
      <x:c r="Q141" s="9" t="str">
        <x:v>Actual</x:v>
      </x:c>
      <x:c r="R141" s="9" t="n">
        <x:v>2025</x:v>
      </x:c>
      <x:c r="S141" s="9" t="str">
        <x:v>2025-04</x:v>
      </x:c>
    </x:row>
    <x:row r="142" ht="17" customHeight="1">
      <x:c r="A142" s="9" t="str">
        <x:v>2025-04-01</x:v>
      </x:c>
      <x:c r="B142" s="9" t="str">
        <x:v>Retail Stores</x:v>
      </x:c>
      <x:c r="C142" s="107" t="n">
        <x:v>17.930810920000003</x:v>
      </x:c>
      <x:c r="D142" s="107" t="n">
        <x:v>0.1075</x:v>
      </x:c>
      <x:c r="E142" s="107" t="n">
        <x:v>0</x:v>
      </x:c>
      <x:c r="F142" s="107" t="n">
        <x:v>7.60162694</x:v>
      </x:c>
      <x:c r="G142" s="107" t="n">
        <x:v>35.19126611</x:v>
      </x:c>
      <x:c r="H142" s="107" t="n">
        <x:v>0</x:v>
      </x:c>
      <x:c r="I142" s="107" t="n">
        <x:v>17.26045519</x:v>
      </x:c>
      <x:c r="J142" s="107" t="n">
        <x:v>9.658828249999996</x:v>
      </x:c>
      <x:c r="K142" s="107" t="n">
        <x:v>9.551328249999996</x:v>
      </x:c>
      <x:c r="L142" s="107" t="n">
        <x:v>9.551328249999996</x:v>
      </x:c>
      <x:c r="M142" s="107" t="n">
        <x:v>9.551328249999996</x:v>
      </x:c>
      <x:c r="N142" s="108" t="n">
        <x:v>0.4904755383352133</x:v>
      </x:c>
      <x:c r="O142" s="108" t="n">
        <x:v>0.2744666310046552</x:v>
      </x:c>
      <x:c r="P142" s="108" t="n">
        <x:v>0.2714118957852976</x:v>
      </x:c>
      <x:c r="Q142" s="9" t="str">
        <x:v>Actual</x:v>
      </x:c>
      <x:c r="R142" s="9" t="n">
        <x:v>2025</x:v>
      </x:c>
      <x:c r="S142" s="9" t="str">
        <x:v>2025-04</x:v>
      </x:c>
    </x:row>
    <x:row r="143" ht="17" customHeight="1">
      <x:c r="A143" s="9" t="str">
        <x:v>2025-04-01</x:v>
      </x:c>
      <x:c r="B143" s="9" t="str">
        <x:v>Shared Services</x:v>
      </x:c>
      <x:c r="C143" s="107" t="n">
        <x:v>0</x:v>
      </x:c>
      <x:c r="D143" s="107" t="n">
        <x:v>0.646875</x:v>
      </x:c>
      <x:c r="E143" s="107" t="n">
        <x:v>0.471912</x:v>
      </x:c>
      <x:c r="F143" s="107" t="n">
        <x:v>30.64335146</x:v>
      </x:c>
      <x:c r="G143" s="107" t="n">
        <x:v>0</x:v>
      </x:c>
      <x:c r="H143" s="107" t="n">
        <x:v>2.2961783199999997</x:v>
      </x:c>
      <x:c r="I143" s="107" t="n">
        <x:v>0</x:v>
      </x:c>
      <x:c r="J143" s="107" t="n">
        <x:v>-30.64335146</x:v>
      </x:c>
      <x:c r="K143" s="107" t="n">
        <x:v>-31.29022646</x:v>
      </x:c>
      <x:c r="L143" s="107" t="n">
        <x:v>-31.76213846</x:v>
      </x:c>
      <x:c r="M143" s="107" t="n">
        <x:v>-34.05831678</x:v>
      </x:c>
      <x:c r="N143" s="108"/>
      <x:c r="O143" s="108"/>
      <x:c r="P143" s="108"/>
      <x:c r="Q143" s="9" t="str">
        <x:v>Actual</x:v>
      </x:c>
      <x:c r="R143" s="9" t="n">
        <x:v>2025</x:v>
      </x:c>
      <x:c r="S143" s="9" t="str">
        <x:v>2025-04</x:v>
      </x:c>
    </x:row>
    <x:row r="144" ht="17" customHeight="1">
      <x:c r="A144" s="9" t="str">
        <x:v>2025-04-01</x:v>
      </x:c>
      <x:c r="B144" s="9" t="str">
        <x:v>Subscription Services</x:v>
      </x:c>
      <x:c r="C144" s="107" t="n">
        <x:v>1.72779749</x:v>
      </x:c>
      <x:c r="D144" s="107" t="n">
        <x:v>0</x:v>
      </x:c>
      <x:c r="E144" s="107" t="n">
        <x:v>0</x:v>
      </x:c>
      <x:c r="F144" s="107" t="n">
        <x:v>3.11580503</x:v>
      </x:c>
      <x:c r="G144" s="107" t="n">
        <x:v>6.77364435</x:v>
      </x:c>
      <x:c r="H144" s="107" t="n">
        <x:v>0</x:v>
      </x:c>
      <x:c r="I144" s="107" t="n">
        <x:v>5.045846859999999</x:v>
      </x:c>
      <x:c r="J144" s="107" t="n">
        <x:v>1.930041829999999</x:v>
      </x:c>
      <x:c r="K144" s="107" t="n">
        <x:v>1.930041829999999</x:v>
      </x:c>
      <x:c r="L144" s="107" t="n">
        <x:v>1.930041829999999</x:v>
      </x:c>
      <x:c r="M144" s="107" t="n">
        <x:v>1.930041829999999</x:v>
      </x:c>
      <x:c r="N144" s="108" t="n">
        <x:v>0.744923500449208</x:v>
      </x:c>
      <x:c r="O144" s="108" t="n">
        <x:v>0.28493403702247805</x:v>
      </x:c>
      <x:c r="P144" s="108" t="n">
        <x:v>0.28493403702247805</x:v>
      </x:c>
      <x:c r="Q144" s="9" t="str">
        <x:v>Actual</x:v>
      </x:c>
      <x:c r="R144" s="9" t="n">
        <x:v>2025</x:v>
      </x:c>
      <x:c r="S144" s="9" t="str">
        <x:v>2025-04</x:v>
      </x:c>
    </x:row>
    <x:row r="145" ht="17" customHeight="1">
      <x:c r="A145" s="9" t="str">
        <x:v>2025-04-01</x:v>
      </x:c>
      <x:c r="B145" s="9" t="str">
        <x:v>Wholesale</x:v>
      </x:c>
      <x:c r="C145" s="107" t="n">
        <x:v>20.31959958</x:v>
      </x:c>
      <x:c r="D145" s="107" t="n">
        <x:v>0</x:v>
      </x:c>
      <x:c r="E145" s="107" t="n">
        <x:v>0</x:v>
      </x:c>
      <x:c r="F145" s="107" t="n">
        <x:v>3.9115262299999998</x:v>
      </x:c>
      <x:c r="G145" s="107" t="n">
        <x:v>33.60978</x:v>
      </x:c>
      <x:c r="H145" s="107" t="n">
        <x:v>0</x:v>
      </x:c>
      <x:c r="I145" s="107" t="n">
        <x:v>13.290180420000002</x:v>
      </x:c>
      <x:c r="J145" s="107" t="n">
        <x:v>9.37865419</x:v>
      </x:c>
      <x:c r="K145" s="107" t="n">
        <x:v>9.37865419</x:v>
      </x:c>
      <x:c r="L145" s="107" t="n">
        <x:v>9.37865419</x:v>
      </x:c>
      <x:c r="M145" s="107" t="n">
        <x:v>9.37865419</x:v>
      </x:c>
      <x:c r="N145" s="108" t="n">
        <x:v>0.39542598672172213</x:v>
      </x:c>
      <x:c r="O145" s="108" t="n">
        <x:v>0.27904539065712425</x:v>
      </x:c>
      <x:c r="P145" s="108" t="n">
        <x:v>0.27904539065712425</x:v>
      </x:c>
      <x:c r="Q145" s="9" t="str">
        <x:v>Actual</x:v>
      </x:c>
      <x:c r="R145" s="9" t="n">
        <x:v>2025</x:v>
      </x:c>
      <x:c r="S145" s="9" t="str">
        <x:v>2025-04</x:v>
      </x:c>
    </x:row>
    <x:row r="146" ht="17" customHeight="1">
      <x:c r="A146" s="9" t="str">
        <x:v>2025-05-01</x:v>
      </x:c>
      <x:c r="B146" s="9" t="str">
        <x:v>Digital Commerce</x:v>
      </x:c>
      <x:c r="C146" s="107" t="n">
        <x:v>25.766641800000002</x:v>
      </x:c>
      <x:c r="D146" s="107" t="n">
        <x:v>0</x:v>
      </x:c>
      <x:c r="E146" s="107" t="n">
        <x:v>0</x:v>
      </x:c>
      <x:c r="F146" s="107" t="n">
        <x:v>9.46036653</x:v>
      </x:c>
      <x:c r="G146" s="107" t="n">
        <x:v>56.03902118</x:v>
      </x:c>
      <x:c r="H146" s="107" t="n">
        <x:v>0</x:v>
      </x:c>
      <x:c r="I146" s="107" t="n">
        <x:v>30.27237938</x:v>
      </x:c>
      <x:c r="J146" s="107" t="n">
        <x:v>20.812012850000002</x:v>
      </x:c>
      <x:c r="K146" s="107" t="n">
        <x:v>20.812012850000002</x:v>
      </x:c>
      <x:c r="L146" s="107" t="n">
        <x:v>20.812012850000002</x:v>
      </x:c>
      <x:c r="M146" s="107" t="n">
        <x:v>20.812012850000002</x:v>
      </x:c>
      <x:c r="N146" s="108" t="n">
        <x:v>0.5402017869434885</x:v>
      </x:c>
      <x:c r="O146" s="108" t="n">
        <x:v>0.37138430350435325</x:v>
      </x:c>
      <x:c r="P146" s="108" t="n">
        <x:v>0.37138430350435325</x:v>
      </x:c>
      <x:c r="Q146" s="9" t="str">
        <x:v>Actual</x:v>
      </x:c>
      <x:c r="R146" s="9" t="n">
        <x:v>2025</x:v>
      </x:c>
      <x:c r="S146" s="9" t="str">
        <x:v>2025-05</x:v>
      </x:c>
    </x:row>
    <x:row r="147" ht="17" customHeight="1">
      <x:c r="A147" s="9" t="str">
        <x:v>2025-05-01</x:v>
      </x:c>
      <x:c r="B147" s="9" t="str">
        <x:v>Retail Stores</x:v>
      </x:c>
      <x:c r="C147" s="107" t="n">
        <x:v>18.56103645</x:v>
      </x:c>
      <x:c r="D147" s="107" t="n">
        <x:v>0.1075</x:v>
      </x:c>
      <x:c r="E147" s="107" t="n">
        <x:v>0</x:v>
      </x:c>
      <x:c r="F147" s="107" t="n">
        <x:v>7.74422941</x:v>
      </x:c>
      <x:c r="G147" s="107" t="n">
        <x:v>36.49549988</x:v>
      </x:c>
      <x:c r="H147" s="107" t="n">
        <x:v>0</x:v>
      </x:c>
      <x:c r="I147" s="107" t="n">
        <x:v>17.934463429999997</x:v>
      </x:c>
      <x:c r="J147" s="107" t="n">
        <x:v>10.190234019999997</x:v>
      </x:c>
      <x:c r="K147" s="107" t="n">
        <x:v>10.082734019999997</x:v>
      </x:c>
      <x:c r="L147" s="107" t="n">
        <x:v>10.082734019999997</x:v>
      </x:c>
      <x:c r="M147" s="107" t="n">
        <x:v>10.082734019999997</x:v>
      </x:c>
      <x:c r="N147" s="108" t="n">
        <x:v>0.49141574958474027</x:v>
      </x:c>
      <x:c r="O147" s="108" t="n">
        <x:v>0.2792189188668813</x:v>
      </x:c>
      <x:c r="P147" s="108" t="n">
        <x:v>0.27627335022544697</x:v>
      </x:c>
      <x:c r="Q147" s="9" t="str">
        <x:v>Actual</x:v>
      </x:c>
      <x:c r="R147" s="9" t="n">
        <x:v>2025</x:v>
      </x:c>
      <x:c r="S147" s="9" t="str">
        <x:v>2025-05</x:v>
      </x:c>
    </x:row>
    <x:row r="148" ht="17" customHeight="1">
      <x:c r="A148" s="9" t="str">
        <x:v>2025-05-01</x:v>
      </x:c>
      <x:c r="B148" s="9" t="str">
        <x:v>Shared Services</x:v>
      </x:c>
      <x:c r="C148" s="107" t="n">
        <x:v>0</x:v>
      </x:c>
      <x:c r="D148" s="107" t="n">
        <x:v>0.646875</x:v>
      </x:c>
      <x:c r="E148" s="107" t="n">
        <x:v>0.471912</x:v>
      </x:c>
      <x:c r="F148" s="107" t="n">
        <x:v>30.92351066</x:v>
      </x:c>
      <x:c r="G148" s="107" t="n">
        <x:v>0</x:v>
      </x:c>
      <x:c r="H148" s="107" t="n">
        <x:v>2.42643261</x:v>
      </x:c>
      <x:c r="I148" s="107" t="n">
        <x:v>0</x:v>
      </x:c>
      <x:c r="J148" s="107" t="n">
        <x:v>-30.92351066</x:v>
      </x:c>
      <x:c r="K148" s="107" t="n">
        <x:v>-31.57038566</x:v>
      </x:c>
      <x:c r="L148" s="107" t="n">
        <x:v>-32.04229766</x:v>
      </x:c>
      <x:c r="M148" s="107" t="n">
        <x:v>-34.46873027</x:v>
      </x:c>
      <x:c r="N148" s="108"/>
      <x:c r="O148" s="108"/>
      <x:c r="P148" s="108"/>
      <x:c r="Q148" s="9" t="str">
        <x:v>Actual</x:v>
      </x:c>
      <x:c r="R148" s="9" t="n">
        <x:v>2025</x:v>
      </x:c>
      <x:c r="S148" s="9" t="str">
        <x:v>2025-05</x:v>
      </x:c>
    </x:row>
    <x:row r="149" ht="17" customHeight="1">
      <x:c r="A149" s="9" t="str">
        <x:v>2025-05-01</x:v>
      </x:c>
      <x:c r="B149" s="9" t="str">
        <x:v>Subscription Services</x:v>
      </x:c>
      <x:c r="C149" s="107" t="n">
        <x:v>1.7757642699999998</x:v>
      </x:c>
      <x:c r="D149" s="107" t="n">
        <x:v>0</x:v>
      </x:c>
      <x:c r="E149" s="107" t="n">
        <x:v>0</x:v>
      </x:c>
      <x:c r="F149" s="107" t="n">
        <x:v>3.2137738</x:v>
      </x:c>
      <x:c r="G149" s="107" t="n">
        <x:v>7.03775021</x:v>
      </x:c>
      <x:c r="H149" s="107" t="n">
        <x:v>0</x:v>
      </x:c>
      <x:c r="I149" s="107" t="n">
        <x:v>5.261985940000001</x:v>
      </x:c>
      <x:c r="J149" s="107" t="n">
        <x:v>2.0482121400000004</x:v>
      </x:c>
      <x:c r="K149" s="107" t="n">
        <x:v>2.0482121400000004</x:v>
      </x:c>
      <x:c r="L149" s="107" t="n">
        <x:v>2.0482121400000004</x:v>
      </x:c>
      <x:c r="M149" s="107" t="n">
        <x:v>2.0482121400000004</x:v>
      </x:c>
      <x:c r="N149" s="108" t="n">
        <x:v>0.747680122622596</x:v>
      </x:c>
      <x:c r="O149" s="108" t="n">
        <x:v>0.291032230312704</x:v>
      </x:c>
      <x:c r="P149" s="108" t="n">
        <x:v>0.291032230312704</x:v>
      </x:c>
      <x:c r="Q149" s="9" t="str">
        <x:v>Actual</x:v>
      </x:c>
      <x:c r="R149" s="9" t="n">
        <x:v>2025</x:v>
      </x:c>
      <x:c r="S149" s="9" t="str">
        <x:v>2025-05</x:v>
      </x:c>
    </x:row>
    <x:row r="150" ht="17" customHeight="1">
      <x:c r="A150" s="9" t="str">
        <x:v>2025-05-01</x:v>
      </x:c>
      <x:c r="B150" s="9" t="str">
        <x:v>Wholesale</x:v>
      </x:c>
      <x:c r="C150" s="107" t="n">
        <x:v>19.33558988</x:v>
      </x:c>
      <x:c r="D150" s="107" t="n">
        <x:v>0</x:v>
      </x:c>
      <x:c r="E150" s="107" t="n">
        <x:v>0</x:v>
      </x:c>
      <x:c r="F150" s="107" t="n">
        <x:v>3.8799444899999997</x:v>
      </x:c>
      <x:c r="G150" s="107" t="n">
        <x:v>32.02060348</x:v>
      </x:c>
      <x:c r="H150" s="107" t="n">
        <x:v>0</x:v>
      </x:c>
      <x:c r="I150" s="107" t="n">
        <x:v>12.685013599999998</x:v>
      </x:c>
      <x:c r="J150" s="107" t="n">
        <x:v>8.805069109999998</x:v>
      </x:c>
      <x:c r="K150" s="107" t="n">
        <x:v>8.805069109999998</x:v>
      </x:c>
      <x:c r="L150" s="107" t="n">
        <x:v>8.805069109999998</x:v>
      </x:c>
      <x:c r="M150" s="107" t="n">
        <x:v>8.805069109999998</x:v>
      </x:c>
      <x:c r="N150" s="108" t="n">
        <x:v>0.3961516093200127</x:v>
      </x:c>
      <x:c r="O150" s="108" t="n">
        <x:v>0.2749813605324342</x:v>
      </x:c>
      <x:c r="P150" s="108" t="n">
        <x:v>0.2749813605324342</x:v>
      </x:c>
      <x:c r="Q150" s="9" t="str">
        <x:v>Actual</x:v>
      </x:c>
      <x:c r="R150" s="9" t="n">
        <x:v>2025</x:v>
      </x:c>
      <x:c r="S150" s="9" t="str">
        <x:v>2025-05</x:v>
      </x:c>
    </x:row>
    <x:row r="151" ht="17" customHeight="1">
      <x:c r="A151" s="9" t="str">
        <x:v>2025-06-01</x:v>
      </x:c>
      <x:c r="B151" s="9" t="str">
        <x:v>Digital Commerce</x:v>
      </x:c>
      <x:c r="C151" s="107" t="n">
        <x:v>26.66135004</x:v>
      </x:c>
      <x:c r="D151" s="107" t="n">
        <x:v>0</x:v>
      </x:c>
      <x:c r="E151" s="107" t="n">
        <x:v>0</x:v>
      </x:c>
      <x:c r="F151" s="107" t="n">
        <x:v>9.68392983</x:v>
      </x:c>
      <x:c r="G151" s="107" t="n">
        <x:v>58.100075229999995</x:v>
      </x:c>
      <x:c r="H151" s="107" t="n">
        <x:v>0</x:v>
      </x:c>
      <x:c r="I151" s="107" t="n">
        <x:v>31.438725189999996</x:v>
      </x:c>
      <x:c r="J151" s="107" t="n">
        <x:v>21.75479536</x:v>
      </x:c>
      <x:c r="K151" s="107" t="n">
        <x:v>21.75479536</x:v>
      </x:c>
      <x:c r="L151" s="107" t="n">
        <x:v>21.75479536</x:v>
      </x:c>
      <x:c r="M151" s="107" t="n">
        <x:v>21.75479536</x:v>
      </x:c>
      <x:c r="N151" s="108" t="n">
        <x:v>0.5411133301556657</x:v>
      </x:c>
      <x:c r="O151" s="108" t="n">
        <x:v>0.3744366125840557</x:v>
      </x:c>
      <x:c r="P151" s="108" t="n">
        <x:v>0.3744366125840557</x:v>
      </x:c>
      <x:c r="Q151" s="9" t="str">
        <x:v>Actual</x:v>
      </x:c>
      <x:c r="R151" s="9" t="n">
        <x:v>2025</x:v>
      </x:c>
      <x:c r="S151" s="9" t="str">
        <x:v>2025-06</x:v>
      </x:c>
    </x:row>
    <x:row r="152" ht="17" customHeight="1">
      <x:c r="A152" s="9" t="str">
        <x:v>2025-06-01</x:v>
      </x:c>
      <x:c r="B152" s="9" t="str">
        <x:v>Retail Stores</x:v>
      </x:c>
      <x:c r="C152" s="107" t="n">
        <x:v>19.74860294</x:v>
      </x:c>
      <x:c r="D152" s="107" t="n">
        <x:v>0.1075</x:v>
      </x:c>
      <x:c r="E152" s="107" t="n">
        <x:v>0</x:v>
      </x:c>
      <x:c r="F152" s="107" t="n">
        <x:v>7.75226338</x:v>
      </x:c>
      <x:c r="G152" s="107" t="n">
        <x:v>38.69157471</x:v>
      </x:c>
      <x:c r="H152" s="107" t="n">
        <x:v>0</x:v>
      </x:c>
      <x:c r="I152" s="107" t="n">
        <x:v>18.94297177</x:v>
      </x:c>
      <x:c r="J152" s="107" t="n">
        <x:v>11.190708390000001</x:v>
      </x:c>
      <x:c r="K152" s="107" t="n">
        <x:v>11.083208390000001</x:v>
      </x:c>
      <x:c r="L152" s="107" t="n">
        <x:v>11.083208390000001</x:v>
      </x:c>
      <x:c r="M152" s="107" t="n">
        <x:v>11.083208390000001</x:v>
      </x:c>
      <x:c r="N152" s="108" t="n">
        <x:v>0.4895890620110664</x:v>
      </x:c>
      <x:c r="O152" s="108" t="n">
        <x:v>0.2892285587721948</x:v>
      </x:c>
      <x:c r="P152" s="108" t="n">
        <x:v>0.28645017611897555</x:v>
      </x:c>
      <x:c r="Q152" s="9" t="str">
        <x:v>Actual</x:v>
      </x:c>
      <x:c r="R152" s="9" t="n">
        <x:v>2025</x:v>
      </x:c>
      <x:c r="S152" s="9" t="str">
        <x:v>2025-06</x:v>
      </x:c>
    </x:row>
    <x:row r="153" ht="17" customHeight="1">
      <x:c r="A153" s="9" t="str">
        <x:v>2025-06-01</x:v>
      </x:c>
      <x:c r="B153" s="9" t="str">
        <x:v>Shared Services</x:v>
      </x:c>
      <x:c r="C153" s="107" t="n">
        <x:v>0</x:v>
      </x:c>
      <x:c r="D153" s="107" t="n">
        <x:v>0.646875</x:v>
      </x:c>
      <x:c r="E153" s="107" t="n">
        <x:v>0.471912</x:v>
      </x:c>
      <x:c r="F153" s="107" t="n">
        <x:v>31.37189161</x:v>
      </x:c>
      <x:c r="G153" s="107" t="n">
        <x:v>0</x:v>
      </x:c>
      <x:c r="H153" s="107" t="n">
        <x:v>2.6572702599999998</x:v>
      </x:c>
      <x:c r="I153" s="107" t="n">
        <x:v>0</x:v>
      </x:c>
      <x:c r="J153" s="107" t="n">
        <x:v>-31.37189161</x:v>
      </x:c>
      <x:c r="K153" s="107" t="n">
        <x:v>-32.01876661</x:v>
      </x:c>
      <x:c r="L153" s="107" t="n">
        <x:v>-32.490678609999996</x:v>
      </x:c>
      <x:c r="M153" s="107" t="n">
        <x:v>-35.14794887</x:v>
      </x:c>
      <x:c r="N153" s="108"/>
      <x:c r="O153" s="108"/>
      <x:c r="P153" s="108"/>
      <x:c r="Q153" s="9" t="str">
        <x:v>Actual</x:v>
      </x:c>
      <x:c r="R153" s="9" t="n">
        <x:v>2025</x:v>
      </x:c>
      <x:c r="S153" s="9" t="str">
        <x:v>2025-06</x:v>
      </x:c>
    </x:row>
    <x:row r="154" ht="17" customHeight="1">
      <x:c r="A154" s="9" t="str">
        <x:v>2025-06-01</x:v>
      </x:c>
      <x:c r="B154" s="9" t="str">
        <x:v>Subscription Services</x:v>
      </x:c>
      <x:c r="C154" s="107" t="n">
        <x:v>1.81820989</x:v>
      </x:c>
      <x:c r="D154" s="107" t="n">
        <x:v>0.19479167</x:v>
      </x:c>
      <x:c r="E154" s="107" t="n">
        <x:v>0</x:v>
      </x:c>
      <x:c r="F154" s="107" t="n">
        <x:v>3.22812834</x:v>
      </x:c>
      <x:c r="G154" s="107" t="n">
        <x:v>7.22987181</x:v>
      </x:c>
      <x:c r="H154" s="107" t="n">
        <x:v>0</x:v>
      </x:c>
      <x:c r="I154" s="107" t="n">
        <x:v>5.41166192</x:v>
      </x:c>
      <x:c r="J154" s="107" t="n">
        <x:v>2.18353358</x:v>
      </x:c>
      <x:c r="K154" s="107" t="n">
        <x:v>1.9887419100000001</x:v>
      </x:c>
      <x:c r="L154" s="107" t="n">
        <x:v>1.9887419100000001</x:v>
      </x:c>
      <x:c r="M154" s="107" t="n">
        <x:v>1.9887419100000001</x:v>
      </x:c>
      <x:c r="N154" s="108" t="n">
        <x:v>0.7485142284977803</x:v>
      </x:c>
      <x:c r="O154" s="108" t="n">
        <x:v>0.30201553186321295</x:v>
      </x:c>
      <x:c r="P154" s="108" t="n">
        <x:v>0.27507291446706855</x:v>
      </x:c>
      <x:c r="Q154" s="9" t="str">
        <x:v>Actual</x:v>
      </x:c>
      <x:c r="R154" s="9" t="n">
        <x:v>2025</x:v>
      </x:c>
      <x:c r="S154" s="9" t="str">
        <x:v>2025-06</x:v>
      </x:c>
    </x:row>
    <x:row r="155" ht="17" customHeight="1">
      <x:c r="A155" s="9" t="str">
        <x:v>2025-06-01</x:v>
      </x:c>
      <x:c r="B155" s="9" t="str">
        <x:v>Wholesale</x:v>
      </x:c>
      <x:c r="C155" s="107" t="n">
        <x:v>18.99854752</x:v>
      </x:c>
      <x:c r="D155" s="107" t="n">
        <x:v>0</x:v>
      </x:c>
      <x:c r="E155" s="107" t="n">
        <x:v>0</x:v>
      </x:c>
      <x:c r="F155" s="107" t="n">
        <x:v>3.87676015</x:v>
      </x:c>
      <x:c r="G155" s="107" t="n">
        <x:v>31.16832167</x:v>
      </x:c>
      <x:c r="H155" s="107" t="n">
        <x:v>0</x:v>
      </x:c>
      <x:c r="I155" s="107" t="n">
        <x:v>12.169774150000002</x:v>
      </x:c>
      <x:c r="J155" s="107" t="n">
        <x:v>8.293014000000001</x:v>
      </x:c>
      <x:c r="K155" s="107" t="n">
        <x:v>8.293014000000001</x:v>
      </x:c>
      <x:c r="L155" s="107" t="n">
        <x:v>8.293014000000001</x:v>
      </x:c>
      <x:c r="M155" s="107" t="n">
        <x:v>8.293014000000001</x:v>
      </x:c>
      <x:c r="N155" s="108" t="n">
        <x:v>0.3904533031598426</x:v>
      </x:c>
      <x:c r="O155" s="108" t="n">
        <x:v>0.2660718818229522</x:v>
      </x:c>
      <x:c r="P155" s="108" t="n">
        <x:v>0.2660718818229522</x:v>
      </x:c>
      <x:c r="Q155" s="9" t="str">
        <x:v>Actual</x:v>
      </x:c>
      <x:c r="R155" s="9" t="n">
        <x:v>2025</x:v>
      </x:c>
      <x:c r="S155" s="9" t="str">
        <x:v>2025-06</x:v>
      </x:c>
    </x:row>
    <x:row r="156" ht="17" customHeight="1">
      <x:c r="A156" s="9" t="str">
        <x:v>2025-07-01</x:v>
      </x:c>
      <x:c r="B156" s="9" t="str">
        <x:v>Digital Commerce</x:v>
      </x:c>
      <x:c r="C156" s="107" t="n">
        <x:v>25.271406260000003</x:v>
      </x:c>
      <x:c r="D156" s="107" t="n">
        <x:v>0</x:v>
      </x:c>
      <x:c r="E156" s="107" t="n">
        <x:v>0</x:v>
      </x:c>
      <x:c r="F156" s="107" t="n">
        <x:v>9.45029066</x:v>
      </x:c>
      <x:c r="G156" s="107" t="n">
        <x:v>54.74503311</x:v>
      </x:c>
      <x:c r="H156" s="107" t="n">
        <x:v>0</x:v>
      </x:c>
      <x:c r="I156" s="107" t="n">
        <x:v>29.47362685</x:v>
      </x:c>
      <x:c r="J156" s="107" t="n">
        <x:v>20.02333619</x:v>
      </x:c>
      <x:c r="K156" s="107" t="n">
        <x:v>20.02333619</x:v>
      </x:c>
      <x:c r="L156" s="107" t="n">
        <x:v>20.02333619</x:v>
      </x:c>
      <x:c r="M156" s="107" t="n">
        <x:v>20.02333619</x:v>
      </x:c>
      <x:c r="N156" s="108" t="n">
        <x:v>0.538379925550108</x:v>
      </x:c>
      <x:c r="O156" s="108" t="n">
        <x:v>0.36575621663734886</x:v>
      </x:c>
      <x:c r="P156" s="108" t="n">
        <x:v>0.36575621663734886</x:v>
      </x:c>
      <x:c r="Q156" s="9" t="str">
        <x:v>Actual</x:v>
      </x:c>
      <x:c r="R156" s="9" t="n">
        <x:v>2025</x:v>
      </x:c>
      <x:c r="S156" s="9" t="str">
        <x:v>2025-07</x:v>
      </x:c>
    </x:row>
    <x:row r="157" ht="17" customHeight="1">
      <x:c r="A157" s="9" t="str">
        <x:v>2025-07-01</x:v>
      </x:c>
      <x:c r="B157" s="9" t="str">
        <x:v>Retail Stores</x:v>
      </x:c>
      <x:c r="C157" s="107" t="n">
        <x:v>19.315126460000002</x:v>
      </x:c>
      <x:c r="D157" s="107" t="n">
        <x:v>0.1075</x:v>
      </x:c>
      <x:c r="E157" s="107" t="n">
        <x:v>0</x:v>
      </x:c>
      <x:c r="F157" s="107" t="n">
        <x:v>7.758922720000001</x:v>
      </x:c>
      <x:c r="G157" s="107" t="n">
        <x:v>37.746356090000006</x:v>
      </x:c>
      <x:c r="H157" s="107" t="n">
        <x:v>0</x:v>
      </x:c>
      <x:c r="I157" s="107" t="n">
        <x:v>18.431229630000004</x:v>
      </x:c>
      <x:c r="J157" s="107" t="n">
        <x:v>10.672306910000001</x:v>
      </x:c>
      <x:c r="K157" s="107" t="n">
        <x:v>10.564806910000001</x:v>
      </x:c>
      <x:c r="L157" s="107" t="n">
        <x:v>10.564806910000001</x:v>
      </x:c>
      <x:c r="M157" s="107" t="n">
        <x:v>10.564806910000001</x:v>
      </x:c>
      <x:c r="N157" s="108" t="n">
        <x:v>0.4882916270395414</x:v>
      </x:c>
      <x:c r="O157" s="108" t="n">
        <x:v>0.2827374087330081</x:v>
      </x:c>
      <x:c r="P157" s="108" t="n">
        <x:v>0.27988945170786683</x:v>
      </x:c>
      <x:c r="Q157" s="9" t="str">
        <x:v>Actual</x:v>
      </x:c>
      <x:c r="R157" s="9" t="n">
        <x:v>2025</x:v>
      </x:c>
      <x:c r="S157" s="9" t="str">
        <x:v>2025-07</x:v>
      </x:c>
    </x:row>
    <x:row r="158" ht="17" customHeight="1">
      <x:c r="A158" s="9" t="str">
        <x:v>2025-07-01</x:v>
      </x:c>
      <x:c r="B158" s="9" t="str">
        <x:v>Shared Services</x:v>
      </x:c>
      <x:c r="C158" s="107" t="n">
        <x:v>0</x:v>
      </x:c>
      <x:c r="D158" s="107" t="n">
        <x:v>0.646875</x:v>
      </x:c>
      <x:c r="E158" s="107" t="n">
        <x:v>0.471912</x:v>
      </x:c>
      <x:c r="F158" s="107" t="n">
        <x:v>31.35555054</x:v>
      </x:c>
      <x:c r="G158" s="107" t="n">
        <x:v>0</x:v>
      </x:c>
      <x:c r="H158" s="107" t="n">
        <x:v>1.8671624199999999</x:v>
      </x:c>
      <x:c r="I158" s="107" t="n">
        <x:v>0</x:v>
      </x:c>
      <x:c r="J158" s="107" t="n">
        <x:v>-31.35555054</x:v>
      </x:c>
      <x:c r="K158" s="107" t="n">
        <x:v>-32.00242554</x:v>
      </x:c>
      <x:c r="L158" s="107" t="n">
        <x:v>-32.47433754</x:v>
      </x:c>
      <x:c r="M158" s="107" t="n">
        <x:v>-34.34149996</x:v>
      </x:c>
      <x:c r="N158" s="108"/>
      <x:c r="O158" s="108"/>
      <x:c r="P158" s="108"/>
      <x:c r="Q158" s="9" t="str">
        <x:v>Actual</x:v>
      </x:c>
      <x:c r="R158" s="9" t="n">
        <x:v>2025</x:v>
      </x:c>
      <x:c r="S158" s="9" t="str">
        <x:v>2025-07</x:v>
      </x:c>
    </x:row>
    <x:row r="159" ht="17" customHeight="1">
      <x:c r="A159" s="9" t="str">
        <x:v>2025-07-01</x:v>
      </x:c>
      <x:c r="B159" s="9" t="str">
        <x:v>Subscription Services</x:v>
      </x:c>
      <x:c r="C159" s="107" t="n">
        <x:v>1.86242419</x:v>
      </x:c>
      <x:c r="D159" s="107" t="n">
        <x:v>0.19479167</x:v>
      </x:c>
      <x:c r="E159" s="107" t="n">
        <x:v>0</x:v>
      </x:c>
      <x:c r="F159" s="107" t="n">
        <x:v>3.19714557</x:v>
      </x:c>
      <x:c r="G159" s="107" t="n">
        <x:v>7.37754337</x:v>
      </x:c>
      <x:c r="H159" s="107" t="n">
        <x:v>0</x:v>
      </x:c>
      <x:c r="I159" s="107" t="n">
        <x:v>5.51511918</x:v>
      </x:c>
      <x:c r="J159" s="107" t="n">
        <x:v>2.3179736099999997</x:v>
      </x:c>
      <x:c r="K159" s="107" t="n">
        <x:v>2.12318194</x:v>
      </x:c>
      <x:c r="L159" s="107" t="n">
        <x:v>2.12318194</x:v>
      </x:c>
      <x:c r="M159" s="107" t="n">
        <x:v>2.12318194</x:v>
      </x:c>
      <x:c r="N159" s="108" t="n">
        <x:v>0.7475549655765696</x:v>
      </x:c>
      <x:c r="O159" s="108" t="n">
        <x:v>0.31419315261849823</x:v>
      </x:c>
      <x:c r="P159" s="108" t="n">
        <x:v>0.2877898283368546</x:v>
      </x:c>
      <x:c r="Q159" s="9" t="str">
        <x:v>Actual</x:v>
      </x:c>
      <x:c r="R159" s="9" t="n">
        <x:v>2025</x:v>
      </x:c>
      <x:c r="S159" s="9" t="str">
        <x:v>2025-07</x:v>
      </x:c>
    </x:row>
    <x:row r="160" ht="17" customHeight="1">
      <x:c r="A160" s="9" t="str">
        <x:v>2025-07-01</x:v>
      </x:c>
      <x:c r="B160" s="9" t="str">
        <x:v>Wholesale</x:v>
      </x:c>
      <x:c r="C160" s="107" t="n">
        <x:v>17.12548974</x:v>
      </x:c>
      <x:c r="D160" s="107" t="n">
        <x:v>0</x:v>
      </x:c>
      <x:c r="E160" s="107" t="n">
        <x:v>0</x:v>
      </x:c>
      <x:c r="F160" s="107" t="n">
        <x:v>3.72923135</x:v>
      </x:c>
      <x:c r="G160" s="107" t="n">
        <x:v>28.086383259999998</x:v>
      </x:c>
      <x:c r="H160" s="107" t="n">
        <x:v>0</x:v>
      </x:c>
      <x:c r="I160" s="107" t="n">
        <x:v>10.960893519999999</x:v>
      </x:c>
      <x:c r="J160" s="107" t="n">
        <x:v>7.23166217</x:v>
      </x:c>
      <x:c r="K160" s="107" t="n">
        <x:v>7.23166217</x:v>
      </x:c>
      <x:c r="L160" s="107" t="n">
        <x:v>7.23166217</x:v>
      </x:c>
      <x:c r="M160" s="107" t="n">
        <x:v>7.23166217</x:v>
      </x:c>
      <x:c r="N160" s="108" t="n">
        <x:v>0.3902564961295768</x:v>
      </x:c>
      <x:c r="O160" s="108" t="n">
        <x:v>0.25747929532454866</x:v>
      </x:c>
      <x:c r="P160" s="108" t="n">
        <x:v>0.25747929532454866</x:v>
      </x:c>
      <x:c r="Q160" s="9" t="str">
        <x:v>Actual</x:v>
      </x:c>
      <x:c r="R160" s="9" t="n">
        <x:v>2025</x:v>
      </x:c>
      <x:c r="S160" s="9" t="str">
        <x:v>2025-07</x:v>
      </x:c>
    </x:row>
    <x:row r="161" ht="17" customHeight="1">
      <x:c r="A161" s="9" t="str">
        <x:v>2025-08-01</x:v>
      </x:c>
      <x:c r="B161" s="9" t="str">
        <x:v>Digital Commerce</x:v>
      </x:c>
      <x:c r="C161" s="107" t="n">
        <x:v>24.360123390000002</x:v>
      </x:c>
      <x:c r="D161" s="107" t="n">
        <x:v>0</x:v>
      </x:c>
      <x:c r="E161" s="107" t="n">
        <x:v>0</x:v>
      </x:c>
      <x:c r="F161" s="107" t="n">
        <x:v>9.45991454</x:v>
      </x:c>
      <x:c r="G161" s="107" t="n">
        <x:v>53.23728647</x:v>
      </x:c>
      <x:c r="H161" s="107" t="n">
        <x:v>0</x:v>
      </x:c>
      <x:c r="I161" s="107" t="n">
        <x:v>28.87716308</x:v>
      </x:c>
      <x:c r="J161" s="107" t="n">
        <x:v>19.41724854</x:v>
      </x:c>
      <x:c r="K161" s="107" t="n">
        <x:v>19.41724854</x:v>
      </x:c>
      <x:c r="L161" s="107" t="n">
        <x:v>19.41724854</x:v>
      </x:c>
      <x:c r="M161" s="107" t="n">
        <x:v>19.41724854</x:v>
      </x:c>
      <x:c r="N161" s="108" t="n">
        <x:v>0.5424236469353619</x:v>
      </x:c>
      <x:c r="O161" s="108" t="n">
        <x:v>0.3647302450499972</x:v>
      </x:c>
      <x:c r="P161" s="108" t="n">
        <x:v>0.3647302450499972</x:v>
      </x:c>
      <x:c r="Q161" s="9" t="str">
        <x:v>Actual</x:v>
      </x:c>
      <x:c r="R161" s="9" t="n">
        <x:v>2025</x:v>
      </x:c>
      <x:c r="S161" s="9" t="str">
        <x:v>2025-08</x:v>
      </x:c>
    </x:row>
    <x:row r="162" ht="17" customHeight="1">
      <x:c r="A162" s="9" t="str">
        <x:v>2025-08-01</x:v>
      </x:c>
      <x:c r="B162" s="9" t="str">
        <x:v>Retail Stores</x:v>
      </x:c>
      <x:c r="C162" s="107" t="n">
        <x:v>16.996384149999997</x:v>
      </x:c>
      <x:c r="D162" s="107" t="n">
        <x:v>0.1075</x:v>
      </x:c>
      <x:c r="E162" s="107" t="n">
        <x:v>0</x:v>
      </x:c>
      <x:c r="F162" s="107" t="n">
        <x:v>7.68334506</x:v>
      </x:c>
      <x:c r="G162" s="107" t="n">
        <x:v>33.30222271</x:v>
      </x:c>
      <x:c r="H162" s="107" t="n">
        <x:v>0</x:v>
      </x:c>
      <x:c r="I162" s="107" t="n">
        <x:v>16.30583856</x:v>
      </x:c>
      <x:c r="J162" s="107" t="n">
        <x:v>8.622493500000004</x:v>
      </x:c>
      <x:c r="K162" s="107" t="n">
        <x:v>8.514993500000005</x:v>
      </x:c>
      <x:c r="L162" s="107" t="n">
        <x:v>8.514993500000005</x:v>
      </x:c>
      <x:c r="M162" s="107" t="n">
        <x:v>8.514993500000005</x:v>
      </x:c>
      <x:c r="N162" s="108" t="n">
        <x:v>0.48963213963203966</x:v>
      </x:c>
      <x:c r="O162" s="108" t="n">
        <x:v>0.25891645657065526</x:v>
      </x:c>
      <x:c r="P162" s="108" t="n">
        <x:v>0.2556884438059781</x:v>
      </x:c>
      <x:c r="Q162" s="9" t="str">
        <x:v>Actual</x:v>
      </x:c>
      <x:c r="R162" s="9" t="n">
        <x:v>2025</x:v>
      </x:c>
      <x:c r="S162" s="9" t="str">
        <x:v>2025-08</x:v>
      </x:c>
    </x:row>
    <x:row r="163" ht="17" customHeight="1">
      <x:c r="A163" s="9" t="str">
        <x:v>2025-08-01</x:v>
      </x:c>
      <x:c r="B163" s="9" t="str">
        <x:v>Shared Services</x:v>
      </x:c>
      <x:c r="C163" s="107" t="n">
        <x:v>0</x:v>
      </x:c>
      <x:c r="D163" s="107" t="n">
        <x:v>0.646875</x:v>
      </x:c>
      <x:c r="E163" s="107" t="n">
        <x:v>0.471912</x:v>
      </x:c>
      <x:c r="F163" s="107" t="n">
        <x:v>32.173613970000005</x:v>
      </x:c>
      <x:c r="G163" s="107" t="n">
        <x:v>0</x:v>
      </x:c>
      <x:c r="H163" s="107" t="n">
        <x:v>1.22086932</x:v>
      </x:c>
      <x:c r="I163" s="107" t="n">
        <x:v>0</x:v>
      </x:c>
      <x:c r="J163" s="107" t="n">
        <x:v>-32.173613970000005</x:v>
      </x:c>
      <x:c r="K163" s="107" t="n">
        <x:v>-32.82048897</x:v>
      </x:c>
      <x:c r="L163" s="107" t="n">
        <x:v>-33.29240097</x:v>
      </x:c>
      <x:c r="M163" s="107" t="n">
        <x:v>-34.51327029</x:v>
      </x:c>
      <x:c r="N163" s="108"/>
      <x:c r="O163" s="108"/>
      <x:c r="P163" s="108"/>
      <x:c r="Q163" s="9" t="str">
        <x:v>Actual</x:v>
      </x:c>
      <x:c r="R163" s="9" t="n">
        <x:v>2025</x:v>
      </x:c>
      <x:c r="S163" s="9" t="str">
        <x:v>2025-08</x:v>
      </x:c>
    </x:row>
    <x:row r="164" ht="17" customHeight="1">
      <x:c r="A164" s="9" t="str">
        <x:v>2025-08-01</x:v>
      </x:c>
      <x:c r="B164" s="9" t="str">
        <x:v>Subscription Services</x:v>
      </x:c>
      <x:c r="C164" s="107" t="n">
        <x:v>1.9646074500000001</x:v>
      </x:c>
      <x:c r="D164" s="107" t="n">
        <x:v>0.19479167</x:v>
      </x:c>
      <x:c r="E164" s="107" t="n">
        <x:v>0</x:v>
      </x:c>
      <x:c r="F164" s="107" t="n">
        <x:v>3.240188</x:v>
      </x:c>
      <x:c r="G164" s="107" t="n">
        <x:v>7.7120894</x:v>
      </x:c>
      <x:c r="H164" s="107" t="n">
        <x:v>0</x:v>
      </x:c>
      <x:c r="I164" s="107" t="n">
        <x:v>5.74748195</x:v>
      </x:c>
      <x:c r="J164" s="107" t="n">
        <x:v>2.50729395</x:v>
      </x:c>
      <x:c r="K164" s="107" t="n">
        <x:v>2.3125022800000004</x:v>
      </x:c>
      <x:c r="L164" s="107" t="n">
        <x:v>2.3125022800000004</x:v>
      </x:c>
      <x:c r="M164" s="107" t="n">
        <x:v>2.3125022800000004</x:v>
      </x:c>
      <x:c r="N164" s="108" t="n">
        <x:v>0.7452561364239372</x:v>
      </x:c>
      <x:c r="O164" s="108" t="n">
        <x:v>0.32511214794787</x:v>
      </x:c>
      <x:c r="P164" s="108" t="n">
        <x:v>0.2998541847816235</x:v>
      </x:c>
      <x:c r="Q164" s="9" t="str">
        <x:v>Actual</x:v>
      </x:c>
      <x:c r="R164" s="9" t="n">
        <x:v>2025</x:v>
      </x:c>
      <x:c r="S164" s="9" t="str">
        <x:v>2025-08</x:v>
      </x:c>
    </x:row>
    <x:row r="165" ht="17" customHeight="1">
      <x:c r="A165" s="9" t="str">
        <x:v>2025-08-01</x:v>
      </x:c>
      <x:c r="B165" s="9" t="str">
        <x:v>Wholesale</x:v>
      </x:c>
      <x:c r="C165" s="107" t="n">
        <x:v>17.55050047</x:v>
      </x:c>
      <x:c r="D165" s="107" t="n">
        <x:v>0</x:v>
      </x:c>
      <x:c r="E165" s="107" t="n">
        <x:v>0</x:v>
      </x:c>
      <x:c r="F165" s="107" t="n">
        <x:v>3.7798372400000004</x:v>
      </x:c>
      <x:c r="G165" s="107" t="n">
        <x:v>29.261471630000003</x:v>
      </x:c>
      <x:c r="H165" s="107" t="n">
        <x:v>0</x:v>
      </x:c>
      <x:c r="I165" s="107" t="n">
        <x:v>11.710971160000003</x:v>
      </x:c>
      <x:c r="J165" s="107" t="n">
        <x:v>7.931133920000003</x:v>
      </x:c>
      <x:c r="K165" s="107" t="n">
        <x:v>7.931133920000003</x:v>
      </x:c>
      <x:c r="L165" s="107" t="n">
        <x:v>7.931133920000003</x:v>
      </x:c>
      <x:c r="M165" s="107" t="n">
        <x:v>7.931133920000003</x:v>
      </x:c>
      <x:c r="N165" s="108" t="n">
        <x:v>0.4002181198567422</x:v>
      </x:c>
      <x:c r="O165" s="108" t="n">
        <x:v>0.2710435763548097</x:v>
      </x:c>
      <x:c r="P165" s="108" t="n">
        <x:v>0.2710435763548097</x:v>
      </x:c>
      <x:c r="Q165" s="9" t="str">
        <x:v>Actual</x:v>
      </x:c>
      <x:c r="R165" s="9" t="n">
        <x:v>2025</x:v>
      </x:c>
      <x:c r="S165" s="9" t="str">
        <x:v>2025-08</x:v>
      </x:c>
    </x:row>
    <x:row r="166" ht="17" customHeight="1">
      <x:c r="A166" s="9" t="str">
        <x:v>2025-09-01</x:v>
      </x:c>
      <x:c r="B166" s="9" t="str">
        <x:v>Digital Commerce</x:v>
      </x:c>
      <x:c r="C166" s="107" t="n">
        <x:v>26.891854919999997</x:v>
      </x:c>
      <x:c r="D166" s="107" t="n">
        <x:v>0</x:v>
      </x:c>
      <x:c r="E166" s="107" t="n">
        <x:v>0</x:v>
      </x:c>
      <x:c r="F166" s="107" t="n">
        <x:v>9.88788692</x:v>
      </x:c>
      <x:c r="G166" s="107" t="n">
        <x:v>57.98020812</x:v>
      </x:c>
      <x:c r="H166" s="107" t="n">
        <x:v>0</x:v>
      </x:c>
      <x:c r="I166" s="107" t="n">
        <x:v>31.0883532</x:v>
      </x:c>
      <x:c r="J166" s="107" t="n">
        <x:v>21.20046628</x:v>
      </x:c>
      <x:c r="K166" s="107" t="n">
        <x:v>21.20046628</x:v>
      </x:c>
      <x:c r="L166" s="107" t="n">
        <x:v>21.20046628</x:v>
      </x:c>
      <x:c r="M166" s="107" t="n">
        <x:v>21.20046628</x:v>
      </x:c>
      <x:c r="N166" s="108" t="n">
        <x:v>0.5361890584396888</x:v>
      </x:c>
      <x:c r="O166" s="108" t="n">
        <x:v>0.3656500548622039</x:v>
      </x:c>
      <x:c r="P166" s="108" t="n">
        <x:v>0.3656500548622039</x:v>
      </x:c>
      <x:c r="Q166" s="9" t="str">
        <x:v>Actual</x:v>
      </x:c>
      <x:c r="R166" s="9" t="n">
        <x:v>2025</x:v>
      </x:c>
      <x:c r="S166" s="9" t="str">
        <x:v>2025-09</x:v>
      </x:c>
    </x:row>
    <x:row r="167" ht="17" customHeight="1">
      <x:c r="A167" s="9" t="str">
        <x:v>2025-09-01</x:v>
      </x:c>
      <x:c r="B167" s="9" t="str">
        <x:v>Retail Stores</x:v>
      </x:c>
      <x:c r="C167" s="107" t="n">
        <x:v>18.81840014</x:v>
      </x:c>
      <x:c r="D167" s="107" t="n">
        <x:v>0.24166667</x:v>
      </x:c>
      <x:c r="E167" s="107" t="n">
        <x:v>0</x:v>
      </x:c>
      <x:c r="F167" s="107" t="n">
        <x:v>7.765705349999999</x:v>
      </x:c>
      <x:c r="G167" s="107" t="n">
        <x:v>36.83591508</x:v>
      </x:c>
      <x:c r="H167" s="107" t="n">
        <x:v>0</x:v>
      </x:c>
      <x:c r="I167" s="107" t="n">
        <x:v>18.017514939999998</x:v>
      </x:c>
      <x:c r="J167" s="107" t="n">
        <x:v>10.251809589999999</x:v>
      </x:c>
      <x:c r="K167" s="107" t="n">
        <x:v>10.010142919999998</x:v>
      </x:c>
      <x:c r="L167" s="107" t="n">
        <x:v>10.010142919999998</x:v>
      </x:c>
      <x:c r="M167" s="107" t="n">
        <x:v>10.010142919999998</x:v>
      </x:c>
      <x:c r="N167" s="108" t="n">
        <x:v>0.4891290171798278</x:v>
      </x:c>
      <x:c r="O167" s="108" t="n">
        <x:v>0.2783101646242583</x:v>
      </x:c>
      <x:c r="P167" s="108" t="n">
        <x:v>0.2717495384127158</x:v>
      </x:c>
      <x:c r="Q167" s="9" t="str">
        <x:v>Actual</x:v>
      </x:c>
      <x:c r="R167" s="9" t="n">
        <x:v>2025</x:v>
      </x:c>
      <x:c r="S167" s="9" t="str">
        <x:v>2025-09</x:v>
      </x:c>
    </x:row>
    <x:row r="168" ht="17" customHeight="1">
      <x:c r="A168" s="9" t="str">
        <x:v>2025-09-01</x:v>
      </x:c>
      <x:c r="B168" s="9" t="str">
        <x:v>Shared Services</x:v>
      </x:c>
      <x:c r="C168" s="107" t="n">
        <x:v>0</x:v>
      </x:c>
      <x:c r="D168" s="107" t="n">
        <x:v>0.646875</x:v>
      </x:c>
      <x:c r="E168" s="107" t="n">
        <x:v>0.471912</x:v>
      </x:c>
      <x:c r="F168" s="107" t="n">
        <x:v>31.54155897</x:v>
      </x:c>
      <x:c r="G168" s="107" t="n">
        <x:v>0</x:v>
      </x:c>
      <x:c r="H168" s="107" t="n">
        <x:v>3.0002487799999997</x:v>
      </x:c>
      <x:c r="I168" s="107" t="n">
        <x:v>0</x:v>
      </x:c>
      <x:c r="J168" s="107" t="n">
        <x:v>-31.54155897</x:v>
      </x:c>
      <x:c r="K168" s="107" t="n">
        <x:v>-32.18843397</x:v>
      </x:c>
      <x:c r="L168" s="107" t="n">
        <x:v>-32.66034597</x:v>
      </x:c>
      <x:c r="M168" s="107" t="n">
        <x:v>-35.66059475</x:v>
      </x:c>
      <x:c r="N168" s="108"/>
      <x:c r="O168" s="108"/>
      <x:c r="P168" s="108"/>
      <x:c r="Q168" s="9" t="str">
        <x:v>Actual</x:v>
      </x:c>
      <x:c r="R168" s="9" t="n">
        <x:v>2025</x:v>
      </x:c>
      <x:c r="S168" s="9" t="str">
        <x:v>2025-09</x:v>
      </x:c>
    </x:row>
    <x:row r="169" ht="17" customHeight="1">
      <x:c r="A169" s="9" t="str">
        <x:v>2025-09-01</x:v>
      </x:c>
      <x:c r="B169" s="9" t="str">
        <x:v>Subscription Services</x:v>
      </x:c>
      <x:c r="C169" s="107" t="n">
        <x:v>1.92013023</x:v>
      </x:c>
      <x:c r="D169" s="107" t="n">
        <x:v>0.19479167</x:v>
      </x:c>
      <x:c r="E169" s="107" t="n">
        <x:v>0</x:v>
      </x:c>
      <x:c r="F169" s="107" t="n">
        <x:v>3.23503588</x:v>
      </x:c>
      <x:c r="G169" s="107" t="n">
        <x:v>7.602566820000001</x:v>
      </x:c>
      <x:c r="H169" s="107" t="n">
        <x:v>0</x:v>
      </x:c>
      <x:c r="I169" s="107" t="n">
        <x:v>5.68243659</x:v>
      </x:c>
      <x:c r="J169" s="107" t="n">
        <x:v>2.44740071</x:v>
      </x:c>
      <x:c r="K169" s="107" t="n">
        <x:v>2.25260904</x:v>
      </x:c>
      <x:c r="L169" s="107" t="n">
        <x:v>2.25260904</x:v>
      </x:c>
      <x:c r="M169" s="107" t="n">
        <x:v>2.25260904</x:v>
      </x:c>
      <x:c r="N169" s="108" t="n">
        <x:v>0.7474365861607777</x:v>
      </x:c>
      <x:c r="O169" s="108" t="n">
        <x:v>0.32191768490105815</x:v>
      </x:c>
      <x:c r="P169" s="108" t="n">
        <x:v>0.2962958555094949</x:v>
      </x:c>
      <x:c r="Q169" s="9" t="str">
        <x:v>Actual</x:v>
      </x:c>
      <x:c r="R169" s="9" t="n">
        <x:v>2025</x:v>
      </x:c>
      <x:c r="S169" s="9" t="str">
        <x:v>2025-09</x:v>
      </x:c>
    </x:row>
    <x:row r="170" ht="17" customHeight="1">
      <x:c r="A170" s="9" t="str">
        <x:v>2025-09-01</x:v>
      </x:c>
      <x:c r="B170" s="9" t="str">
        <x:v>Wholesale</x:v>
      </x:c>
      <x:c r="C170" s="107" t="n">
        <x:v>23.392431289999998</x:v>
      </x:c>
      <x:c r="D170" s="107" t="n">
        <x:v>0</x:v>
      </x:c>
      <x:c r="E170" s="107" t="n">
        <x:v>0</x:v>
      </x:c>
      <x:c r="F170" s="107" t="n">
        <x:v>3.95079904</x:v>
      </x:c>
      <x:c r="G170" s="107" t="n">
        <x:v>38.54135318</x:v>
      </x:c>
      <x:c r="H170" s="107" t="n">
        <x:v>0</x:v>
      </x:c>
      <x:c r="I170" s="107" t="n">
        <x:v>15.14892189</x:v>
      </x:c>
      <x:c r="J170" s="107" t="n">
        <x:v>11.19812285</x:v>
      </x:c>
      <x:c r="K170" s="107" t="n">
        <x:v>11.19812285</x:v>
      </x:c>
      <x:c r="L170" s="107" t="n">
        <x:v>11.19812285</x:v>
      </x:c>
      <x:c r="M170" s="107" t="n">
        <x:v>11.19812285</x:v>
      </x:c>
      <x:c r="N170" s="108" t="n">
        <x:v>0.3930563055025563</x:v>
      </x:c>
      <x:c r="O170" s="108" t="n">
        <x:v>0.29054825339684665</x:v>
      </x:c>
      <x:c r="P170" s="108" t="n">
        <x:v>0.29054825339684665</x:v>
      </x:c>
      <x:c r="Q170" s="9" t="str">
        <x:v>Actual</x:v>
      </x:c>
      <x:c r="R170" s="9" t="n">
        <x:v>2025</x:v>
      </x:c>
      <x:c r="S170" s="9" t="str">
        <x:v>2025-09</x:v>
      </x:c>
    </x:row>
    <x:row r="171" ht="17" customHeight="1">
      <x:c r="A171" s="9" t="str">
        <x:v>2025-10-01</x:v>
      </x:c>
      <x:c r="B171" s="9" t="str">
        <x:v>Digital Commerce</x:v>
      </x:c>
      <x:c r="C171" s="107" t="n">
        <x:v>29.25663148</x:v>
      </x:c>
      <x:c r="D171" s="107" t="n">
        <x:v>0</x:v>
      </x:c>
      <x:c r="E171" s="107" t="n">
        <x:v>0</x:v>
      </x:c>
      <x:c r="F171" s="107" t="n">
        <x:v>10.27397644</x:v>
      </x:c>
      <x:c r="G171" s="107" t="n">
        <x:v>63.72869275</x:v>
      </x:c>
      <x:c r="H171" s="107" t="n">
        <x:v>0</x:v>
      </x:c>
      <x:c r="I171" s="107" t="n">
        <x:v>34.47206127</x:v>
      </x:c>
      <x:c r="J171" s="107" t="n">
        <x:v>24.19808483</x:v>
      </x:c>
      <x:c r="K171" s="107" t="n">
        <x:v>24.19808483</x:v>
      </x:c>
      <x:c r="L171" s="107" t="n">
        <x:v>24.19808483</x:v>
      </x:c>
      <x:c r="M171" s="107" t="n">
        <x:v>24.19808483</x:v>
      </x:c>
      <x:c r="N171" s="108" t="n">
        <x:v>0.5409190081025159</x:v>
      </x:c>
      <x:c r="O171" s="108" t="n">
        <x:v>0.3797047104814495</x:v>
      </x:c>
      <x:c r="P171" s="108" t="n">
        <x:v>0.3797047104814495</x:v>
      </x:c>
      <x:c r="Q171" s="9" t="str">
        <x:v>Actual</x:v>
      </x:c>
      <x:c r="R171" s="9" t="n">
        <x:v>2025</x:v>
      </x:c>
      <x:c r="S171" s="9" t="str">
        <x:v>2025-10</x:v>
      </x:c>
    </x:row>
    <x:row r="172" ht="17" customHeight="1">
      <x:c r="A172" s="9" t="str">
        <x:v>2025-10-01</x:v>
      </x:c>
      <x:c r="B172" s="9" t="str">
        <x:v>Retail Stores</x:v>
      </x:c>
      <x:c r="C172" s="107" t="n">
        <x:v>19.093626030000003</x:v>
      </x:c>
      <x:c r="D172" s="107" t="n">
        <x:v>0.24166667</x:v>
      </x:c>
      <x:c r="E172" s="107" t="n">
        <x:v>0</x:v>
      </x:c>
      <x:c r="F172" s="107" t="n">
        <x:v>7.83872997</x:v>
      </x:c>
      <x:c r="G172" s="107" t="n">
        <x:v>37.54239649</x:v>
      </x:c>
      <x:c r="H172" s="107" t="n">
        <x:v>0</x:v>
      </x:c>
      <x:c r="I172" s="107" t="n">
        <x:v>18.448770460000002</x:v>
      </x:c>
      <x:c r="J172" s="107" t="n">
        <x:v>10.610040490000003</x:v>
      </x:c>
      <x:c r="K172" s="107" t="n">
        <x:v>10.368373820000002</x:v>
      </x:c>
      <x:c r="L172" s="107" t="n">
        <x:v>10.368373820000002</x:v>
      </x:c>
      <x:c r="M172" s="107" t="n">
        <x:v>10.368373820000002</x:v>
      </x:c>
      <x:c r="N172" s="108" t="n">
        <x:v>0.4914116355069159</x:v>
      </x:c>
      <x:c r="O172" s="108" t="n">
        <x:v>0.2826148962766975</x:v>
      </x:c>
      <x:c r="P172" s="108" t="n">
        <x:v>0.27617772943082575</x:v>
      </x:c>
      <x:c r="Q172" s="9" t="str">
        <x:v>Actual</x:v>
      </x:c>
      <x:c r="R172" s="9" t="n">
        <x:v>2025</x:v>
      </x:c>
      <x:c r="S172" s="9" t="str">
        <x:v>2025-10</x:v>
      </x:c>
    </x:row>
    <x:row r="173" ht="17" customHeight="1">
      <x:c r="A173" s="9" t="str">
        <x:v>2025-10-01</x:v>
      </x:c>
      <x:c r="B173" s="9" t="str">
        <x:v>Shared Services</x:v>
      </x:c>
      <x:c r="C173" s="107" t="n">
        <x:v>0</x:v>
      </x:c>
      <x:c r="D173" s="107" t="n">
        <x:v>0.646875</x:v>
      </x:c>
      <x:c r="E173" s="107" t="n">
        <x:v>0.471912</x:v>
      </x:c>
      <x:c r="F173" s="107" t="n">
        <x:v>32.37753719</x:v>
      </x:c>
      <x:c r="G173" s="107" t="n">
        <x:v>0</x:v>
      </x:c>
      <x:c r="H173" s="107" t="n">
        <x:v>3.76888231</x:v>
      </x:c>
      <x:c r="I173" s="107" t="n">
        <x:v>0</x:v>
      </x:c>
      <x:c r="J173" s="107" t="n">
        <x:v>-32.37753719</x:v>
      </x:c>
      <x:c r="K173" s="107" t="n">
        <x:v>-33.02441219</x:v>
      </x:c>
      <x:c r="L173" s="107" t="n">
        <x:v>-33.49632419</x:v>
      </x:c>
      <x:c r="M173" s="107" t="n">
        <x:v>-37.2652065</x:v>
      </x:c>
      <x:c r="N173" s="108"/>
      <x:c r="O173" s="108"/>
      <x:c r="P173" s="108"/>
      <x:c r="Q173" s="9" t="str">
        <x:v>Actual</x:v>
      </x:c>
      <x:c r="R173" s="9" t="n">
        <x:v>2025</x:v>
      </x:c>
      <x:c r="S173" s="9" t="str">
        <x:v>2025-10</x:v>
      </x:c>
    </x:row>
    <x:row r="174" ht="17" customHeight="1">
      <x:c r="A174" s="9" t="str">
        <x:v>2025-10-01</x:v>
      </x:c>
      <x:c r="B174" s="9" t="str">
        <x:v>Subscription Services</x:v>
      </x:c>
      <x:c r="C174" s="107" t="n">
        <x:v>2.1602121299999997</x:v>
      </x:c>
      <x:c r="D174" s="107" t="n">
        <x:v>0.19479167</x:v>
      </x:c>
      <x:c r="E174" s="107" t="n">
        <x:v>0</x:v>
      </x:c>
      <x:c r="F174" s="107" t="n">
        <x:v>3.2370088699999995</x:v>
      </x:c>
      <x:c r="G174" s="107" t="n">
        <x:v>8.52372371</x:v>
      </x:c>
      <x:c r="H174" s="107" t="n">
        <x:v>0</x:v>
      </x:c>
      <x:c r="I174" s="107" t="n">
        <x:v>6.363511580000001</x:v>
      </x:c>
      <x:c r="J174" s="107" t="n">
        <x:v>3.1265027100000014</x:v>
      </x:c>
      <x:c r="K174" s="107" t="n">
        <x:v>2.9317110400000015</x:v>
      </x:c>
      <x:c r="L174" s="107" t="n">
        <x:v>2.9317110400000015</x:v>
      </x:c>
      <x:c r="M174" s="107" t="n">
        <x:v>2.9317110400000015</x:v>
      </x:c>
      <x:c r="N174" s="108" t="n">
        <x:v>0.7465647405410798</x:v>
      </x:c>
      <x:c r="O174" s="108" t="n">
        <x:v>0.3668001000938123</x:v>
      </x:c>
      <x:c r="P174" s="108" t="n">
        <x:v>0.3439472159990978</x:v>
      </x:c>
      <x:c r="Q174" s="9" t="str">
        <x:v>Actual</x:v>
      </x:c>
      <x:c r="R174" s="9" t="n">
        <x:v>2025</x:v>
      </x:c>
      <x:c r="S174" s="9" t="str">
        <x:v>2025-10</x:v>
      </x:c>
    </x:row>
    <x:row r="175" ht="17" customHeight="1">
      <x:c r="A175" s="9" t="str">
        <x:v>2025-10-01</x:v>
      </x:c>
      <x:c r="B175" s="9" t="str">
        <x:v>Wholesale</x:v>
      </x:c>
      <x:c r="C175" s="107" t="n">
        <x:v>23.39267087</x:v>
      </x:c>
      <x:c r="D175" s="107" t="n">
        <x:v>0</x:v>
      </x:c>
      <x:c r="E175" s="107" t="n">
        <x:v>0</x:v>
      </x:c>
      <x:c r="F175" s="107" t="n">
        <x:v>4.04755045</x:v>
      </x:c>
      <x:c r="G175" s="107" t="n">
        <x:v>38.51390504</x:v>
      </x:c>
      <x:c r="H175" s="107" t="n">
        <x:v>0</x:v>
      </x:c>
      <x:c r="I175" s="107" t="n">
        <x:v>15.121234169999997</x:v>
      </x:c>
      <x:c r="J175" s="107" t="n">
        <x:v>11.073683719999998</x:v>
      </x:c>
      <x:c r="K175" s="107" t="n">
        <x:v>11.073683719999998</x:v>
      </x:c>
      <x:c r="L175" s="107" t="n">
        <x:v>11.073683719999998</x:v>
      </x:c>
      <x:c r="M175" s="107" t="n">
        <x:v>11.073683719999998</x:v>
      </x:c>
      <x:c r="N175" s="108" t="n">
        <x:v>0.3926175274695022</x:v>
      </x:c>
      <x:c r="O175" s="108" t="n">
        <x:v>0.28752430345609015</x:v>
      </x:c>
      <x:c r="P175" s="108" t="n">
        <x:v>0.28752430345609015</x:v>
      </x:c>
      <x:c r="Q175" s="9" t="str">
        <x:v>Actual</x:v>
      </x:c>
      <x:c r="R175" s="9" t="n">
        <x:v>2025</x:v>
      </x:c>
      <x:c r="S175" s="9" t="str">
        <x:v>2025-10</x:v>
      </x:c>
    </x:row>
    <x:row r="176" ht="17" customHeight="1">
      <x:c r="A176" s="9" t="str">
        <x:v>2025-11-01</x:v>
      </x:c>
      <x:c r="B176" s="9" t="str">
        <x:v>Digital Commerce</x:v>
      </x:c>
      <x:c r="C176" s="107" t="n">
        <x:v>34.79608904</x:v>
      </x:c>
      <x:c r="D176" s="107" t="n">
        <x:v>0</x:v>
      </x:c>
      <x:c r="E176" s="107" t="n">
        <x:v>0</x:v>
      </x:c>
      <x:c r="F176" s="107" t="n">
        <x:v>11.18611489</x:v>
      </x:c>
      <x:c r="G176" s="107" t="n">
        <x:v>75.60210988</x:v>
      </x:c>
      <x:c r="H176" s="107" t="n">
        <x:v>0</x:v>
      </x:c>
      <x:c r="I176" s="107" t="n">
        <x:v>40.806020839999995</x:v>
      </x:c>
      <x:c r="J176" s="107" t="n">
        <x:v>29.619905949999996</x:v>
      </x:c>
      <x:c r="K176" s="107" t="n">
        <x:v>29.619905949999996</x:v>
      </x:c>
      <x:c r="L176" s="107" t="n">
        <x:v>29.619905949999996</x:v>
      </x:c>
      <x:c r="M176" s="107" t="n">
        <x:v>29.619905949999996</x:v>
      </x:c>
      <x:c r="N176" s="108" t="n">
        <x:v>0.5397471169094309</x:v>
      </x:c>
      <x:c r="O176" s="108" t="n">
        <x:v>0.3917867635839054</x:v>
      </x:c>
      <x:c r="P176" s="108" t="n">
        <x:v>0.3917867635839054</x:v>
      </x:c>
      <x:c r="Q176" s="9" t="str">
        <x:v>Actual</x:v>
      </x:c>
      <x:c r="R176" s="9" t="n">
        <x:v>2025</x:v>
      </x:c>
      <x:c r="S176" s="9" t="str">
        <x:v>2025-11</x:v>
      </x:c>
    </x:row>
    <x:row r="177" ht="17" customHeight="1">
      <x:c r="A177" s="9" t="str">
        <x:v>2025-11-01</x:v>
      </x:c>
      <x:c r="B177" s="9" t="str">
        <x:v>Retail Stores</x:v>
      </x:c>
      <x:c r="C177" s="107" t="n">
        <x:v>19.91392763</x:v>
      </x:c>
      <x:c r="D177" s="107" t="n">
        <x:v>0.24166667</x:v>
      </x:c>
      <x:c r="E177" s="107" t="n">
        <x:v>0</x:v>
      </x:c>
      <x:c r="F177" s="107" t="n">
        <x:v>8.07737875</x:v>
      </x:c>
      <x:c r="G177" s="107" t="n">
        <x:v>39.177328700000004</x:v>
      </x:c>
      <x:c r="H177" s="107" t="n">
        <x:v>0</x:v>
      </x:c>
      <x:c r="I177" s="107" t="n">
        <x:v>19.263401070000004</x:v>
      </x:c>
      <x:c r="J177" s="107" t="n">
        <x:v>11.186022320000005</x:v>
      </x:c>
      <x:c r="K177" s="107" t="n">
        <x:v>10.944355650000004</x:v>
      </x:c>
      <x:c r="L177" s="107" t="n">
        <x:v>10.944355650000004</x:v>
      </x:c>
      <x:c r="M177" s="107" t="n">
        <x:v>10.944355650000004</x:v>
      </x:c>
      <x:c r="N177" s="108" t="n">
        <x:v>0.4916976656961301</x:v>
      </x:c>
      <x:c r="O177" s="108" t="n">
        <x:v>0.2855228442361871</x:v>
      </x:c>
      <x:c r="P177" s="108" t="n">
        <x:v>0.27935431059647525</x:v>
      </x:c>
      <x:c r="Q177" s="9" t="str">
        <x:v>Actual</x:v>
      </x:c>
      <x:c r="R177" s="9" t="n">
        <x:v>2025</x:v>
      </x:c>
      <x:c r="S177" s="9" t="str">
        <x:v>2025-11</x:v>
      </x:c>
    </x:row>
    <x:row r="178" ht="17" customHeight="1">
      <x:c r="A178" s="9" t="str">
        <x:v>2025-11-01</x:v>
      </x:c>
      <x:c r="B178" s="9" t="str">
        <x:v>Shared Services</x:v>
      </x:c>
      <x:c r="C178" s="107" t="n">
        <x:v>0</x:v>
      </x:c>
      <x:c r="D178" s="107" t="n">
        <x:v>0.646875</x:v>
      </x:c>
      <x:c r="E178" s="107" t="n">
        <x:v>0.471912</x:v>
      </x:c>
      <x:c r="F178" s="107" t="n">
        <x:v>32.82890934</x:v>
      </x:c>
      <x:c r="G178" s="107" t="n">
        <x:v>0</x:v>
      </x:c>
      <x:c r="H178" s="107" t="n">
        <x:v>4.63141753</x:v>
      </x:c>
      <x:c r="I178" s="107" t="n">
        <x:v>0</x:v>
      </x:c>
      <x:c r="J178" s="107" t="n">
        <x:v>-32.82890934</x:v>
      </x:c>
      <x:c r="K178" s="107" t="n">
        <x:v>-33.47578434</x:v>
      </x:c>
      <x:c r="L178" s="107" t="n">
        <x:v>-33.94769634</x:v>
      </x:c>
      <x:c r="M178" s="107" t="n">
        <x:v>-38.57911387000001</x:v>
      </x:c>
      <x:c r="N178" s="108"/>
      <x:c r="O178" s="108"/>
      <x:c r="P178" s="108"/>
      <x:c r="Q178" s="9" t="str">
        <x:v>Actual</x:v>
      </x:c>
      <x:c r="R178" s="9" t="n">
        <x:v>2025</x:v>
      </x:c>
      <x:c r="S178" s="9" t="str">
        <x:v>2025-11</x:v>
      </x:c>
    </x:row>
    <x:row r="179" ht="17" customHeight="1">
      <x:c r="A179" s="9" t="str">
        <x:v>2025-11-01</x:v>
      </x:c>
      <x:c r="B179" s="9" t="str">
        <x:v>Subscription Services</x:v>
      </x:c>
      <x:c r="C179" s="107" t="n">
        <x:v>1.97993701</x:v>
      </x:c>
      <x:c r="D179" s="107" t="n">
        <x:v>0.19479167</x:v>
      </x:c>
      <x:c r="E179" s="107" t="n">
        <x:v>0</x:v>
      </x:c>
      <x:c r="F179" s="107" t="n">
        <x:v>3.22322103</x:v>
      </x:c>
      <x:c r="G179" s="107" t="n">
        <x:v>7.73152807</x:v>
      </x:c>
      <x:c r="H179" s="107" t="n">
        <x:v>0</x:v>
      </x:c>
      <x:c r="I179" s="107" t="n">
        <x:v>5.751591060000001</x:v>
      </x:c>
      <x:c r="J179" s="107" t="n">
        <x:v>2.528370030000001</x:v>
      </x:c>
      <x:c r="K179" s="107" t="n">
        <x:v>2.3335783600000006</x:v>
      </x:c>
      <x:c r="L179" s="107" t="n">
        <x:v>2.3335783600000006</x:v>
      </x:c>
      <x:c r="M179" s="107" t="n">
        <x:v>2.3335783600000006</x:v>
      </x:c>
      <x:c r="N179" s="108" t="n">
        <x:v>0.7439138819552912</x:v>
      </x:c>
      <x:c r="O179" s="108" t="n">
        <x:v>0.32702073989883357</x:v>
      </x:c>
      <x:c r="P179" s="108" t="n">
        <x:v>0.3018262805065391</x:v>
      </x:c>
      <x:c r="Q179" s="9" t="str">
        <x:v>Actual</x:v>
      </x:c>
      <x:c r="R179" s="9" t="n">
        <x:v>2025</x:v>
      </x:c>
      <x:c r="S179" s="9" t="str">
        <x:v>2025-11</x:v>
      </x:c>
    </x:row>
    <x:row r="180" ht="17" customHeight="1">
      <x:c r="A180" s="9" t="str">
        <x:v>2025-11-01</x:v>
      </x:c>
      <x:c r="B180" s="9" t="str">
        <x:v>Wholesale</x:v>
      </x:c>
      <x:c r="C180" s="107" t="n">
        <x:v>20.81049238</x:v>
      </x:c>
      <x:c r="D180" s="107" t="n">
        <x:v>0</x:v>
      </x:c>
      <x:c r="E180" s="107" t="n">
        <x:v>0</x:v>
      </x:c>
      <x:c r="F180" s="107" t="n">
        <x:v>4.0238107</x:v>
      </x:c>
      <x:c r="G180" s="107" t="n">
        <x:v>34.40982959</x:v>
      </x:c>
      <x:c r="H180" s="107" t="n">
        <x:v>0</x:v>
      </x:c>
      <x:c r="I180" s="107" t="n">
        <x:v>13.599337210000005</x:v>
      </x:c>
      <x:c r="J180" s="107" t="n">
        <x:v>9.575526510000005</x:v>
      </x:c>
      <x:c r="K180" s="107" t="n">
        <x:v>9.575526510000005</x:v>
      </x:c>
      <x:c r="L180" s="107" t="n">
        <x:v>9.575526510000005</x:v>
      </x:c>
      <x:c r="M180" s="107" t="n">
        <x:v>9.575526510000005</x:v>
      </x:c>
      <x:c r="N180" s="108" t="n">
        <x:v>0.3952166393161148</x:v>
      </x:c>
      <x:c r="O180" s="108" t="n">
        <x:v>0.27827881230724816</x:v>
      </x:c>
      <x:c r="P180" s="108" t="n">
        <x:v>0.27827881230724816</x:v>
      </x:c>
      <x:c r="Q180" s="9" t="str">
        <x:v>Actual</x:v>
      </x:c>
      <x:c r="R180" s="9" t="n">
        <x:v>2025</x:v>
      </x:c>
      <x:c r="S180" s="9" t="str">
        <x:v>2025-11</x:v>
      </x:c>
    </x:row>
    <x:row r="181" ht="17" customHeight="1">
      <x:c r="A181" s="9" t="str">
        <x:v>2025-12-01</x:v>
      </x:c>
      <x:c r="B181" s="9" t="str">
        <x:v>Digital Commerce</x:v>
      </x:c>
      <x:c r="C181" s="107" t="n">
        <x:v>37.89610327</x:v>
      </x:c>
      <x:c r="D181" s="107" t="n">
        <x:v>0</x:v>
      </x:c>
      <x:c r="E181" s="107" t="n">
        <x:v>0</x:v>
      </x:c>
      <x:c r="F181" s="107" t="n">
        <x:v>11.67308816</x:v>
      </x:c>
      <x:c r="G181" s="107" t="n">
        <x:v>82.4188112</x:v>
      </x:c>
      <x:c r="H181" s="107" t="n">
        <x:v>0</x:v>
      </x:c>
      <x:c r="I181" s="107" t="n">
        <x:v>44.522707929999996</x:v>
      </x:c>
      <x:c r="J181" s="107" t="n">
        <x:v>32.84961976999999</x:v>
      </x:c>
      <x:c r="K181" s="107" t="n">
        <x:v>32.84961976999999</x:v>
      </x:c>
      <x:c r="L181" s="107" t="n">
        <x:v>32.84961976999999</x:v>
      </x:c>
      <x:c r="M181" s="107" t="n">
        <x:v>32.84961976999999</x:v>
      </x:c>
      <x:c r="N181" s="108" t="n">
        <x:v>0.5402008022411272</x:v>
      </x:c>
      <x:c r="O181" s="108" t="n">
        <x:v>0.39856944418048096</x:v>
      </x:c>
      <x:c r="P181" s="108" t="n">
        <x:v>0.39856944418048096</x:v>
      </x:c>
      <x:c r="Q181" s="9" t="str">
        <x:v>Actual</x:v>
      </x:c>
      <x:c r="R181" s="9" t="n">
        <x:v>2025</x:v>
      </x:c>
      <x:c r="S181" s="9" t="str">
        <x:v>2025-12</x:v>
      </x:c>
    </x:row>
    <x:row r="182" ht="17" customHeight="1">
      <x:c r="A182" s="9" t="str">
        <x:v>2025-12-01</x:v>
      </x:c>
      <x:c r="B182" s="9" t="str">
        <x:v>Retail Stores</x:v>
      </x:c>
      <x:c r="C182" s="107" t="n">
        <x:v>23.90830932</x:v>
      </x:c>
      <x:c r="D182" s="107" t="n">
        <x:v>0.24166667</x:v>
      </x:c>
      <x:c r="E182" s="107" t="n">
        <x:v>0</x:v>
      </x:c>
      <x:c r="F182" s="107" t="n">
        <x:v>8.27420101</x:v>
      </x:c>
      <x:c r="G182" s="107" t="n">
        <x:v>46.489799420000004</x:v>
      </x:c>
      <x:c r="H182" s="107" t="n">
        <x:v>0</x:v>
      </x:c>
      <x:c r="I182" s="107" t="n">
        <x:v>22.5814901</x:v>
      </x:c>
      <x:c r="J182" s="107" t="n">
        <x:v>14.307289090000001</x:v>
      </x:c>
      <x:c r="K182" s="107" t="n">
        <x:v>14.065622420000002</x:v>
      </x:c>
      <x:c r="L182" s="107" t="n">
        <x:v>14.065622420000002</x:v>
      </x:c>
      <x:c r="M182" s="107" t="n">
        <x:v>14.065622420000002</x:v>
      </x:c>
      <x:c r="N182" s="108" t="n">
        <x:v>0.485729996294314</x:v>
      </x:c>
      <x:c r="O182" s="108" t="n">
        <x:v>0.3077511468858904</x:v>
      </x:c>
      <x:c r="P182" s="108" t="n">
        <x:v>0.30255287386653995</x:v>
      </x:c>
      <x:c r="Q182" s="9" t="str">
        <x:v>Actual</x:v>
      </x:c>
      <x:c r="R182" s="9" t="n">
        <x:v>2025</x:v>
      </x:c>
      <x:c r="S182" s="9" t="str">
        <x:v>2025-12</x:v>
      </x:c>
    </x:row>
    <x:row r="183" ht="17" customHeight="1">
      <x:c r="A183" s="9" t="str">
        <x:v>2025-12-01</x:v>
      </x:c>
      <x:c r="B183" s="9" t="str">
        <x:v>Shared Services</x:v>
      </x:c>
      <x:c r="C183" s="107" t="n">
        <x:v>0</x:v>
      </x:c>
      <x:c r="D183" s="107" t="n">
        <x:v>0.646875</x:v>
      </x:c>
      <x:c r="E183" s="107" t="n">
        <x:v>0.471912</x:v>
      </x:c>
      <x:c r="F183" s="107" t="n">
        <x:v>32.56091563</x:v>
      </x:c>
      <x:c r="G183" s="107" t="n">
        <x:v>0</x:v>
      </x:c>
      <x:c r="H183" s="107" t="n">
        <x:v>6.15823921</x:v>
      </x:c>
      <x:c r="I183" s="107" t="n">
        <x:v>0</x:v>
      </x:c>
      <x:c r="J183" s="107" t="n">
        <x:v>-32.56091563</x:v>
      </x:c>
      <x:c r="K183" s="107" t="n">
        <x:v>-33.20779063</x:v>
      </x:c>
      <x:c r="L183" s="107" t="n">
        <x:v>-33.679702629999994</x:v>
      </x:c>
      <x:c r="M183" s="107" t="n">
        <x:v>-39.83794184</x:v>
      </x:c>
      <x:c r="N183" s="108"/>
      <x:c r="O183" s="108"/>
      <x:c r="P183" s="108"/>
      <x:c r="Q183" s="9" t="str">
        <x:v>Actual</x:v>
      </x:c>
      <x:c r="R183" s="9" t="n">
        <x:v>2025</x:v>
      </x:c>
      <x:c r="S183" s="9" t="str">
        <x:v>2025-12</x:v>
      </x:c>
    </x:row>
    <x:row r="184" ht="17" customHeight="1">
      <x:c r="A184" s="9" t="str">
        <x:v>2025-12-01</x:v>
      </x:c>
      <x:c r="B184" s="9" t="str">
        <x:v>Subscription Services</x:v>
      </x:c>
      <x:c r="C184" s="107" t="n">
        <x:v>2.03954068</x:v>
      </x:c>
      <x:c r="D184" s="107" t="n">
        <x:v>0.19479167</x:v>
      </x:c>
      <x:c r="E184" s="107" t="n">
        <x:v>0</x:v>
      </x:c>
      <x:c r="F184" s="107" t="n">
        <x:v>3.2767605100000003</x:v>
      </x:c>
      <x:c r="G184" s="107" t="n">
        <x:v>8.07988932</x:v>
      </x:c>
      <x:c r="H184" s="107" t="n">
        <x:v>0</x:v>
      </x:c>
      <x:c r="I184" s="107" t="n">
        <x:v>6.04034864</x:v>
      </x:c>
      <x:c r="J184" s="107" t="n">
        <x:v>2.7635881300000005</x:v>
      </x:c>
      <x:c r="K184" s="107" t="n">
        <x:v>2.5687964600000006</x:v>
      </x:c>
      <x:c r="L184" s="107" t="n">
        <x:v>2.5687964600000006</x:v>
      </x:c>
      <x:c r="M184" s="107" t="n">
        <x:v>2.5687964600000006</x:v>
      </x:c>
      <x:c r="N184" s="108" t="n">
        <x:v>0.7475781413302826</x:v>
      </x:c>
      <x:c r="O184" s="108" t="n">
        <x:v>0.34203291908458966</x:v>
      </x:c>
      <x:c r="P184" s="108" t="n">
        <x:v>0.31792470889935415</x:v>
      </x:c>
      <x:c r="Q184" s="9" t="str">
        <x:v>Actual</x:v>
      </x:c>
      <x:c r="R184" s="9" t="n">
        <x:v>2025</x:v>
      </x:c>
      <x:c r="S184" s="9" t="str">
        <x:v>2025-12</x:v>
      </x:c>
    </x:row>
    <x:row r="185" ht="17" customHeight="1">
      <x:c r="A185" s="9" t="str">
        <x:v>2025-12-01</x:v>
      </x:c>
      <x:c r="B185" s="9" t="str">
        <x:v>Wholesale</x:v>
      </x:c>
      <x:c r="C185" s="107" t="n">
        <x:v>19.36490454</x:v>
      </x:c>
      <x:c r="D185" s="107" t="n">
        <x:v>0</x:v>
      </x:c>
      <x:c r="E185" s="107" t="n">
        <x:v>0</x:v>
      </x:c>
      <x:c r="F185" s="107" t="n">
        <x:v>3.82388018</x:v>
      </x:c>
      <x:c r="G185" s="107" t="n">
        <x:v>32.01740553</x:v>
      </x:c>
      <x:c r="H185" s="107" t="n">
        <x:v>0</x:v>
      </x:c>
      <x:c r="I185" s="107" t="n">
        <x:v>12.652500989999998</x:v>
      </x:c>
      <x:c r="J185" s="107" t="n">
        <x:v>8.828620809999999</x:v>
      </x:c>
      <x:c r="K185" s="107" t="n">
        <x:v>8.828620809999999</x:v>
      </x:c>
      <x:c r="L185" s="107" t="n">
        <x:v>8.828620809999999</x:v>
      </x:c>
      <x:c r="M185" s="107" t="n">
        <x:v>8.828620809999999</x:v>
      </x:c>
      <x:c r="N185" s="108" t="n">
        <x:v>0.39517571085342085</x:v>
      </x:c>
      <x:c r="O185" s="108" t="n">
        <x:v>0.2757444166338733</x:v>
      </x:c>
      <x:c r="P185" s="108" t="n">
        <x:v>0.2757444166338733</x:v>
      </x:c>
      <x:c r="Q185" s="9" t="str">
        <x:v>Actual</x:v>
      </x:c>
      <x:c r="R185" s="9" t="n">
        <x:v>2025</x:v>
      </x:c>
      <x:c r="S185" s="9" t="str">
        <x:v>2025-12</x:v>
      </x:c>
    </x:row>
    <x:row r="186" ht="17" customHeight="1">
      <x:c r="A186" s="9" t="str">
        <x:v>2026-01-01</x:v>
      </x:c>
      <x:c r="B186" s="9" t="str">
        <x:v>Digital Commerce</x:v>
      </x:c>
      <x:c r="C186" s="107" t="n">
        <x:v>24.8732717</x:v>
      </x:c>
      <x:c r="D186" s="107" t="n">
        <x:v>0</x:v>
      </x:c>
      <x:c r="E186" s="107" t="n">
        <x:v>0</x:v>
      </x:c>
      <x:c r="F186" s="107" t="n">
        <x:v>9.78187847</x:v>
      </x:c>
      <x:c r="G186" s="107" t="n">
        <x:v>54.27751866</x:v>
      </x:c>
      <x:c r="H186" s="107" t="n">
        <x:v>0</x:v>
      </x:c>
      <x:c r="I186" s="107" t="n">
        <x:v>29.40424696</x:v>
      </x:c>
      <x:c r="J186" s="107" t="n">
        <x:v>19.622368489999996</x:v>
      </x:c>
      <x:c r="K186" s="107" t="n">
        <x:v>19.622368489999996</x:v>
      </x:c>
      <x:c r="L186" s="107" t="n">
        <x:v>19.622368489999996</x:v>
      </x:c>
      <x:c r="M186" s="107" t="n">
        <x:v>19.622368489999996</x:v>
      </x:c>
      <x:c r="N186" s="108" t="n">
        <x:v>0.5417389682861379</x:v>
      </x:c>
      <x:c r="O186" s="108" t="n">
        <x:v>0.3615192620155786</x:v>
      </x:c>
      <x:c r="P186" s="108" t="n">
        <x:v>0.3615192620155786</x:v>
      </x:c>
      <x:c r="Q186" s="9" t="str">
        <x:v>Actual</x:v>
      </x:c>
      <x:c r="R186" s="9" t="n">
        <x:v>2026</x:v>
      </x:c>
      <x:c r="S186" s="9" t="str">
        <x:v>2026-01</x:v>
      </x:c>
    </x:row>
    <x:row r="187" ht="17" customHeight="1">
      <x:c r="A187" s="9" t="str">
        <x:v>2026-01-01</x:v>
      </x:c>
      <x:c r="B187" s="9" t="str">
        <x:v>Retail Stores</x:v>
      </x:c>
      <x:c r="C187" s="107" t="n">
        <x:v>15.33601742</x:v>
      </x:c>
      <x:c r="D187" s="107" t="n">
        <x:v>0.24166667</x:v>
      </x:c>
      <x:c r="E187" s="107" t="n">
        <x:v>0</x:v>
      </x:c>
      <x:c r="F187" s="107" t="n">
        <x:v>7.637770560000001</x:v>
      </x:c>
      <x:c r="G187" s="107" t="n">
        <x:v>30.374320330000003</x:v>
      </x:c>
      <x:c r="H187" s="107" t="n">
        <x:v>0</x:v>
      </x:c>
      <x:c r="I187" s="107" t="n">
        <x:v>15.038302910000002</x:v>
      </x:c>
      <x:c r="J187" s="107" t="n">
        <x:v>7.4005323500000015</x:v>
      </x:c>
      <x:c r="K187" s="107" t="n">
        <x:v>7.158865680000002</x:v>
      </x:c>
      <x:c r="L187" s="107" t="n">
        <x:v>7.158865680000002</x:v>
      </x:c>
      <x:c r="M187" s="107" t="n">
        <x:v>7.158865680000002</x:v>
      </x:c>
      <x:c r="N187" s="108" t="n">
        <x:v>0.4950992399703846</x:v>
      </x:c>
      <x:c r="O187" s="108" t="n">
        <x:v>0.2436443768814366</x:v>
      </x:c>
      <x:c r="P187" s="108" t="n">
        <x:v>0.2356880944897838</x:v>
      </x:c>
      <x:c r="Q187" s="9" t="str">
        <x:v>Actual</x:v>
      </x:c>
      <x:c r="R187" s="9" t="n">
        <x:v>2026</x:v>
      </x:c>
      <x:c r="S187" s="9" t="str">
        <x:v>2026-01</x:v>
      </x:c>
    </x:row>
    <x:row r="188" ht="17" customHeight="1">
      <x:c r="A188" s="9" t="str">
        <x:v>2026-01-01</x:v>
      </x:c>
      <x:c r="B188" s="9" t="str">
        <x:v>Shared Services</x:v>
      </x:c>
      <x:c r="C188" s="107" t="n">
        <x:v>0</x:v>
      </x:c>
      <x:c r="D188" s="107" t="n">
        <x:v>0.646875</x:v>
      </x:c>
      <x:c r="E188" s="107" t="n">
        <x:v>0.50022672</x:v>
      </x:c>
      <x:c r="F188" s="107" t="n">
        <x:v>33.68967684</x:v>
      </x:c>
      <x:c r="G188" s="107" t="n">
        <x:v>0</x:v>
      </x:c>
      <x:c r="H188" s="107" t="n">
        <x:v>0.70307781</x:v>
      </x:c>
      <x:c r="I188" s="107" t="n">
        <x:v>0</x:v>
      </x:c>
      <x:c r="J188" s="107" t="n">
        <x:v>-33.68967684</x:v>
      </x:c>
      <x:c r="K188" s="107" t="n">
        <x:v>-34.33655184</x:v>
      </x:c>
      <x:c r="L188" s="107" t="n">
        <x:v>-34.83677855999999</x:v>
      </x:c>
      <x:c r="M188" s="107" t="n">
        <x:v>-35.539856369999995</x:v>
      </x:c>
      <x:c r="N188" s="108"/>
      <x:c r="O188" s="108"/>
      <x:c r="P188" s="108"/>
      <x:c r="Q188" s="9" t="str">
        <x:v>Actual</x:v>
      </x:c>
      <x:c r="R188" s="9" t="n">
        <x:v>2026</x:v>
      </x:c>
      <x:c r="S188" s="9" t="str">
        <x:v>2026-01</x:v>
      </x:c>
    </x:row>
    <x:row r="189" ht="17" customHeight="1">
      <x:c r="A189" s="9" t="str">
        <x:v>2026-01-01</x:v>
      </x:c>
      <x:c r="B189" s="9" t="str">
        <x:v>Subscription Services</x:v>
      </x:c>
      <x:c r="C189" s="107" t="n">
        <x:v>1.9683948500000001</x:v>
      </x:c>
      <x:c r="D189" s="107" t="n">
        <x:v>0.19479167</x:v>
      </x:c>
      <x:c r="E189" s="107" t="n">
        <x:v>0</x:v>
      </x:c>
      <x:c r="F189" s="107" t="n">
        <x:v>3.3456762</x:v>
      </x:c>
      <x:c r="G189" s="107" t="n">
        <x:v>7.8494106200000004</x:v>
      </x:c>
      <x:c r="H189" s="107" t="n">
        <x:v>0</x:v>
      </x:c>
      <x:c r="I189" s="107" t="n">
        <x:v>5.881015769999999</x:v>
      </x:c>
      <x:c r="J189" s="107" t="n">
        <x:v>2.535339569999999</x:v>
      </x:c>
      <x:c r="K189" s="107" t="n">
        <x:v>2.3405478999999993</x:v>
      </x:c>
      <x:c r="L189" s="107" t="n">
        <x:v>2.3405478999999993</x:v>
      </x:c>
      <x:c r="M189" s="107" t="n">
        <x:v>2.3405478999999993</x:v>
      </x:c>
      <x:c r="N189" s="108" t="n">
        <x:v>0.7492302358364836</x:v>
      </x:c>
      <x:c r="O189" s="108" t="n">
        <x:v>0.32299744436098815</x:v>
      </x:c>
      <x:c r="P189" s="108" t="n">
        <x:v>0.29818135568502074</x:v>
      </x:c>
      <x:c r="Q189" s="9" t="str">
        <x:v>Actual</x:v>
      </x:c>
      <x:c r="R189" s="9" t="n">
        <x:v>2026</x:v>
      </x:c>
      <x:c r="S189" s="9" t="str">
        <x:v>2026-01</x:v>
      </x:c>
    </x:row>
    <x:row r="190" ht="17" customHeight="1">
      <x:c r="A190" s="9" t="str">
        <x:v>2026-01-01</x:v>
      </x:c>
      <x:c r="B190" s="9" t="str">
        <x:v>Wholesale</x:v>
      </x:c>
      <x:c r="C190" s="107" t="n">
        <x:v>19.20856685</x:v>
      </x:c>
      <x:c r="D190" s="107" t="n">
        <x:v>0</x:v>
      </x:c>
      <x:c r="E190" s="107" t="n">
        <x:v>0</x:v>
      </x:c>
      <x:c r="F190" s="107" t="n">
        <x:v>3.9145798299999996</x:v>
      </x:c>
      <x:c r="G190" s="107" t="n">
        <x:v>31.650454409999995</x:v>
      </x:c>
      <x:c r="H190" s="107" t="n">
        <x:v>0</x:v>
      </x:c>
      <x:c r="I190" s="107" t="n">
        <x:v>12.441887559999994</x:v>
      </x:c>
      <x:c r="J190" s="107" t="n">
        <x:v>8.527307729999995</x:v>
      </x:c>
      <x:c r="K190" s="107" t="n">
        <x:v>8.527307729999995</x:v>
      </x:c>
      <x:c r="L190" s="107" t="n">
        <x:v>8.527307729999995</x:v>
      </x:c>
      <x:c r="M190" s="107" t="n">
        <x:v>8.527307729999995</x:v>
      </x:c>
      <x:c r="N190" s="108" t="n">
        <x:v>0.39310296777505244</x:v>
      </x:c>
      <x:c r="O190" s="108" t="n">
        <x:v>0.2694213365639952</x:v>
      </x:c>
      <x:c r="P190" s="108" t="n">
        <x:v>0.2694213365639952</x:v>
      </x:c>
      <x:c r="Q190" s="9" t="str">
        <x:v>Actual</x:v>
      </x:c>
      <x:c r="R190" s="9" t="n">
        <x:v>2026</x:v>
      </x:c>
      <x:c r="S190" s="9" t="str">
        <x:v>2026-01</x:v>
      </x:c>
    </x:row>
    <x:row r="191" ht="17" customHeight="1">
      <x:c r="A191" s="9" t="str">
        <x:v>2026-02-01</x:v>
      </x:c>
      <x:c r="B191" s="9" t="str">
        <x:v>Digital Commerce</x:v>
      </x:c>
      <x:c r="C191" s="107" t="n">
        <x:v>25.907237300000002</x:v>
      </x:c>
      <x:c r="D191" s="107" t="n">
        <x:v>0</x:v>
      </x:c>
      <x:c r="E191" s="107" t="n">
        <x:v>0</x:v>
      </x:c>
      <x:c r="F191" s="107" t="n">
        <x:v>9.90810041</x:v>
      </x:c>
      <x:c r="G191" s="107" t="n">
        <x:v>55.936035579999995</x:v>
      </x:c>
      <x:c r="H191" s="107" t="n">
        <x:v>0</x:v>
      </x:c>
      <x:c r="I191" s="107" t="n">
        <x:v>30.028798279999997</x:v>
      </x:c>
      <x:c r="J191" s="107" t="n">
        <x:v>20.120697869999997</x:v>
      </x:c>
      <x:c r="K191" s="107" t="n">
        <x:v>20.120697869999997</x:v>
      </x:c>
      <x:c r="L191" s="107" t="n">
        <x:v>20.120697869999997</x:v>
      </x:c>
      <x:c r="M191" s="107" t="n">
        <x:v>20.120697869999997</x:v>
      </x:c>
      <x:c r="N191" s="108" t="n">
        <x:v>0.5368417330372415</x:v>
      </x:c>
      <x:c r="O191" s="108" t="n">
        <x:v>0.35970904375629686</x:v>
      </x:c>
      <x:c r="P191" s="108" t="n">
        <x:v>0.35970904375629686</x:v>
      </x:c>
      <x:c r="Q191" s="9" t="str">
        <x:v>Actual</x:v>
      </x:c>
      <x:c r="R191" s="9" t="n">
        <x:v>2026</x:v>
      </x:c>
      <x:c r="S191" s="9" t="str">
        <x:v>2026-02</x:v>
      </x:c>
    </x:row>
    <x:row r="192" ht="17" customHeight="1">
      <x:c r="A192" s="9" t="str">
        <x:v>2026-02-01</x:v>
      </x:c>
      <x:c r="B192" s="9" t="str">
        <x:v>Retail Stores</x:v>
      </x:c>
      <x:c r="C192" s="107" t="n">
        <x:v>15.58574385</x:v>
      </x:c>
      <x:c r="D192" s="107" t="n">
        <x:v>0.24166667</x:v>
      </x:c>
      <x:c r="E192" s="107" t="n">
        <x:v>0</x:v>
      </x:c>
      <x:c r="F192" s="107" t="n">
        <x:v>7.74425855</x:v>
      </x:c>
      <x:c r="G192" s="107" t="n">
        <x:v>30.572611700000003</x:v>
      </x:c>
      <x:c r="H192" s="107" t="n">
        <x:v>0</x:v>
      </x:c>
      <x:c r="I192" s="107" t="n">
        <x:v>14.986867850000003</x:v>
      </x:c>
      <x:c r="J192" s="107" t="n">
        <x:v>7.242609300000003</x:v>
      </x:c>
      <x:c r="K192" s="107" t="n">
        <x:v>7.0009426300000035</x:v>
      </x:c>
      <x:c r="L192" s="107" t="n">
        <x:v>7.0009426300000035</x:v>
      </x:c>
      <x:c r="M192" s="107" t="n">
        <x:v>7.0009426300000035</x:v>
      </x:c>
      <x:c r="N192" s="108" t="n">
        <x:v>0.49020567811025456</x:v>
      </x:c>
      <x:c r="O192" s="108" t="n">
        <x:v>0.23689861275410773</x:v>
      </x:c>
      <x:c r="P192" s="108" t="n">
        <x:v>0.22899393413615374</x:v>
      </x:c>
      <x:c r="Q192" s="9" t="str">
        <x:v>Actual</x:v>
      </x:c>
      <x:c r="R192" s="9" t="n">
        <x:v>2026</x:v>
      </x:c>
      <x:c r="S192" s="9" t="str">
        <x:v>2026-02</x:v>
      </x:c>
    </x:row>
    <x:row r="193" ht="17" customHeight="1">
      <x:c r="A193" s="9" t="str">
        <x:v>2026-02-01</x:v>
      </x:c>
      <x:c r="B193" s="9" t="str">
        <x:v>Shared Services</x:v>
      </x:c>
      <x:c r="C193" s="107" t="n">
        <x:v>0</x:v>
      </x:c>
      <x:c r="D193" s="107" t="n">
        <x:v>0.646875</x:v>
      </x:c>
      <x:c r="E193" s="107" t="n">
        <x:v>0.50022672</x:v>
      </x:c>
      <x:c r="F193" s="107" t="n">
        <x:v>34.249404240000004</x:v>
      </x:c>
      <x:c r="G193" s="107" t="n">
        <x:v>0</x:v>
      </x:c>
      <x:c r="H193" s="107" t="n">
        <x:v>0.85266519</x:v>
      </x:c>
      <x:c r="I193" s="107" t="n">
        <x:v>0</x:v>
      </x:c>
      <x:c r="J193" s="107" t="n">
        <x:v>-34.249404240000004</x:v>
      </x:c>
      <x:c r="K193" s="107" t="n">
        <x:v>-34.896279240000005</x:v>
      </x:c>
      <x:c r="L193" s="107" t="n">
        <x:v>-35.39650596</x:v>
      </x:c>
      <x:c r="M193" s="107" t="n">
        <x:v>-36.249171149999995</x:v>
      </x:c>
      <x:c r="N193" s="108"/>
      <x:c r="O193" s="108"/>
      <x:c r="P193" s="108"/>
      <x:c r="Q193" s="9" t="str">
        <x:v>Actual</x:v>
      </x:c>
      <x:c r="R193" s="9" t="n">
        <x:v>2026</x:v>
      </x:c>
      <x:c r="S193" s="9" t="str">
        <x:v>2026-02</x:v>
      </x:c>
    </x:row>
    <x:row r="194" ht="17" customHeight="1">
      <x:c r="A194" s="9" t="str">
        <x:v>2026-02-01</x:v>
      </x:c>
      <x:c r="B194" s="9" t="str">
        <x:v>Subscription Services</x:v>
      </x:c>
      <x:c r="C194" s="107" t="n">
        <x:v>2.08376024</x:v>
      </x:c>
      <x:c r="D194" s="107" t="n">
        <x:v>0.19479167</x:v>
      </x:c>
      <x:c r="E194" s="107" t="n">
        <x:v>0</x:v>
      </x:c>
      <x:c r="F194" s="107" t="n">
        <x:v>3.39609439</x:v>
      </x:c>
      <x:c r="G194" s="107" t="n">
        <x:v>8.2086197</x:v>
      </x:c>
      <x:c r="H194" s="107" t="n">
        <x:v>0</x:v>
      </x:c>
      <x:c r="I194" s="107" t="n">
        <x:v>6.12485946</x:v>
      </x:c>
      <x:c r="J194" s="107" t="n">
        <x:v>2.7287650699999997</x:v>
      </x:c>
      <x:c r="K194" s="107" t="n">
        <x:v>2.5339734</x:v>
      </x:c>
      <x:c r="L194" s="107" t="n">
        <x:v>2.5339734</x:v>
      </x:c>
      <x:c r="M194" s="107" t="n">
        <x:v>2.5339734</x:v>
      </x:c>
      <x:c r="N194" s="108" t="n">
        <x:v>0.7461497406196075</x:v>
      </x:c>
      <x:c r="O194" s="108" t="n">
        <x:v>0.33242678668619524</x:v>
      </x:c>
      <x:c r="P194" s="108" t="n">
        <x:v>0.30869664969373595</x:v>
      </x:c>
      <x:c r="Q194" s="9" t="str">
        <x:v>Actual</x:v>
      </x:c>
      <x:c r="R194" s="9" t="n">
        <x:v>2026</x:v>
      </x:c>
      <x:c r="S194" s="9" t="str">
        <x:v>2026-02</x:v>
      </x:c>
    </x:row>
    <x:row r="195" ht="17" customHeight="1">
      <x:c r="A195" s="9" t="str">
        <x:v>2026-02-01</x:v>
      </x:c>
      <x:c r="B195" s="9" t="str">
        <x:v>Wholesale</x:v>
      </x:c>
      <x:c r="C195" s="107" t="n">
        <x:v>19.56722751</x:v>
      </x:c>
      <x:c r="D195" s="107" t="n">
        <x:v>0</x:v>
      </x:c>
      <x:c r="E195" s="107" t="n">
        <x:v>0</x:v>
      </x:c>
      <x:c r="F195" s="107" t="n">
        <x:v>3.90997024</x:v>
      </x:c>
      <x:c r="G195" s="107" t="n">
        <x:v>32.628750579999995</x:v>
      </x:c>
      <x:c r="H195" s="107" t="n">
        <x:v>0</x:v>
      </x:c>
      <x:c r="I195" s="107" t="n">
        <x:v>13.06152307</x:v>
      </x:c>
      <x:c r="J195" s="107" t="n">
        <x:v>9.15155283</x:v>
      </x:c>
      <x:c r="K195" s="107" t="n">
        <x:v>9.15155283</x:v>
      </x:c>
      <x:c r="L195" s="107" t="n">
        <x:v>9.15155283</x:v>
      </x:c>
      <x:c r="M195" s="107" t="n">
        <x:v>9.15155283</x:v>
      </x:c>
      <x:c r="N195" s="108" t="n">
        <x:v>0.40030717811199745</x:v>
      </x:c>
      <x:c r="O195" s="108" t="n">
        <x:v>0.2804751229306801</x:v>
      </x:c>
      <x:c r="P195" s="108" t="n">
        <x:v>0.2804751229306801</x:v>
      </x:c>
      <x:c r="Q195" s="9" t="str">
        <x:v>Actual</x:v>
      </x:c>
      <x:c r="R195" s="9" t="n">
        <x:v>2026</x:v>
      </x:c>
      <x:c r="S195" s="9" t="str">
        <x:v>2026-02</x:v>
      </x:c>
    </x:row>
    <x:row r="196" ht="17" customHeight="1">
      <x:c r="A196" s="9" t="str">
        <x:v>2026-03-01</x:v>
      </x:c>
      <x:c r="B196" s="9" t="str">
        <x:v>Digital Commerce</x:v>
      </x:c>
      <x:c r="C196" s="107" t="n">
        <x:v>27.56205183</x:v>
      </x:c>
      <x:c r="D196" s="107" t="n">
        <x:v>0</x:v>
      </x:c>
      <x:c r="E196" s="107" t="n">
        <x:v>0</x:v>
      </x:c>
      <x:c r="F196" s="107" t="n">
        <x:v>9.95874578</x:v>
      </x:c>
      <x:c r="G196" s="107" t="n">
        <x:v>59.88761857</x:v>
      </x:c>
      <x:c r="H196" s="107" t="n">
        <x:v>0</x:v>
      </x:c>
      <x:c r="I196" s="107" t="n">
        <x:v>32.32556674</x:v>
      </x:c>
      <x:c r="J196" s="107" t="n">
        <x:v>22.366820960000002</x:v>
      </x:c>
      <x:c r="K196" s="107" t="n">
        <x:v>22.366820960000002</x:v>
      </x:c>
      <x:c r="L196" s="107" t="n">
        <x:v>22.366820960000002</x:v>
      </x:c>
      <x:c r="M196" s="107" t="n">
        <x:v>22.366820960000002</x:v>
      </x:c>
      <x:c r="N196" s="108" t="n">
        <x:v>0.5397704485813886</x:v>
      </x:c>
      <x:c r="O196" s="108" t="n">
        <x:v>0.3734798860611966</x:v>
      </x:c>
      <x:c r="P196" s="108" t="n">
        <x:v>0.3734798860611966</x:v>
      </x:c>
      <x:c r="Q196" s="9" t="str">
        <x:v>Actual</x:v>
      </x:c>
      <x:c r="R196" s="9" t="n">
        <x:v>2026</x:v>
      </x:c>
      <x:c r="S196" s="9" t="str">
        <x:v>2026-03</x:v>
      </x:c>
    </x:row>
    <x:row r="197" ht="17" customHeight="1">
      <x:c r="A197" s="9" t="str">
        <x:v>2026-03-01</x:v>
      </x:c>
      <x:c r="B197" s="9" t="str">
        <x:v>Retail Stores</x:v>
      </x:c>
      <x:c r="C197" s="107" t="n">
        <x:v>18.27310429</x:v>
      </x:c>
      <x:c r="D197" s="107" t="n">
        <x:v>0.24166667</x:v>
      </x:c>
      <x:c r="E197" s="107" t="n">
        <x:v>0</x:v>
      </x:c>
      <x:c r="F197" s="107" t="n">
        <x:v>7.92372716</x:v>
      </x:c>
      <x:c r="G197" s="107" t="n">
        <x:v>35.77222958</x:v>
      </x:c>
      <x:c r="H197" s="107" t="n">
        <x:v>0</x:v>
      </x:c>
      <x:c r="I197" s="107" t="n">
        <x:v>17.49912529</x:v>
      </x:c>
      <x:c r="J197" s="107" t="n">
        <x:v>9.575398129999998</x:v>
      </x:c>
      <x:c r="K197" s="107" t="n">
        <x:v>9.33373146</x:v>
      </x:c>
      <x:c r="L197" s="107" t="n">
        <x:v>9.33373146</x:v>
      </x:c>
      <x:c r="M197" s="107" t="n">
        <x:v>9.33373146</x:v>
      </x:c>
      <x:c r="N197" s="108" t="n">
        <x:v>0.48918184567907497</x:v>
      </x:c>
      <x:c r="O197" s="108" t="n">
        <x:v>0.2676768611412898</x:v>
      </x:c>
      <x:c r="P197" s="108" t="n">
        <x:v>0.26092115502966645</x:v>
      </x:c>
      <x:c r="Q197" s="9" t="str">
        <x:v>Actual</x:v>
      </x:c>
      <x:c r="R197" s="9" t="n">
        <x:v>2026</x:v>
      </x:c>
      <x:c r="S197" s="9" t="str">
        <x:v>2026-03</x:v>
      </x:c>
    </x:row>
    <x:row r="198" ht="17" customHeight="1">
      <x:c r="A198" s="9" t="str">
        <x:v>2026-03-01</x:v>
      </x:c>
      <x:c r="B198" s="9" t="str">
        <x:v>Shared Services</x:v>
      </x:c>
      <x:c r="C198" s="107" t="n">
        <x:v>0</x:v>
      </x:c>
      <x:c r="D198" s="107" t="n">
        <x:v>0.816875</x:v>
      </x:c>
      <x:c r="E198" s="107" t="n">
        <x:v>0.50022672</x:v>
      </x:c>
      <x:c r="F198" s="107" t="n">
        <x:v>34.119415479999994</x:v>
      </x:c>
      <x:c r="G198" s="107" t="n">
        <x:v>0</x:v>
      </x:c>
      <x:c r="H198" s="107" t="n">
        <x:v>2.28186116</x:v>
      </x:c>
      <x:c r="I198" s="107" t="n">
        <x:v>0</x:v>
      </x:c>
      <x:c r="J198" s="107" t="n">
        <x:v>-34.119415479999994</x:v>
      </x:c>
      <x:c r="K198" s="107" t="n">
        <x:v>-34.93629048</x:v>
      </x:c>
      <x:c r="L198" s="107" t="n">
        <x:v>-35.4365172</x:v>
      </x:c>
      <x:c r="M198" s="107" t="n">
        <x:v>-37.71837836</x:v>
      </x:c>
      <x:c r="N198" s="108"/>
      <x:c r="O198" s="108"/>
      <x:c r="P198" s="108"/>
      <x:c r="Q198" s="9" t="str">
        <x:v>Actual</x:v>
      </x:c>
      <x:c r="R198" s="9" t="n">
        <x:v>2026</x:v>
      </x:c>
      <x:c r="S198" s="9" t="str">
        <x:v>2026-03</x:v>
      </x:c>
    </x:row>
    <x:row r="199" ht="17" customHeight="1">
      <x:c r="A199" s="9" t="str">
        <x:v>2026-03-01</x:v>
      </x:c>
      <x:c r="B199" s="9" t="str">
        <x:v>Subscription Services</x:v>
      </x:c>
      <x:c r="C199" s="107" t="n">
        <x:v>2.0130106</x:v>
      </x:c>
      <x:c r="D199" s="107" t="n">
        <x:v>0.19479167</x:v>
      </x:c>
      <x:c r="E199" s="107" t="n">
        <x:v>0</x:v>
      </x:c>
      <x:c r="F199" s="107" t="n">
        <x:v>3.3737713300000003</x:v>
      </x:c>
      <x:c r="G199" s="107" t="n">
        <x:v>7.89658806</x:v>
      </x:c>
      <x:c r="H199" s="107" t="n">
        <x:v>0</x:v>
      </x:c>
      <x:c r="I199" s="107" t="n">
        <x:v>5.88357746</x:v>
      </x:c>
      <x:c r="J199" s="107" t="n">
        <x:v>2.50980613</x:v>
      </x:c>
      <x:c r="K199" s="107" t="n">
        <x:v>2.31501446</x:v>
      </x:c>
      <x:c r="L199" s="107" t="n">
        <x:v>2.31501446</x:v>
      </x:c>
      <x:c r="M199" s="107" t="n">
        <x:v>2.31501446</x:v>
      </x:c>
      <x:c r="N199" s="108" t="n">
        <x:v>0.7450784332797018</x:v>
      </x:c>
      <x:c r="O199" s="108" t="n">
        <x:v>0.3178342482765905</x:v>
      </x:c>
      <x:c r="P199" s="108" t="n">
        <x:v>0.2931664210428624</x:v>
      </x:c>
      <x:c r="Q199" s="9" t="str">
        <x:v>Actual</x:v>
      </x:c>
      <x:c r="R199" s="9" t="n">
        <x:v>2026</x:v>
      </x:c>
      <x:c r="S199" s="9" t="str">
        <x:v>2026-03</x:v>
      </x:c>
    </x:row>
    <x:row r="200" ht="17" customHeight="1">
      <x:c r="A200" s="9" t="str">
        <x:v>2026-03-01</x:v>
      </x:c>
      <x:c r="B200" s="9" t="str">
        <x:v>Wholesale</x:v>
      </x:c>
      <x:c r="C200" s="107" t="n">
        <x:v>22.541369239999998</x:v>
      </x:c>
      <x:c r="D200" s="107" t="n">
        <x:v>0</x:v>
      </x:c>
      <x:c r="E200" s="107" t="n">
        <x:v>0</x:v>
      </x:c>
      <x:c r="F200" s="107" t="n">
        <x:v>4.0257203399999995</x:v>
      </x:c>
      <x:c r="G200" s="107" t="n">
        <x:v>37.11548452</x:v>
      </x:c>
      <x:c r="H200" s="107" t="n">
        <x:v>0</x:v>
      </x:c>
      <x:c r="I200" s="107" t="n">
        <x:v>14.574115280000004</x:v>
      </x:c>
      <x:c r="J200" s="107" t="n">
        <x:v>10.548394940000005</x:v>
      </x:c>
      <x:c r="K200" s="107" t="n">
        <x:v>10.548394940000005</x:v>
      </x:c>
      <x:c r="L200" s="107" t="n">
        <x:v>10.548394940000005</x:v>
      </x:c>
      <x:c r="M200" s="107" t="n">
        <x:v>10.548394940000005</x:v>
      </x:c>
      <x:c r="N200" s="108" t="n">
        <x:v>0.3926694065423453</x:v>
      </x:c>
      <x:c r="O200" s="108" t="n">
        <x:v>0.2842046945208518</x:v>
      </x:c>
      <x:c r="P200" s="108" t="n">
        <x:v>0.2842046945208518</x:v>
      </x:c>
      <x:c r="Q200" s="9" t="str">
        <x:v>Actual</x:v>
      </x:c>
      <x:c r="R200" s="9" t="n">
        <x:v>2026</x:v>
      </x:c>
      <x:c r="S200" s="9" t="str">
        <x:v>2026-03</x:v>
      </x:c>
    </x:row>
    <x:row r="201" ht="17" customHeight="1">
      <x:c r="A201" s="9" t="str">
        <x:v>2026-04-01</x:v>
      </x:c>
      <x:c r="B201" s="9" t="str">
        <x:v>Digital Commerce</x:v>
      </x:c>
      <x:c r="C201" s="107" t="n">
        <x:v>29.12608682</x:v>
      </x:c>
      <x:c r="D201" s="107" t="n">
        <x:v>0</x:v>
      </x:c>
      <x:c r="E201" s="107" t="n">
        <x:v>0</x:v>
      </x:c>
      <x:c r="F201" s="107" t="n">
        <x:v>10.631462630000001</x:v>
      </x:c>
      <x:c r="G201" s="107" t="n">
        <x:v>63.25557646</x:v>
      </x:c>
      <x:c r="H201" s="107" t="n">
        <x:v>0</x:v>
      </x:c>
      <x:c r="I201" s="107" t="n">
        <x:v>34.12948964</x:v>
      </x:c>
      <x:c r="J201" s="107" t="n">
        <x:v>23.498027009999998</x:v>
      </x:c>
      <x:c r="K201" s="107" t="n">
        <x:v>23.498027009999998</x:v>
      </x:c>
      <x:c r="L201" s="107" t="n">
        <x:v>23.498027009999998</x:v>
      </x:c>
      <x:c r="M201" s="107" t="n">
        <x:v>23.498027009999998</x:v>
      </x:c>
      <x:c r="N201" s="108" t="n">
        <x:v>0.539549104600793</x:v>
      </x:c>
      <x:c r="O201" s="108" t="n">
        <x:v>0.37147755700019747</x:v>
      </x:c>
      <x:c r="P201" s="108" t="n">
        <x:v>0.37147755700019747</x:v>
      </x:c>
      <x:c r="Q201" s="9" t="str">
        <x:v>Actual</x:v>
      </x:c>
      <x:c r="R201" s="9" t="n">
        <x:v>2026</x:v>
      </x:c>
      <x:c r="S201" s="9" t="str">
        <x:v>2026-04</x:v>
      </x:c>
    </x:row>
    <x:row r="202" ht="17" customHeight="1">
      <x:c r="A202" s="9" t="str">
        <x:v>2026-04-01</x:v>
      </x:c>
      <x:c r="B202" s="9" t="str">
        <x:v>Retail Stores</x:v>
      </x:c>
      <x:c r="C202" s="107" t="n">
        <x:v>18.71554252</x:v>
      </x:c>
      <x:c r="D202" s="107" t="n">
        <x:v>0.24166667</x:v>
      </x:c>
      <x:c r="E202" s="107" t="n">
        <x:v>0</x:v>
      </x:c>
      <x:c r="F202" s="107" t="n">
        <x:v>8.25269909</x:v>
      </x:c>
      <x:c r="G202" s="107" t="n">
        <x:v>36.70621122</x:v>
      </x:c>
      <x:c r="H202" s="107" t="n">
        <x:v>0</x:v>
      </x:c>
      <x:c r="I202" s="107" t="n">
        <x:v>17.9906687</x:v>
      </x:c>
      <x:c r="J202" s="107" t="n">
        <x:v>9.737969609999999</x:v>
      </x:c>
      <x:c r="K202" s="107" t="n">
        <x:v>9.49630294</x:v>
      </x:c>
      <x:c r="L202" s="107" t="n">
        <x:v>9.49630294</x:v>
      </x:c>
      <x:c r="M202" s="107" t="n">
        <x:v>9.49630294</x:v>
      </x:c>
      <x:c r="N202" s="108" t="n">
        <x:v>0.4901260059822649</x:v>
      </x:c>
      <x:c r="O202" s="108" t="n">
        <x:v>0.26529487207587643</x:v>
      </x:c>
      <x:c r="P202" s="108" t="n">
        <x:v>0.2587110634514569</x:v>
      </x:c>
      <x:c r="Q202" s="9" t="str">
        <x:v>Actual</x:v>
      </x:c>
      <x:c r="R202" s="9" t="n">
        <x:v>2026</x:v>
      </x:c>
      <x:c r="S202" s="9" t="str">
        <x:v>2026-04</x:v>
      </x:c>
    </x:row>
    <x:row r="203" ht="17" customHeight="1">
      <x:c r="A203" s="9" t="str">
        <x:v>2026-04-01</x:v>
      </x:c>
      <x:c r="B203" s="9" t="str">
        <x:v>Shared Services</x:v>
      </x:c>
      <x:c r="C203" s="107" t="n">
        <x:v>0</x:v>
      </x:c>
      <x:c r="D203" s="107" t="n">
        <x:v>0.816875</x:v>
      </x:c>
      <x:c r="E203" s="107" t="n">
        <x:v>0.50022672</x:v>
      </x:c>
      <x:c r="F203" s="107" t="n">
        <x:v>35.1018375</x:v>
      </x:c>
      <x:c r="G203" s="107" t="n">
        <x:v>0</x:v>
      </x:c>
      <x:c r="H203" s="107" t="n">
        <x:v>2.49067492</x:v>
      </x:c>
      <x:c r="I203" s="107" t="n">
        <x:v>0</x:v>
      </x:c>
      <x:c r="J203" s="107" t="n">
        <x:v>-35.1018375</x:v>
      </x:c>
      <x:c r="K203" s="107" t="n">
        <x:v>-35.9187125</x:v>
      </x:c>
      <x:c r="L203" s="107" t="n">
        <x:v>-36.41893922</x:v>
      </x:c>
      <x:c r="M203" s="107" t="n">
        <x:v>-38.90961414</x:v>
      </x:c>
      <x:c r="N203" s="108"/>
      <x:c r="O203" s="108"/>
      <x:c r="P203" s="108"/>
      <x:c r="Q203" s="9" t="str">
        <x:v>Actual</x:v>
      </x:c>
      <x:c r="R203" s="9" t="n">
        <x:v>2026</x:v>
      </x:c>
      <x:c r="S203" s="9" t="str">
        <x:v>2026-04</x:v>
      </x:c>
    </x:row>
    <x:row r="204" ht="17" customHeight="1">
      <x:c r="A204" s="9" t="str">
        <x:v>2026-04-01</x:v>
      </x:c>
      <x:c r="B204" s="9" t="str">
        <x:v>Subscription Services</x:v>
      </x:c>
      <x:c r="C204" s="107" t="n">
        <x:v>2.04762368</x:v>
      </x:c>
      <x:c r="D204" s="107" t="n">
        <x:v>0.19479167</x:v>
      </x:c>
      <x:c r="E204" s="107" t="n">
        <x:v>0</x:v>
      </x:c>
      <x:c r="F204" s="107" t="n">
        <x:v>3.53202974</x:v>
      </x:c>
      <x:c r="G204" s="107" t="n">
        <x:v>8.12134074</x:v>
      </x:c>
      <x:c r="H204" s="107" t="n">
        <x:v>0</x:v>
      </x:c>
      <x:c r="I204" s="107" t="n">
        <x:v>6.073717060000001</x:v>
      </x:c>
      <x:c r="J204" s="107" t="n">
        <x:v>2.5416873200000003</x:v>
      </x:c>
      <x:c r="K204" s="107" t="n">
        <x:v>2.3468956500000004</x:v>
      </x:c>
      <x:c r="L204" s="107" t="n">
        <x:v>2.3468956500000004</x:v>
      </x:c>
      <x:c r="M204" s="107" t="n">
        <x:v>2.3468956500000004</x:v>
      </x:c>
      <x:c r="N204" s="108" t="n">
        <x:v>0.7478712264940629</x:v>
      </x:c>
      <x:c r="O204" s="108" t="n">
        <x:v>0.312964004512388</x:v>
      </x:c>
      <x:c r="P204" s="108" t="n">
        <x:v>0.2889788429194759</x:v>
      </x:c>
      <x:c r="Q204" s="9" t="str">
        <x:v>Actual</x:v>
      </x:c>
      <x:c r="R204" s="9" t="n">
        <x:v>2026</x:v>
      </x:c>
      <x:c r="S204" s="9" t="str">
        <x:v>2026-04</x:v>
      </x:c>
    </x:row>
    <x:row r="205" ht="17" customHeight="1">
      <x:c r="A205" s="9" t="str">
        <x:v>2026-04-01</x:v>
      </x:c>
      <x:c r="B205" s="9" t="str">
        <x:v>Wholesale</x:v>
      </x:c>
      <x:c r="C205" s="107" t="n">
        <x:v>23.46986641</x:v>
      </x:c>
      <x:c r="D205" s="107" t="n">
        <x:v>0</x:v>
      </x:c>
      <x:c r="E205" s="107" t="n">
        <x:v>0</x:v>
      </x:c>
      <x:c r="F205" s="107" t="n">
        <x:v>4.24353787</x:v>
      </x:c>
      <x:c r="G205" s="107" t="n">
        <x:v>38.75381757</x:v>
      </x:c>
      <x:c r="H205" s="107" t="n">
        <x:v>0</x:v>
      </x:c>
      <x:c r="I205" s="107" t="n">
        <x:v>15.28395116</x:v>
      </x:c>
      <x:c r="J205" s="107" t="n">
        <x:v>11.040413289999998</x:v>
      </x:c>
      <x:c r="K205" s="107" t="n">
        <x:v>11.040413289999998</x:v>
      </x:c>
      <x:c r="L205" s="107" t="n">
        <x:v>11.040413289999998</x:v>
      </x:c>
      <x:c r="M205" s="107" t="n">
        <x:v>11.040413289999998</x:v>
      </x:c>
      <x:c r="N205" s="108" t="n">
        <x:v>0.3943856920003559</x:v>
      </x:c>
      <x:c r="O205" s="108" t="n">
        <x:v>0.2848858249915119</x:v>
      </x:c>
      <x:c r="P205" s="108" t="n">
        <x:v>0.2848858249915119</x:v>
      </x:c>
      <x:c r="Q205" s="9" t="str">
        <x:v>Actual</x:v>
      </x:c>
      <x:c r="R205" s="9" t="n">
        <x:v>2026</x:v>
      </x:c>
      <x:c r="S205" s="9" t="str">
        <x:v>2026-04</x:v>
      </x:c>
    </x:row>
    <x:row r="206" ht="17" customHeight="1">
      <x:c r="A206" s="9" t="str">
        <x:v>2026-05-01</x:v>
      </x:c>
      <x:c r="B206" s="9" t="str">
        <x:v>Digital Commerce</x:v>
      </x:c>
      <x:c r="C206" s="107" t="n">
        <x:v>29.25370802</x:v>
      </x:c>
      <x:c r="D206" s="107" t="n">
        <x:v>0</x:v>
      </x:c>
      <x:c r="E206" s="107" t="n">
        <x:v>0</x:v>
      </x:c>
      <x:c r="F206" s="107" t="n">
        <x:v>10.591165570000001</x:v>
      </x:c>
      <x:c r="G206" s="107" t="n">
        <x:v>63.39624709</x:v>
      </x:c>
      <x:c r="H206" s="107" t="n">
        <x:v>0</x:v>
      </x:c>
      <x:c r="I206" s="107" t="n">
        <x:v>34.142539070000005</x:v>
      </x:c>
      <x:c r="J206" s="107" t="n">
        <x:v>23.551373500000008</x:v>
      </x:c>
      <x:c r="K206" s="107" t="n">
        <x:v>23.551373500000008</x:v>
      </x:c>
      <x:c r="L206" s="107" t="n">
        <x:v>23.551373500000008</x:v>
      </x:c>
      <x:c r="M206" s="107" t="n">
        <x:v>23.551373500000008</x:v>
      </x:c>
      <x:c r="N206" s="108" t="n">
        <x:v>0.5385577323138673</x:v>
      </x:c>
      <x:c r="O206" s="108" t="n">
        <x:v>0.37149475846047286</x:v>
      </x:c>
      <x:c r="P206" s="108" t="n">
        <x:v>0.37149475846047286</x:v>
      </x:c>
      <x:c r="Q206" s="9" t="str">
        <x:v>Actual</x:v>
      </x:c>
      <x:c r="R206" s="9" t="n">
        <x:v>2026</x:v>
      </x:c>
      <x:c r="S206" s="9" t="str">
        <x:v>2026-05</x:v>
      </x:c>
    </x:row>
    <x:row r="207" ht="17" customHeight="1">
      <x:c r="A207" s="9" t="str">
        <x:v>2026-05-01</x:v>
      </x:c>
      <x:c r="B207" s="9" t="str">
        <x:v>Retail Stores</x:v>
      </x:c>
      <x:c r="C207" s="107" t="n">
        <x:v>19.81965645</x:v>
      </x:c>
      <x:c r="D207" s="107" t="n">
        <x:v>0.24166667</x:v>
      </x:c>
      <x:c r="E207" s="107" t="n">
        <x:v>0</x:v>
      </x:c>
      <x:c r="F207" s="107" t="n">
        <x:v>8.38966786</x:v>
      </x:c>
      <x:c r="G207" s="107" t="n">
        <x:v>38.99895464</x:v>
      </x:c>
      <x:c r="H207" s="107" t="n">
        <x:v>0</x:v>
      </x:c>
      <x:c r="I207" s="107" t="n">
        <x:v>19.17929819</x:v>
      </x:c>
      <x:c r="J207" s="107" t="n">
        <x:v>10.789630330000001</x:v>
      </x:c>
      <x:c r="K207" s="107" t="n">
        <x:v>10.547963660000002</x:v>
      </x:c>
      <x:c r="L207" s="107" t="n">
        <x:v>10.547963660000002</x:v>
      </x:c>
      <x:c r="M207" s="107" t="n">
        <x:v>10.547963660000002</x:v>
      </x:c>
      <x:c r="N207" s="108" t="n">
        <x:v>0.491790058657839</x:v>
      </x:c>
      <x:c r="O207" s="108" t="n">
        <x:v>0.2766646036951313</x:v>
      </x:c>
      <x:c r="P207" s="108" t="n">
        <x:v>0.27046785631482767</x:v>
      </x:c>
      <x:c r="Q207" s="9" t="str">
        <x:v>Actual</x:v>
      </x:c>
      <x:c r="R207" s="9" t="n">
        <x:v>2026</x:v>
      </x:c>
      <x:c r="S207" s="9" t="str">
        <x:v>2026-05</x:v>
      </x:c>
    </x:row>
    <x:row r="208" ht="17" customHeight="1">
      <x:c r="A208" s="9" t="str">
        <x:v>2026-05-01</x:v>
      </x:c>
      <x:c r="B208" s="9" t="str">
        <x:v>Shared Services</x:v>
      </x:c>
      <x:c r="C208" s="107" t="n">
        <x:v>0</x:v>
      </x:c>
      <x:c r="D208" s="107" t="n">
        <x:v>0.816875</x:v>
      </x:c>
      <x:c r="E208" s="107" t="n">
        <x:v>0.50022672</x:v>
      </x:c>
      <x:c r="F208" s="107" t="n">
        <x:v>35.003053769999994</x:v>
      </x:c>
      <x:c r="G208" s="107" t="n">
        <x:v>0</x:v>
      </x:c>
      <x:c r="H208" s="107" t="n">
        <x:v>2.6021447400000004</x:v>
      </x:c>
      <x:c r="I208" s="107" t="n">
        <x:v>0</x:v>
      </x:c>
      <x:c r="J208" s="107" t="n">
        <x:v>-35.003053769999994</x:v>
      </x:c>
      <x:c r="K208" s="107" t="n">
        <x:v>-35.81992877</x:v>
      </x:c>
      <x:c r="L208" s="107" t="n">
        <x:v>-36.32015549</x:v>
      </x:c>
      <x:c r="M208" s="107" t="n">
        <x:v>-38.92230023</x:v>
      </x:c>
      <x:c r="N208" s="108"/>
      <x:c r="O208" s="108"/>
      <x:c r="P208" s="108"/>
      <x:c r="Q208" s="9" t="str">
        <x:v>Actual</x:v>
      </x:c>
      <x:c r="R208" s="9" t="n">
        <x:v>2026</x:v>
      </x:c>
      <x:c r="S208" s="9" t="str">
        <x:v>2026-05</x:v>
      </x:c>
    </x:row>
    <x:row r="209" ht="17" customHeight="1">
      <x:c r="A209" s="9" t="str">
        <x:v>2026-05-01</x:v>
      </x:c>
      <x:c r="B209" s="9" t="str">
        <x:v>Subscription Services</x:v>
      </x:c>
      <x:c r="C209" s="107" t="n">
        <x:v>2.14695571</x:v>
      </x:c>
      <x:c r="D209" s="107" t="n">
        <x:v>0.19479167</x:v>
      </x:c>
      <x:c r="E209" s="107" t="n">
        <x:v>0</x:v>
      </x:c>
      <x:c r="F209" s="107" t="n">
        <x:v>3.5352907200000003</x:v>
      </x:c>
      <x:c r="G209" s="107" t="n">
        <x:v>8.43886352</x:v>
      </x:c>
      <x:c r="H209" s="107" t="n">
        <x:v>0</x:v>
      </x:c>
      <x:c r="I209" s="107" t="n">
        <x:v>6.29190781</x:v>
      </x:c>
      <x:c r="J209" s="107" t="n">
        <x:v>2.7566170899999993</x:v>
      </x:c>
      <x:c r="K209" s="107" t="n">
        <x:v>2.5618254199999995</x:v>
      </x:c>
      <x:c r="L209" s="107" t="n">
        <x:v>2.5618254199999995</x:v>
      </x:c>
      <x:c r="M209" s="107" t="n">
        <x:v>2.5618254199999995</x:v>
      </x:c>
      <x:c r="N209" s="108" t="n">
        <x:v>0.7455871036530284</x:v>
      </x:c>
      <x:c r="O209" s="108" t="n">
        <x:v>0.32665738502191105</x:v>
      </x:c>
      <x:c r="P209" s="108" t="n">
        <x:v>0.30357469509117024</x:v>
      </x:c>
      <x:c r="Q209" s="9" t="str">
        <x:v>Actual</x:v>
      </x:c>
      <x:c r="R209" s="9" t="n">
        <x:v>2026</x:v>
      </x:c>
      <x:c r="S209" s="9" t="str">
        <x:v>2026-05</x:v>
      </x:c>
    </x:row>
    <x:row r="210" ht="17" customHeight="1">
      <x:c r="A210" s="9" t="str">
        <x:v>2026-05-01</x:v>
      </x:c>
      <x:c r="B210" s="9" t="str">
        <x:v>Wholesale</x:v>
      </x:c>
      <x:c r="C210" s="107" t="n">
        <x:v>22.34507178</x:v>
      </x:c>
      <x:c r="D210" s="107" t="n">
        <x:v>0</x:v>
      </x:c>
      <x:c r="E210" s="107" t="n">
        <x:v>0</x:v>
      </x:c>
      <x:c r="F210" s="107" t="n">
        <x:v>4.25710578</x:v>
      </x:c>
      <x:c r="G210" s="107" t="n">
        <x:v>36.669749409999994</x:v>
      </x:c>
      <x:c r="H210" s="107" t="n">
        <x:v>0</x:v>
      </x:c>
      <x:c r="I210" s="107" t="n">
        <x:v>14.324677629999995</x:v>
      </x:c>
      <x:c r="J210" s="107" t="n">
        <x:v>10.067571849999995</x:v>
      </x:c>
      <x:c r="K210" s="107" t="n">
        <x:v>10.067571849999995</x:v>
      </x:c>
      <x:c r="L210" s="107" t="n">
        <x:v>10.067571849999995</x:v>
      </x:c>
      <x:c r="M210" s="107" t="n">
        <x:v>10.067571849999995</x:v>
      </x:c>
      <x:c r="N210" s="108" t="n">
        <x:v>0.3906401832703442</x:v>
      </x:c>
      <x:c r="O210" s="108" t="n">
        <x:v>0.2745470588695794</x:v>
      </x:c>
      <x:c r="P210" s="108" t="n">
        <x:v>0.2745470588695794</x:v>
      </x:c>
      <x:c r="Q210" s="9" t="str">
        <x:v>Actual</x:v>
      </x:c>
      <x:c r="R210" s="9" t="n">
        <x:v>2026</x:v>
      </x:c>
      <x:c r="S210" s="9" t="str">
        <x:v>2026-05</x:v>
      </x:c>
    </x:row>
    <x:row r="211" ht="17" customHeight="1">
      <x:c r="A211" s="9" t="str">
        <x:v>2026-06-01</x:v>
      </x:c>
      <x:c r="B211" s="9" t="str">
        <x:v>Digital Commerce</x:v>
      </x:c>
      <x:c r="C211" s="107" t="n">
        <x:v>30.293596830000002</x:v>
      </x:c>
      <x:c r="D211" s="107" t="n">
        <x:v>0</x:v>
      </x:c>
      <x:c r="E211" s="107" t="n">
        <x:v>0</x:v>
      </x:c>
      <x:c r="F211" s="107" t="n">
        <x:v>10.97302917</x:v>
      </x:c>
      <x:c r="G211" s="107" t="n">
        <x:v>66.14568341</x:v>
      </x:c>
      <x:c r="H211" s="107" t="n">
        <x:v>0</x:v>
      </x:c>
      <x:c r="I211" s="107" t="n">
        <x:v>35.85208658</x:v>
      </x:c>
      <x:c r="J211" s="107" t="n">
        <x:v>24.879057409999998</x:v>
      </x:c>
      <x:c r="K211" s="107" t="n">
        <x:v>24.879057409999998</x:v>
      </x:c>
      <x:c r="L211" s="107" t="n">
        <x:v>24.879057409999998</x:v>
      </x:c>
      <x:c r="M211" s="107" t="n">
        <x:v>24.879057409999998</x:v>
      </x:c>
      <x:c r="N211" s="108" t="n">
        <x:v>0.5420170256277045</x:v>
      </x:c>
      <x:c r="O211" s="108" t="n">
        <x:v>0.3761251850069893</x:v>
      </x:c>
      <x:c r="P211" s="108" t="n">
        <x:v>0.3761251850069893</x:v>
      </x:c>
      <x:c r="Q211" s="9" t="str">
        <x:v>Actual</x:v>
      </x:c>
      <x:c r="R211" s="9" t="n">
        <x:v>2026</x:v>
      </x:c>
      <x:c r="S211" s="9" t="str">
        <x:v>2026-06</x:v>
      </x:c>
    </x:row>
    <x:row r="212" ht="17" customHeight="1">
      <x:c r="A212" s="9" t="str">
        <x:v>2026-06-01</x:v>
      </x:c>
      <x:c r="B212" s="9" t="str">
        <x:v>Retail Stores</x:v>
      </x:c>
      <x:c r="C212" s="107" t="n">
        <x:v>21.21371313</x:v>
      </x:c>
      <x:c r="D212" s="107" t="n">
        <x:v>0.24166667</x:v>
      </x:c>
      <x:c r="E212" s="107" t="n">
        <x:v>0</x:v>
      </x:c>
      <x:c r="F212" s="107" t="n">
        <x:v>8.51661779</x:v>
      </x:c>
      <x:c r="G212" s="107" t="n">
        <x:v>41.596842630000005</x:v>
      </x:c>
      <x:c r="H212" s="107" t="n">
        <x:v>0</x:v>
      </x:c>
      <x:c r="I212" s="107" t="n">
        <x:v>20.383129500000003</x:v>
      </x:c>
      <x:c r="J212" s="107" t="n">
        <x:v>11.866511710000005</x:v>
      </x:c>
      <x:c r="K212" s="107" t="n">
        <x:v>11.624845040000004</x:v>
      </x:c>
      <x:c r="L212" s="107" t="n">
        <x:v>11.624845040000004</x:v>
      </x:c>
      <x:c r="M212" s="107" t="n">
        <x:v>11.624845040000004</x:v>
      </x:c>
      <x:c r="N212" s="108" t="n">
        <x:v>0.4900162659292683</x:v>
      </x:c>
      <x:c r="O212" s="108" t="n">
        <x:v>0.2852743371787015</x:v>
      </x:c>
      <x:c r="P212" s="108" t="n">
        <x:v>0.27946460127759953</x:v>
      </x:c>
      <x:c r="Q212" s="9" t="str">
        <x:v>Actual</x:v>
      </x:c>
      <x:c r="R212" s="9" t="n">
        <x:v>2026</x:v>
      </x:c>
      <x:c r="S212" s="9" t="str">
        <x:v>2026-06</x:v>
      </x:c>
    </x:row>
    <x:row r="213" ht="17" customHeight="1">
      <x:c r="A213" s="9" t="str">
        <x:v>2026-06-01</x:v>
      </x:c>
      <x:c r="B213" s="9" t="str">
        <x:v>Shared Services</x:v>
      </x:c>
      <x:c r="C213" s="107" t="n">
        <x:v>0</x:v>
      </x:c>
      <x:c r="D213" s="107" t="n">
        <x:v>0.816875</x:v>
      </x:c>
      <x:c r="E213" s="107" t="n">
        <x:v>0.50022672</x:v>
      </x:c>
      <x:c r="F213" s="107" t="n">
        <x:v>35.46462339</x:v>
      </x:c>
      <x:c r="G213" s="107" t="n">
        <x:v>0</x:v>
      </x:c>
      <x:c r="H213" s="107" t="n">
        <x:v>2.78384901</x:v>
      </x:c>
      <x:c r="I213" s="107" t="n">
        <x:v>0</x:v>
      </x:c>
      <x:c r="J213" s="107" t="n">
        <x:v>-35.46462339</x:v>
      </x:c>
      <x:c r="K213" s="107" t="n">
        <x:v>-36.28149839</x:v>
      </x:c>
      <x:c r="L213" s="107" t="n">
        <x:v>-36.78172511</x:v>
      </x:c>
      <x:c r="M213" s="107" t="n">
        <x:v>-39.56557412</x:v>
      </x:c>
      <x:c r="N213" s="108"/>
      <x:c r="O213" s="108"/>
      <x:c r="P213" s="108"/>
      <x:c r="Q213" s="9" t="str">
        <x:v>Actual</x:v>
      </x:c>
      <x:c r="R213" s="9" t="n">
        <x:v>2026</x:v>
      </x:c>
      <x:c r="S213" s="9" t="str">
        <x:v>2026-06</x:v>
      </x:c>
    </x:row>
    <x:row r="214" ht="17" customHeight="1">
      <x:c r="A214" s="9" t="str">
        <x:v>2026-06-01</x:v>
      </x:c>
      <x:c r="B214" s="9" t="str">
        <x:v>Subscription Services</x:v>
      </x:c>
      <x:c r="C214" s="107" t="n">
        <x:v>2.09927065</x:v>
      </x:c>
      <x:c r="D214" s="107" t="n">
        <x:v>0.19479167</x:v>
      </x:c>
      <x:c r="E214" s="107" t="n">
        <x:v>0</x:v>
      </x:c>
      <x:c r="F214" s="107" t="n">
        <x:v>3.55779546</x:v>
      </x:c>
      <x:c r="G214" s="107" t="n">
        <x:v>8.2915537</x:v>
      </x:c>
      <x:c r="H214" s="107" t="n">
        <x:v>0</x:v>
      </x:c>
      <x:c r="I214" s="107" t="n">
        <x:v>6.19228305</x:v>
      </x:c>
      <x:c r="J214" s="107" t="n">
        <x:v>2.634487590000001</x:v>
      </x:c>
      <x:c r="K214" s="107" t="n">
        <x:v>2.439695920000001</x:v>
      </x:c>
      <x:c r="L214" s="107" t="n">
        <x:v>2.439695920000001</x:v>
      </x:c>
      <x:c r="M214" s="107" t="n">
        <x:v>2.439695920000001</x:v>
      </x:c>
      <x:c r="N214" s="108" t="n">
        <x:v>0.7468181807711142</x:v>
      </x:c>
      <x:c r="O214" s="108" t="n">
        <x:v>0.3177314753446029</x:v>
      </x:c>
      <x:c r="P214" s="108" t="n">
        <x:v>0.2942386925625291</x:v>
      </x:c>
      <x:c r="Q214" s="9" t="str">
        <x:v>Actual</x:v>
      </x:c>
      <x:c r="R214" s="9" t="n">
        <x:v>2026</x:v>
      </x:c>
      <x:c r="S214" s="9" t="str">
        <x:v>2026-06</x:v>
      </x:c>
    </x:row>
    <x:row r="215" ht="17" customHeight="1">
      <x:c r="A215" s="9" t="str">
        <x:v>2026-06-01</x:v>
      </x:c>
      <x:c r="B215" s="9" t="str">
        <x:v>Wholesale</x:v>
      </x:c>
      <x:c r="C215" s="107" t="n">
        <x:v>20.26507557</x:v>
      </x:c>
      <x:c r="D215" s="107" t="n">
        <x:v>0</x:v>
      </x:c>
      <x:c r="E215" s="107" t="n">
        <x:v>0</x:v>
      </x:c>
      <x:c r="F215" s="107" t="n">
        <x:v>4.17496969</x:v>
      </x:c>
      <x:c r="G215" s="107" t="n">
        <x:v>33.41356803</x:v>
      </x:c>
      <x:c r="H215" s="107" t="n">
        <x:v>0</x:v>
      </x:c>
      <x:c r="I215" s="107" t="n">
        <x:v>13.148492460000002</x:v>
      </x:c>
      <x:c r="J215" s="107" t="n">
        <x:v>8.97352277</x:v>
      </x:c>
      <x:c r="K215" s="107" t="n">
        <x:v>8.97352277</x:v>
      </x:c>
      <x:c r="L215" s="107" t="n">
        <x:v>8.97352277</x:v>
      </x:c>
      <x:c r="M215" s="107" t="n">
        <x:v>8.97352277</x:v>
      </x:c>
      <x:c r="N215" s="108" t="n">
        <x:v>0.3935075849485686</x:v>
      </x:c>
      <x:c r="O215" s="108" t="n">
        <x:v>0.26855925000117387</x:v>
      </x:c>
      <x:c r="P215" s="108" t="n">
        <x:v>0.26855925000117387</x:v>
      </x:c>
      <x:c r="Q215" s="9" t="str">
        <x:v>Actual</x:v>
      </x:c>
      <x:c r="R215" s="9" t="n">
        <x:v>2026</x:v>
      </x:c>
      <x:c r="S215" s="9" t="str">
        <x:v>2026-06</x:v>
      </x:c>
    </x:row>
    <x:row r="216" ht="17" customHeight="1">
      <x:c r="A216" s="9" t="str">
        <x:v>2026-01-01</x:v>
      </x:c>
      <x:c r="B216" s="9" t="str">
        <x:v>Digital Commerce</x:v>
      </x:c>
      <x:c r="C216" s="107" t="n">
        <x:v>24.22140251</x:v>
      </x:c>
      <x:c r="D216" s="107" t="n">
        <x:v>0</x:v>
      </x:c>
      <x:c r="E216" s="107" t="n">
        <x:v>0</x:v>
      </x:c>
      <x:c r="F216" s="107" t="n">
        <x:v>10.30990353</x:v>
      </x:c>
      <x:c r="G216" s="107" t="n">
        <x:v>53.67701071</x:v>
      </x:c>
      <x:c r="H216" s="107" t="n">
        <x:v>0</x:v>
      </x:c>
      <x:c r="I216" s="107" t="n">
        <x:v>29.4556082</x:v>
      </x:c>
      <x:c r="J216" s="107" t="n">
        <x:v>19.14570467</x:v>
      </x:c>
      <x:c r="K216" s="107" t="n">
        <x:v>19.14570467</x:v>
      </x:c>
      <x:c r="L216" s="107" t="n">
        <x:v>19.14570467</x:v>
      </x:c>
      <x:c r="M216" s="107" t="n">
        <x:v>19.14570467</x:v>
      </x:c>
      <x:c r="N216" s="108" t="n">
        <x:v>0.5487564938952987</x:v>
      </x:c>
      <x:c r="O216" s="108" t="n">
        <x:v>0.356683511558388</x:v>
      </x:c>
      <x:c r="P216" s="108" t="n">
        <x:v>0.356683511558388</x:v>
      </x:c>
      <x:c r="Q216" s="9" t="str">
        <x:v>Budget</x:v>
      </x:c>
      <x:c r="R216" s="9" t="n">
        <x:v>2026</x:v>
      </x:c>
      <x:c r="S216" s="9" t="str">
        <x:v>2026-01</x:v>
      </x:c>
    </x:row>
    <x:row r="217" ht="17" customHeight="1">
      <x:c r="A217" s="9" t="str">
        <x:v>2026-01-01</x:v>
      </x:c>
      <x:c r="B217" s="9" t="str">
        <x:v>Retail Stores</x:v>
      </x:c>
      <x:c r="C217" s="107" t="n">
        <x:v>15.490272010000002</x:v>
      </x:c>
      <x:c r="D217" s="107" t="n">
        <x:v>0.23333333</x:v>
      </x:c>
      <x:c r="E217" s="107" t="n">
        <x:v>0</x:v>
      </x:c>
      <x:c r="F217" s="107" t="n">
        <x:v>8.35865882</x:v>
      </x:c>
      <x:c r="G217" s="107" t="n">
        <x:v>30.90468905</x:v>
      </x:c>
      <x:c r="H217" s="107" t="n">
        <x:v>0</x:v>
      </x:c>
      <x:c r="I217" s="107" t="n">
        <x:v>15.414417039999998</x:v>
      </x:c>
      <x:c r="J217" s="107" t="n">
        <x:v>7.055758219999999</x:v>
      </x:c>
      <x:c r="K217" s="107" t="n">
        <x:v>6.822424889999999</x:v>
      </x:c>
      <x:c r="L217" s="107" t="n">
        <x:v>6.822424889999999</x:v>
      </x:c>
      <x:c r="M217" s="107" t="n">
        <x:v>6.822424889999999</x:v>
      </x:c>
      <x:c r="N217" s="108" t="n">
        <x:v>0.4987727595337187</x:v>
      </x:c>
      <x:c r="O217" s="108" t="n">
        <x:v>0.2283070445583402</x:v>
      </x:c>
      <x:c r="P217" s="108" t="n">
        <x:v>0.22075694982603292</x:v>
      </x:c>
      <x:c r="Q217" s="9" t="str">
        <x:v>Budget</x:v>
      </x:c>
      <x:c r="R217" s="9" t="n">
        <x:v>2026</x:v>
      </x:c>
      <x:c r="S217" s="9" t="str">
        <x:v>2026-01</x:v>
      </x:c>
    </x:row>
    <x:row r="218" ht="17" customHeight="1">
      <x:c r="A218" s="9" t="str">
        <x:v>2026-01-01</x:v>
      </x:c>
      <x:c r="B218" s="9" t="str">
        <x:v>Shared Services</x:v>
      </x:c>
      <x:c r="C218" s="107" t="n">
        <x:v>0</x:v>
      </x:c>
      <x:c r="D218" s="107" t="n">
        <x:v>0.6569444499999999</x:v>
      </x:c>
      <x:c r="E218" s="107" t="n">
        <x:v>0.45303552</x:v>
      </x:c>
      <x:c r="F218" s="107" t="n">
        <x:v>34.4168748</x:v>
      </x:c>
      <x:c r="G218" s="107" t="n">
        <x:v>0</x:v>
      </x:c>
      <x:c r="H218" s="107" t="n">
        <x:v>0.20277414000000002</x:v>
      </x:c>
      <x:c r="I218" s="107" t="n">
        <x:v>0</x:v>
      </x:c>
      <x:c r="J218" s="107" t="n">
        <x:v>-34.4168748</x:v>
      </x:c>
      <x:c r="K218" s="107" t="n">
        <x:v>-35.07381925000001</x:v>
      </x:c>
      <x:c r="L218" s="107" t="n">
        <x:v>-35.526854770000014</x:v>
      </x:c>
      <x:c r="M218" s="107" t="n">
        <x:v>-35.72962891000001</x:v>
      </x:c>
      <x:c r="N218" s="108"/>
      <x:c r="O218" s="108"/>
      <x:c r="P218" s="108"/>
      <x:c r="Q218" s="9" t="str">
        <x:v>Budget</x:v>
      </x:c>
      <x:c r="R218" s="9" t="n">
        <x:v>2026</x:v>
      </x:c>
      <x:c r="S218" s="9" t="str">
        <x:v>2026-01</x:v>
      </x:c>
    </x:row>
    <x:row r="219" ht="17" customHeight="1">
      <x:c r="A219" s="9" t="str">
        <x:v>2026-01-01</x:v>
      </x:c>
      <x:c r="B219" s="9" t="str">
        <x:v>Subscription Services</x:v>
      </x:c>
      <x:c r="C219" s="107" t="n">
        <x:v>1.81610881</x:v>
      </x:c>
      <x:c r="D219" s="107" t="n">
        <x:v>0.2</x:v>
      </x:c>
      <x:c r="E219" s="107" t="n">
        <x:v>0</x:v>
      </x:c>
      <x:c r="F219" s="107" t="n">
        <x:v>3.5448766600000003</x:v>
      </x:c>
      <x:c r="G219" s="107" t="n">
        <x:v>7.41268903</x:v>
      </x:c>
      <x:c r="H219" s="107" t="n">
        <x:v>0</x:v>
      </x:c>
      <x:c r="I219" s="107" t="n">
        <x:v>5.596580220000001</x:v>
      </x:c>
      <x:c r="J219" s="107" t="n">
        <x:v>2.0517035600000004</x:v>
      </x:c>
      <x:c r="K219" s="107" t="n">
        <x:v>1.8517035600000005</x:v>
      </x:c>
      <x:c r="L219" s="107" t="n">
        <x:v>1.8517035600000005</x:v>
      </x:c>
      <x:c r="M219" s="107" t="n">
        <x:v>1.8517035600000005</x:v>
      </x:c>
      <x:c r="N219" s="108" t="n">
        <x:v>0.755000000317024</x:v>
      </x:c>
      <x:c r="O219" s="108" t="n">
        <x:v>0.2767826293125911</x:v>
      </x:c>
      <x:c r="P219" s="108" t="n">
        <x:v>0.24980186711002506</x:v>
      </x:c>
      <x:c r="Q219" s="9" t="str">
        <x:v>Budget</x:v>
      </x:c>
      <x:c r="R219" s="9" t="n">
        <x:v>2026</x:v>
      </x:c>
      <x:c r="S219" s="9" t="str">
        <x:v>2026-01</x:v>
      </x:c>
    </x:row>
    <x:row r="220" ht="17" customHeight="1">
      <x:c r="A220" s="9" t="str">
        <x:v>2026-01-01</x:v>
      </x:c>
      <x:c r="B220" s="9" t="str">
        <x:v>Wholesale</x:v>
      </x:c>
      <x:c r="C220" s="107" t="n">
        <x:v>18.758436529999997</x:v>
      </x:c>
      <x:c r="D220" s="107" t="n">
        <x:v>0</x:v>
      </x:c>
      <x:c r="E220" s="107" t="n">
        <x:v>0</x:v>
      </x:c>
      <x:c r="F220" s="107" t="n">
        <x:v>4.08360931</x:v>
      </x:c>
      <x:c r="G220" s="107" t="n">
        <x:v>31.36016406</x:v>
      </x:c>
      <x:c r="H220" s="107" t="n">
        <x:v>0</x:v>
      </x:c>
      <x:c r="I220" s="107" t="n">
        <x:v>12.601727530000002</x:v>
      </x:c>
      <x:c r="J220" s="107" t="n">
        <x:v>8.51811822</x:v>
      </x:c>
      <x:c r="K220" s="107" t="n">
        <x:v>8.51811822</x:v>
      </x:c>
      <x:c r="L220" s="107" t="n">
        <x:v>8.51811822</x:v>
      </x:c>
      <x:c r="M220" s="107" t="n">
        <x:v>8.51811822</x:v>
      </x:c>
      <x:c r="N220" s="108" t="n">
        <x:v>0.4018386991180811</x:v>
      </x:c>
      <x:c r="O220" s="108" t="n">
        <x:v>0.2716222467364222</x:v>
      </x:c>
      <x:c r="P220" s="108" t="n">
        <x:v>0.2716222467364222</x:v>
      </x:c>
      <x:c r="Q220" s="9" t="str">
        <x:v>Budget</x:v>
      </x:c>
      <x:c r="R220" s="9" t="n">
        <x:v>2026</x:v>
      </x:c>
      <x:c r="S220" s="9" t="str">
        <x:v>2026-01</x:v>
      </x:c>
    </x:row>
    <x:row r="221" ht="17" customHeight="1">
      <x:c r="A221" s="9" t="str">
        <x:v>2026-02-01</x:v>
      </x:c>
      <x:c r="B221" s="9" t="str">
        <x:v>Digital Commerce</x:v>
      </x:c>
      <x:c r="C221" s="107" t="n">
        <x:v>24.77139916</x:v>
      </x:c>
      <x:c r="D221" s="107" t="n">
        <x:v>0</x:v>
      </x:c>
      <x:c r="E221" s="107" t="n">
        <x:v>0</x:v>
      </x:c>
      <x:c r="F221" s="107" t="n">
        <x:v>10.83913602</x:v>
      </x:c>
      <x:c r="G221" s="107" t="n">
        <x:v>54.8922885</x:v>
      </x:c>
      <x:c r="H221" s="107" t="n">
        <x:v>0</x:v>
      </x:c>
      <x:c r="I221" s="107" t="n">
        <x:v>30.12088934</x:v>
      </x:c>
      <x:c r="J221" s="107" t="n">
        <x:v>19.28175332</x:v>
      </x:c>
      <x:c r="K221" s="107" t="n">
        <x:v>19.28175332</x:v>
      </x:c>
      <x:c r="L221" s="107" t="n">
        <x:v>19.28175332</x:v>
      </x:c>
      <x:c r="M221" s="107" t="n">
        <x:v>19.28175332</x:v>
      </x:c>
      <x:c r="N221" s="108" t="n">
        <x:v>0.5487271557278943</x:v>
      </x:c>
      <x:c r="O221" s="108" t="n">
        <x:v>0.35126524775879947</x:v>
      </x:c>
      <x:c r="P221" s="108" t="n">
        <x:v>0.35126524775879947</x:v>
      </x:c>
      <x:c r="Q221" s="9" t="str">
        <x:v>Budget</x:v>
      </x:c>
      <x:c r="R221" s="9" t="n">
        <x:v>2026</x:v>
      </x:c>
      <x:c r="S221" s="9" t="str">
        <x:v>2026-02</x:v>
      </x:c>
    </x:row>
    <x:row r="222" ht="17" customHeight="1">
      <x:c r="A222" s="9" t="str">
        <x:v>2026-02-01</x:v>
      </x:c>
      <x:c r="B222" s="9" t="str">
        <x:v>Retail Stores</x:v>
      </x:c>
      <x:c r="C222" s="107" t="n">
        <x:v>16.073202610000003</x:v>
      </x:c>
      <x:c r="D222" s="107" t="n">
        <x:v>0.23333333</x:v>
      </x:c>
      <x:c r="E222" s="107" t="n">
        <x:v>0</x:v>
      </x:c>
      <x:c r="F222" s="107" t="n">
        <x:v>8.62118021</x:v>
      </x:c>
      <x:c r="G222" s="107" t="n">
        <x:v>32.07283735</x:v>
      </x:c>
      <x:c r="H222" s="107" t="n">
        <x:v>0</x:v>
      </x:c>
      <x:c r="I222" s="107" t="n">
        <x:v>15.99963474</x:v>
      </x:c>
      <x:c r="J222" s="107" t="n">
        <x:v>7.378454529999999</x:v>
      </x:c>
      <x:c r="K222" s="107" t="n">
        <x:v>7.145121199999999</x:v>
      </x:c>
      <x:c r="L222" s="107" t="n">
        <x:v>7.145121199999999</x:v>
      </x:c>
      <x:c r="M222" s="107" t="n">
        <x:v>7.145121199999999</x:v>
      </x:c>
      <x:c r="N222" s="108" t="n">
        <x:v>0.4988531125388568</x:v>
      </x:c>
      <x:c r="O222" s="108" t="n">
        <x:v>0.23005306482496157</x:v>
      </x:c>
      <x:c r="P222" s="108" t="n">
        <x:v>0.22277795762276079</x:v>
      </x:c>
      <x:c r="Q222" s="9" t="str">
        <x:v>Budget</x:v>
      </x:c>
      <x:c r="R222" s="9" t="n">
        <x:v>2026</x:v>
      </x:c>
      <x:c r="S222" s="9" t="str">
        <x:v>2026-02</x:v>
      </x:c>
    </x:row>
    <x:row r="223" ht="17" customHeight="1">
      <x:c r="A223" s="9" t="str">
        <x:v>2026-02-01</x:v>
      </x:c>
      <x:c r="B223" s="9" t="str">
        <x:v>Shared Services</x:v>
      </x:c>
      <x:c r="C223" s="107" t="n">
        <x:v>0</x:v>
      </x:c>
      <x:c r="D223" s="107" t="n">
        <x:v>0.6569444499999999</x:v>
      </x:c>
      <x:c r="E223" s="107" t="n">
        <x:v>0.45303552</x:v>
      </x:c>
      <x:c r="F223" s="107" t="n">
        <x:v>35.41914719</x:v>
      </x:c>
      <x:c r="G223" s="107" t="n">
        <x:v>0</x:v>
      </x:c>
      <x:c r="H223" s="107" t="n">
        <x:v>0.17818114000000002</x:v>
      </x:c>
      <x:c r="I223" s="107" t="n">
        <x:v>0</x:v>
      </x:c>
      <x:c r="J223" s="107" t="n">
        <x:v>-35.41914719</x:v>
      </x:c>
      <x:c r="K223" s="107" t="n">
        <x:v>-36.07609164</x:v>
      </x:c>
      <x:c r="L223" s="107" t="n">
        <x:v>-36.52912716</x:v>
      </x:c>
      <x:c r="M223" s="107" t="n">
        <x:v>-36.7073083</x:v>
      </x:c>
      <x:c r="N223" s="108"/>
      <x:c r="O223" s="108"/>
      <x:c r="P223" s="108"/>
      <x:c r="Q223" s="9" t="str">
        <x:v>Budget</x:v>
      </x:c>
      <x:c r="R223" s="9" t="n">
        <x:v>2026</x:v>
      </x:c>
      <x:c r="S223" s="9" t="str">
        <x:v>2026-02</x:v>
      </x:c>
    </x:row>
    <x:row r="224" ht="17" customHeight="1">
      <x:c r="A224" s="9" t="str">
        <x:v>2026-02-01</x:v>
      </x:c>
      <x:c r="B224" s="9" t="str">
        <x:v>Subscription Services</x:v>
      </x:c>
      <x:c r="C224" s="107" t="n">
        <x:v>1.84731402</x:v>
      </x:c>
      <x:c r="D224" s="107" t="n">
        <x:v>0.2</x:v>
      </x:c>
      <x:c r="E224" s="107" t="n">
        <x:v>0</x:v>
      </x:c>
      <x:c r="F224" s="107" t="n">
        <x:v>3.7274797800000004</x:v>
      </x:c>
      <x:c r="G224" s="107" t="n">
        <x:v>7.54005725</x:v>
      </x:c>
      <x:c r="H224" s="107" t="n">
        <x:v>0</x:v>
      </x:c>
      <x:c r="I224" s="107" t="n">
        <x:v>5.6927432300000005</x:v>
      </x:c>
      <x:c r="J224" s="107" t="n">
        <x:v>1.9652634500000001</x:v>
      </x:c>
      <x:c r="K224" s="107" t="n">
        <x:v>1.7652634500000002</x:v>
      </x:c>
      <x:c r="L224" s="107" t="n">
        <x:v>1.7652634500000002</x:v>
      </x:c>
      <x:c r="M224" s="107" t="n">
        <x:v>1.7652634500000002</x:v>
      </x:c>
      <x:c r="N224" s="108" t="n">
        <x:v>0.7550000008289063</x:v>
      </x:c>
      <x:c r="O224" s="108" t="n">
        <x:v>0.2606430408734629</x:v>
      </x:c>
      <x:c r="P224" s="108" t="n">
        <x:v>0.23411804333448533</x:v>
      </x:c>
      <x:c r="Q224" s="9" t="str">
        <x:v>Budget</x:v>
      </x:c>
      <x:c r="R224" s="9" t="n">
        <x:v>2026</x:v>
      </x:c>
      <x:c r="S224" s="9" t="str">
        <x:v>2026-02</x:v>
      </x:c>
    </x:row>
    <x:row r="225" ht="17" customHeight="1">
      <x:c r="A225" s="9" t="str">
        <x:v>2026-02-01</x:v>
      </x:c>
      <x:c r="B225" s="9" t="str">
        <x:v>Wholesale</x:v>
      </x:c>
      <x:c r="C225" s="107" t="n">
        <x:v>20.044332920000002</x:v>
      </x:c>
      <x:c r="D225" s="107" t="n">
        <x:v>0</x:v>
      </x:c>
      <x:c r="E225" s="107" t="n">
        <x:v>0</x:v>
      </x:c>
      <x:c r="F225" s="107" t="n">
        <x:v>4.41166523</x:v>
      </x:c>
      <x:c r="G225" s="107" t="n">
        <x:v>33.50571192</x:v>
      </x:c>
      <x:c r="H225" s="107" t="n">
        <x:v>0</x:v>
      </x:c>
      <x:c r="I225" s="107" t="n">
        <x:v>13.461379</x:v>
      </x:c>
      <x:c r="J225" s="107" t="n">
        <x:v>9.04971377</x:v>
      </x:c>
      <x:c r="K225" s="107" t="n">
        <x:v>9.04971377</x:v>
      </x:c>
      <x:c r="L225" s="107" t="n">
        <x:v>9.04971377</x:v>
      </x:c>
      <x:c r="M225" s="107" t="n">
        <x:v>9.04971377</x:v>
      </x:c>
      <x:c r="N225" s="108" t="n">
        <x:v>0.40176370620451507</x:v>
      </x:c>
      <x:c r="O225" s="108" t="n">
        <x:v>0.2700946570425834</x:v>
      </x:c>
      <x:c r="P225" s="108" t="n">
        <x:v>0.2700946570425834</x:v>
      </x:c>
      <x:c r="Q225" s="9" t="str">
        <x:v>Budget</x:v>
      </x:c>
      <x:c r="R225" s="9" t="n">
        <x:v>2026</x:v>
      </x:c>
      <x:c r="S225" s="9" t="str">
        <x:v>2026-02</x:v>
      </x:c>
    </x:row>
    <x:row r="226" ht="17" customHeight="1">
      <x:c r="A226" s="9" t="str">
        <x:v>2026-03-01</x:v>
      </x:c>
      <x:c r="B226" s="9" t="str">
        <x:v>Digital Commerce</x:v>
      </x:c>
      <x:c r="C226" s="107" t="n">
        <x:v>28.06762327</x:v>
      </x:c>
      <x:c r="D226" s="107" t="n">
        <x:v>0</x:v>
      </x:c>
      <x:c r="E226" s="107" t="n">
        <x:v>0</x:v>
      </x:c>
      <x:c r="F226" s="107" t="n">
        <x:v>11.30760982</x:v>
      </x:c>
      <x:c r="G226" s="107" t="n">
        <x:v>62.180077350000005</x:v>
      </x:c>
      <x:c r="H226" s="107" t="n">
        <x:v>0</x:v>
      </x:c>
      <x:c r="I226" s="107" t="n">
        <x:v>34.11245408</x:v>
      </x:c>
      <x:c r="J226" s="107" t="n">
        <x:v>22.80484426</x:v>
      </x:c>
      <x:c r="K226" s="107" t="n">
        <x:v>22.80484426</x:v>
      </x:c>
      <x:c r="L226" s="107" t="n">
        <x:v>22.80484426</x:v>
      </x:c>
      <x:c r="M226" s="107" t="n">
        <x:v>22.80484426</x:v>
      </x:c>
      <x:c r="N226" s="108" t="n">
        <x:v>0.5486074565006953</x:v>
      </x:c>
      <x:c r="O226" s="108" t="n">
        <x:v>0.3667548390400965</x:v>
      </x:c>
      <x:c r="P226" s="108" t="n">
        <x:v>0.3667548390400965</x:v>
      </x:c>
      <x:c r="Q226" s="9" t="str">
        <x:v>Budget</x:v>
      </x:c>
      <x:c r="R226" s="9" t="n">
        <x:v>2026</x:v>
      </x:c>
      <x:c r="S226" s="9" t="str">
        <x:v>2026-03</x:v>
      </x:c>
    </x:row>
    <x:row r="227" ht="17" customHeight="1">
      <x:c r="A227" s="9" t="str">
        <x:v>2026-03-01</x:v>
      </x:c>
      <x:c r="B227" s="9" t="str">
        <x:v>Retail Stores</x:v>
      </x:c>
      <x:c r="C227" s="107" t="n">
        <x:v>18.41341544</x:v>
      </x:c>
      <x:c r="D227" s="107" t="n">
        <x:v>0.23333333</x:v>
      </x:c>
      <x:c r="E227" s="107" t="n">
        <x:v>0</x:v>
      </x:c>
      <x:c r="F227" s="107" t="n">
        <x:v>8.84124895</x:v>
      </x:c>
      <x:c r="G227" s="107" t="n">
        <x:v>36.73549482</x:v>
      </x:c>
      <x:c r="H227" s="107" t="n">
        <x:v>0</x:v>
      </x:c>
      <x:c r="I227" s="107" t="n">
        <x:v>18.322079379999998</x:v>
      </x:c>
      <x:c r="J227" s="107" t="n">
        <x:v>9.480830429999997</x:v>
      </x:c>
      <x:c r="K227" s="107" t="n">
        <x:v>9.247497099999999</x:v>
      </x:c>
      <x:c r="L227" s="107" t="n">
        <x:v>9.247497099999999</x:v>
      </x:c>
      <x:c r="M227" s="107" t="n">
        <x:v>9.247497099999999</x:v>
      </x:c>
      <x:c r="N227" s="108" t="n">
        <x:v>0.4987568418440048</x:v>
      </x:c>
      <x:c r="O227" s="108" t="n">
        <x:v>0.258083645707103</x:v>
      </x:c>
      <x:c r="P227" s="108" t="n">
        <x:v>0.2517319324351488</x:v>
      </x:c>
      <x:c r="Q227" s="9" t="str">
        <x:v>Budget</x:v>
      </x:c>
      <x:c r="R227" s="9" t="n">
        <x:v>2026</x:v>
      </x:c>
      <x:c r="S227" s="9" t="str">
        <x:v>2026-03</x:v>
      </x:c>
    </x:row>
    <x:row r="228" ht="17" customHeight="1">
      <x:c r="A228" s="9" t="str">
        <x:v>2026-03-01</x:v>
      </x:c>
      <x:c r="B228" s="9" t="str">
        <x:v>Shared Services</x:v>
      </x:c>
      <x:c r="C228" s="107" t="n">
        <x:v>0</x:v>
      </x:c>
      <x:c r="D228" s="107" t="n">
        <x:v>0.83194445</x:v>
      </x:c>
      <x:c r="E228" s="107" t="n">
        <x:v>0.45303552</x:v>
      </x:c>
      <x:c r="F228" s="107" t="n">
        <x:v>35.24673177</x:v>
      </x:c>
      <x:c r="G228" s="107" t="n">
        <x:v>0</x:v>
      </x:c>
      <x:c r="H228" s="107" t="n">
        <x:v>2.15358284</x:v>
      </x:c>
      <x:c r="I228" s="107" t="n">
        <x:v>0</x:v>
      </x:c>
      <x:c r="J228" s="107" t="n">
        <x:v>-35.24673177</x:v>
      </x:c>
      <x:c r="K228" s="107" t="n">
        <x:v>-36.07867622</x:v>
      </x:c>
      <x:c r="L228" s="107" t="n">
        <x:v>-36.53171174</x:v>
      </x:c>
      <x:c r="M228" s="107" t="n">
        <x:v>-38.68529458</x:v>
      </x:c>
      <x:c r="N228" s="108"/>
      <x:c r="O228" s="108"/>
      <x:c r="P228" s="108"/>
      <x:c r="Q228" s="9" t="str">
        <x:v>Budget</x:v>
      </x:c>
      <x:c r="R228" s="9" t="n">
        <x:v>2026</x:v>
      </x:c>
      <x:c r="S228" s="9" t="str">
        <x:v>2026-03</x:v>
      </x:c>
    </x:row>
    <x:row r="229" ht="17" customHeight="1">
      <x:c r="A229" s="9" t="str">
        <x:v>2026-03-01</x:v>
      </x:c>
      <x:c r="B229" s="9" t="str">
        <x:v>Subscription Services</x:v>
      </x:c>
      <x:c r="C229" s="107" t="n">
        <x:v>1.9820973599999998</x:v>
      </x:c>
      <x:c r="D229" s="107" t="n">
        <x:v>0.2</x:v>
      </x:c>
      <x:c r="E229" s="107" t="n">
        <x:v>0</x:v>
      </x:c>
      <x:c r="F229" s="107" t="n">
        <x:v>3.7128330899999997</x:v>
      </x:c>
      <x:c r="G229" s="107" t="n">
        <x:v>8.09019329</x:v>
      </x:c>
      <x:c r="H229" s="107" t="n">
        <x:v>0</x:v>
      </x:c>
      <x:c r="I229" s="107" t="n">
        <x:v>6.108095929999999</x:v>
      </x:c>
      <x:c r="J229" s="107" t="n">
        <x:v>2.39526284</x:v>
      </x:c>
      <x:c r="K229" s="107" t="n">
        <x:v>2.19526284</x:v>
      </x:c>
      <x:c r="L229" s="107" t="n">
        <x:v>2.19526284</x:v>
      </x:c>
      <x:c r="M229" s="107" t="n">
        <x:v>2.19526284</x:v>
      </x:c>
      <x:c r="N229" s="108" t="n">
        <x:v>0.7549999995117546</x:v>
      </x:c>
      <x:c r="O229" s="108" t="n">
        <x:v>0.2960699150366035</x:v>
      </x:c>
      <x:c r="P229" s="108" t="n">
        <x:v>0.27134862682619537</x:v>
      </x:c>
      <x:c r="Q229" s="9" t="str">
        <x:v>Budget</x:v>
      </x:c>
      <x:c r="R229" s="9" t="n">
        <x:v>2026</x:v>
      </x:c>
      <x:c r="S229" s="9" t="str">
        <x:v>2026-03</x:v>
      </x:c>
    </x:row>
    <x:row r="230" ht="17" customHeight="1">
      <x:c r="A230" s="9" t="str">
        <x:v>2026-03-01</x:v>
      </x:c>
      <x:c r="B230" s="9" t="str">
        <x:v>Wholesale</x:v>
      </x:c>
      <x:c r="C230" s="107" t="n">
        <x:v>23.02719621</x:v>
      </x:c>
      <x:c r="D230" s="107" t="n">
        <x:v>0</x:v>
      </x:c>
      <x:c r="E230" s="107" t="n">
        <x:v>0</x:v>
      </x:c>
      <x:c r="F230" s="107" t="n">
        <x:v>4.5736626</x:v>
      </x:c>
      <x:c r="G230" s="107" t="n">
        <x:v>38.49929772</x:v>
      </x:c>
      <x:c r="H230" s="107" t="n">
        <x:v>0</x:v>
      </x:c>
      <x:c r="I230" s="107" t="n">
        <x:v>15.472101509999998</x:v>
      </x:c>
      <x:c r="J230" s="107" t="n">
        <x:v>10.898438909999998</x:v>
      </x:c>
      <x:c r="K230" s="107" t="n">
        <x:v>10.898438909999998</x:v>
      </x:c>
      <x:c r="L230" s="107" t="n">
        <x:v>10.898438909999998</x:v>
      </x:c>
      <x:c r="M230" s="107" t="n">
        <x:v>10.898438909999998</x:v>
      </x:c>
      <x:c r="N230" s="108" t="n">
        <x:v>0.40188009720401724</x:v>
      </x:c>
      <x:c r="O230" s="108" t="n">
        <x:v>0.28308149902532814</x:v>
      </x:c>
      <x:c r="P230" s="108" t="n">
        <x:v>0.28308149902532814</x:v>
      </x:c>
      <x:c r="Q230" s="9" t="str">
        <x:v>Budget</x:v>
      </x:c>
      <x:c r="R230" s="9" t="n">
        <x:v>2026</x:v>
      </x:c>
      <x:c r="S230" s="9" t="str">
        <x:v>2026-03</x:v>
      </x:c>
    </x:row>
    <x:row r="231" ht="17" customHeight="1">
      <x:c r="A231" s="9" t="str">
        <x:v>2026-04-01</x:v>
      </x:c>
      <x:c r="B231" s="9" t="str">
        <x:v>Digital Commerce</x:v>
      </x:c>
      <x:c r="C231" s="107" t="n">
        <x:v>28.51980309</x:v>
      </x:c>
      <x:c r="D231" s="107" t="n">
        <x:v>0</x:v>
      </x:c>
      <x:c r="E231" s="107" t="n">
        <x:v>0</x:v>
      </x:c>
      <x:c r="F231" s="107" t="n">
        <x:v>11.389086449999999</x:v>
      </x:c>
      <x:c r="G231" s="107" t="n">
        <x:v>63.137208460000004</x:v>
      </x:c>
      <x:c r="H231" s="107" t="n">
        <x:v>0</x:v>
      </x:c>
      <x:c r="I231" s="107" t="n">
        <x:v>34.61740537000001</x:v>
      </x:c>
      <x:c r="J231" s="107" t="n">
        <x:v>23.228318920000007</x:v>
      </x:c>
      <x:c r="K231" s="107" t="n">
        <x:v>23.228318920000007</x:v>
      </x:c>
      <x:c r="L231" s="107" t="n">
        <x:v>23.228318920000007</x:v>
      </x:c>
      <x:c r="M231" s="107" t="n">
        <x:v>23.228318920000007</x:v>
      </x:c>
      <x:c r="N231" s="108" t="n">
        <x:v>0.5482885007805112</x:v>
      </x:c>
      <x:c r="O231" s="108" t="n">
        <x:v>0.36790221624568803</x:v>
      </x:c>
      <x:c r="P231" s="108" t="n">
        <x:v>0.36790221624568803</x:v>
      </x:c>
      <x:c r="Q231" s="9" t="str">
        <x:v>Budget</x:v>
      </x:c>
      <x:c r="R231" s="9" t="n">
        <x:v>2026</x:v>
      </x:c>
      <x:c r="S231" s="9" t="str">
        <x:v>2026-04</x:v>
      </x:c>
    </x:row>
    <x:row r="232" ht="17" customHeight="1">
      <x:c r="A232" s="9" t="str">
        <x:v>2026-04-01</x:v>
      </x:c>
      <x:c r="B232" s="9" t="str">
        <x:v>Retail Stores</x:v>
      </x:c>
      <x:c r="C232" s="107" t="n">
        <x:v>19.48555522</x:v>
      </x:c>
      <x:c r="D232" s="107" t="n">
        <x:v>0.23333333</x:v>
      </x:c>
      <x:c r="E232" s="107" t="n">
        <x:v>0</x:v>
      </x:c>
      <x:c r="F232" s="107" t="n">
        <x:v>8.93103077</x:v>
      </x:c>
      <x:c r="G232" s="107" t="n">
        <x:v>38.88634905</x:v>
      </x:c>
      <x:c r="H232" s="107" t="n">
        <x:v>0</x:v>
      </x:c>
      <x:c r="I232" s="107" t="n">
        <x:v>19.400793829999998</x:v>
      </x:c>
      <x:c r="J232" s="107" t="n">
        <x:v>10.469763059999998</x:v>
      </x:c>
      <x:c r="K232" s="107" t="n">
        <x:v>10.23642973</x:v>
      </x:c>
      <x:c r="L232" s="107" t="n">
        <x:v>10.23642973</x:v>
      </x:c>
      <x:c r="M232" s="107" t="n">
        <x:v>10.23642973</x:v>
      </x:c>
      <x:c r="N232" s="108" t="n">
        <x:v>0.4989101395210564</x:v>
      </x:c>
      <x:c r="O232" s="108" t="n">
        <x:v>0.26924006279267815</x:v>
      </x:c>
      <x:c r="P232" s="108" t="n">
        <x:v>0.26323967099194673</x:v>
      </x:c>
      <x:c r="Q232" s="9" t="str">
        <x:v>Budget</x:v>
      </x:c>
      <x:c r="R232" s="9" t="n">
        <x:v>2026</x:v>
      </x:c>
      <x:c r="S232" s="9" t="str">
        <x:v>2026-04</x:v>
      </x:c>
    </x:row>
    <x:row r="233" ht="17" customHeight="1">
      <x:c r="A233" s="9" t="str">
        <x:v>2026-04-01</x:v>
      </x:c>
      <x:c r="B233" s="9" t="str">
        <x:v>Shared Services</x:v>
      </x:c>
      <x:c r="C233" s="107" t="n">
        <x:v>0</x:v>
      </x:c>
      <x:c r="D233" s="107" t="n">
        <x:v>0.83194445</x:v>
      </x:c>
      <x:c r="E233" s="107" t="n">
        <x:v>0.45303552</x:v>
      </x:c>
      <x:c r="F233" s="107" t="n">
        <x:v>35.47127295</x:v>
      </x:c>
      <x:c r="G233" s="107" t="n">
        <x:v>0</x:v>
      </x:c>
      <x:c r="H233" s="107" t="n">
        <x:v>2.4041301099999997</x:v>
      </x:c>
      <x:c r="I233" s="107" t="n">
        <x:v>0</x:v>
      </x:c>
      <x:c r="J233" s="107" t="n">
        <x:v>-35.47127295</x:v>
      </x:c>
      <x:c r="K233" s="107" t="n">
        <x:v>-36.30321740000001</x:v>
      </x:c>
      <x:c r="L233" s="107" t="n">
        <x:v>-36.75625292000001</x:v>
      </x:c>
      <x:c r="M233" s="107" t="n">
        <x:v>-39.160383030000006</x:v>
      </x:c>
      <x:c r="N233" s="108"/>
      <x:c r="O233" s="108"/>
      <x:c r="P233" s="108"/>
      <x:c r="Q233" s="9" t="str">
        <x:v>Budget</x:v>
      </x:c>
      <x:c r="R233" s="9" t="n">
        <x:v>2026</x:v>
      </x:c>
      <x:c r="S233" s="9" t="str">
        <x:v>2026-04</x:v>
      </x:c>
    </x:row>
    <x:row r="234" ht="17" customHeight="1">
      <x:c r="A234" s="9" t="str">
        <x:v>2026-04-01</x:v>
      </x:c>
      <x:c r="B234" s="9" t="str">
        <x:v>Subscription Services</x:v>
      </x:c>
      <x:c r="C234" s="107" t="n">
        <x:v>1.99974914</x:v>
      </x:c>
      <x:c r="D234" s="107" t="n">
        <x:v>0.2</x:v>
      </x:c>
      <x:c r="E234" s="107" t="n">
        <x:v>0</x:v>
      </x:c>
      <x:c r="F234" s="107" t="n">
        <x:v>3.7008372400000003</x:v>
      </x:c>
      <x:c r="G234" s="107" t="n">
        <x:v>8.16224144</x:v>
      </x:c>
      <x:c r="H234" s="107" t="n">
        <x:v>0</x:v>
      </x:c>
      <x:c r="I234" s="107" t="n">
        <x:v>6.162492300000001</x:v>
      </x:c>
      <x:c r="J234" s="107" t="n">
        <x:v>2.4616550600000005</x:v>
      </x:c>
      <x:c r="K234" s="107" t="n">
        <x:v>2.2616550600000007</x:v>
      </x:c>
      <x:c r="L234" s="107" t="n">
        <x:v>2.2616550600000007</x:v>
      </x:c>
      <x:c r="M234" s="107" t="n">
        <x:v>2.2616550600000007</x:v>
      </x:c>
      <x:c r="N234" s="108" t="n">
        <x:v>0.7550000015681967</x:v>
      </x:c>
      <x:c r="O234" s="108" t="n">
        <x:v>0.30159057142519424</x:v>
      </x:c>
      <x:c r="P234" s="108" t="n">
        <x:v>0.27708749816153444</x:v>
      </x:c>
      <x:c r="Q234" s="9" t="str">
        <x:v>Budget</x:v>
      </x:c>
      <x:c r="R234" s="9" t="n">
        <x:v>2026</x:v>
      </x:c>
      <x:c r="S234" s="9" t="str">
        <x:v>2026-04</x:v>
      </x:c>
    </x:row>
    <x:row r="235" ht="17" customHeight="1">
      <x:c r="A235" s="9" t="str">
        <x:v>2026-04-01</x:v>
      </x:c>
      <x:c r="B235" s="9" t="str">
        <x:v>Wholesale</x:v>
      </x:c>
      <x:c r="C235" s="107" t="n">
        <x:v>22.62444371</x:v>
      </x:c>
      <x:c r="D235" s="107" t="n">
        <x:v>0</x:v>
      </x:c>
      <x:c r="E235" s="107" t="n">
        <x:v>0</x:v>
      </x:c>
      <x:c r="F235" s="107" t="n">
        <x:v>4.54018914</x:v>
      </x:c>
      <x:c r="G235" s="107" t="n">
        <x:v>37.8110025</x:v>
      </x:c>
      <x:c r="H235" s="107" t="n">
        <x:v>0</x:v>
      </x:c>
      <x:c r="I235" s="107" t="n">
        <x:v>15.18655879</x:v>
      </x:c>
      <x:c r="J235" s="107" t="n">
        <x:v>10.646369649999999</x:v>
      </x:c>
      <x:c r="K235" s="107" t="n">
        <x:v>10.646369649999999</x:v>
      </x:c>
      <x:c r="L235" s="107" t="n">
        <x:v>10.646369649999999</x:v>
      </x:c>
      <x:c r="M235" s="107" t="n">
        <x:v>10.646369649999999</x:v>
      </x:c>
      <x:c r="N235" s="108" t="n">
        <x:v>0.40164390748433604</x:v>
      </x:c>
      <x:c r="O235" s="108" t="n">
        <x:v>0.281568034330748</x:v>
      </x:c>
      <x:c r="P235" s="108" t="n">
        <x:v>0.281568034330748</x:v>
      </x:c>
      <x:c r="Q235" s="9" t="str">
        <x:v>Budget</x:v>
      </x:c>
      <x:c r="R235" s="9" t="n">
        <x:v>2026</x:v>
      </x:c>
      <x:c r="S235" s="9" t="str">
        <x:v>2026-04</x:v>
      </x:c>
    </x:row>
    <x:row r="236" ht="17" customHeight="1">
      <x:c r="A236" s="9" t="str">
        <x:v>2026-05-01</x:v>
      </x:c>
      <x:c r="B236" s="9" t="str">
        <x:v>Digital Commerce</x:v>
      </x:c>
      <x:c r="C236" s="107" t="n">
        <x:v>29.489291379999997</x:v>
      </x:c>
      <x:c r="D236" s="107" t="n">
        <x:v>0</x:v>
      </x:c>
      <x:c r="E236" s="107" t="n">
        <x:v>0</x:v>
      </x:c>
      <x:c r="F236" s="107" t="n">
        <x:v>11.53190199</x:v>
      </x:c>
      <x:c r="G236" s="107" t="n">
        <x:v>65.28545967000001</x:v>
      </x:c>
      <x:c r="H236" s="107" t="n">
        <x:v>0</x:v>
      </x:c>
      <x:c r="I236" s="107" t="n">
        <x:v>35.796168290000004</x:v>
      </x:c>
      <x:c r="J236" s="107" t="n">
        <x:v>24.264266300000003</x:v>
      </x:c>
      <x:c r="K236" s="107" t="n">
        <x:v>24.264266300000003</x:v>
      </x:c>
      <x:c r="L236" s="107" t="n">
        <x:v>24.264266300000003</x:v>
      </x:c>
      <x:c r="M236" s="107" t="n">
        <x:v>24.264266300000003</x:v>
      </x:c>
      <x:c r="N236" s="108" t="n">
        <x:v>0.5483023091349861</x:v>
      </x:c>
      <x:c r="O236" s="108" t="n">
        <x:v>0.3716641718178777</x:v>
      </x:c>
      <x:c r="P236" s="108" t="n">
        <x:v>0.3716641718178777</x:v>
      </x:c>
      <x:c r="Q236" s="9" t="str">
        <x:v>Budget</x:v>
      </x:c>
      <x:c r="R236" s="9" t="n">
        <x:v>2026</x:v>
      </x:c>
      <x:c r="S236" s="9" t="str">
        <x:v>2026-05</x:v>
      </x:c>
    </x:row>
    <x:row r="237" ht="17" customHeight="1">
      <x:c r="A237" s="9" t="str">
        <x:v>2026-05-01</x:v>
      </x:c>
      <x:c r="B237" s="9" t="str">
        <x:v>Retail Stores</x:v>
      </x:c>
      <x:c r="C237" s="107" t="n">
        <x:v>20.2096935</x:v>
      </x:c>
      <x:c r="D237" s="107" t="n">
        <x:v>0.23333333</x:v>
      </x:c>
      <x:c r="E237" s="107" t="n">
        <x:v>0</x:v>
      </x:c>
      <x:c r="F237" s="107" t="n">
        <x:v>9.01855757</x:v>
      </x:c>
      <x:c r="G237" s="107" t="n">
        <x:v>40.32752737</x:v>
      </x:c>
      <x:c r="H237" s="107" t="n">
        <x:v>0</x:v>
      </x:c>
      <x:c r="I237" s="107" t="n">
        <x:v>20.11783387</x:v>
      </x:c>
      <x:c r="J237" s="107" t="n">
        <x:v>11.099276299999998</x:v>
      </x:c>
      <x:c r="K237" s="107" t="n">
        <x:v>10.865942969999997</x:v>
      </x:c>
      <x:c r="L237" s="107" t="n">
        <x:v>10.865942969999997</x:v>
      </x:c>
      <x:c r="M237" s="107" t="n">
        <x:v>10.865942969999997</x:v>
      </x:c>
      <x:c r="N237" s="108" t="n">
        <x:v>0.49886108030927356</x:v>
      </x:c>
      <x:c r="O237" s="108" t="n">
        <x:v>0.2752282875705602</x:v>
      </x:c>
      <x:c r="P237" s="108" t="n">
        <x:v>0.2694423308006547</x:v>
      </x:c>
      <x:c r="Q237" s="9" t="str">
        <x:v>Budget</x:v>
      </x:c>
      <x:c r="R237" s="9" t="n">
        <x:v>2026</x:v>
      </x:c>
      <x:c r="S237" s="9" t="str">
        <x:v>2026-05</x:v>
      </x:c>
    </x:row>
    <x:row r="238" ht="17" customHeight="1">
      <x:c r="A238" s="9" t="str">
        <x:v>2026-05-01</x:v>
      </x:c>
      <x:c r="B238" s="9" t="str">
        <x:v>Shared Services</x:v>
      </x:c>
      <x:c r="C238" s="107" t="n">
        <x:v>0</x:v>
      </x:c>
      <x:c r="D238" s="107" t="n">
        <x:v>0.83194445</x:v>
      </x:c>
      <x:c r="E238" s="107" t="n">
        <x:v>0.45303552</x:v>
      </x:c>
      <x:c r="F238" s="107" t="n">
        <x:v>35.93009669</x:v>
      </x:c>
      <x:c r="G238" s="107" t="n">
        <x:v>0</x:v>
      </x:c>
      <x:c r="H238" s="107" t="n">
        <x:v>2.58161</x:v>
      </x:c>
      <x:c r="I238" s="107" t="n">
        <x:v>0</x:v>
      </x:c>
      <x:c r="J238" s="107" t="n">
        <x:v>-35.93009669</x:v>
      </x:c>
      <x:c r="K238" s="107" t="n">
        <x:v>-36.76204114</x:v>
      </x:c>
      <x:c r="L238" s="107" t="n">
        <x:v>-37.21507666</x:v>
      </x:c>
      <x:c r="M238" s="107" t="n">
        <x:v>-39.796686660000006</x:v>
      </x:c>
      <x:c r="N238" s="108"/>
      <x:c r="O238" s="108"/>
      <x:c r="P238" s="108"/>
      <x:c r="Q238" s="9" t="str">
        <x:v>Budget</x:v>
      </x:c>
      <x:c r="R238" s="9" t="n">
        <x:v>2026</x:v>
      </x:c>
      <x:c r="S238" s="9" t="str">
        <x:v>2026-05</x:v>
      </x:c>
    </x:row>
    <x:row r="239" ht="17" customHeight="1">
      <x:c r="A239" s="9" t="str">
        <x:v>2026-05-01</x:v>
      </x:c>
      <x:c r="B239" s="9" t="str">
        <x:v>Subscription Services</x:v>
      </x:c>
      <x:c r="C239" s="107" t="n">
        <x:v>2.07771981</x:v>
      </x:c>
      <x:c r="D239" s="107" t="n">
        <x:v>0.2</x:v>
      </x:c>
      <x:c r="E239" s="107" t="n">
        <x:v>0</x:v>
      </x:c>
      <x:c r="F239" s="107" t="n">
        <x:v>3.77236013</x:v>
      </x:c>
      <x:c r="G239" s="107" t="n">
        <x:v>8.480489</x:v>
      </x:c>
      <x:c r="H239" s="107" t="n">
        <x:v>0</x:v>
      </x:c>
      <x:c r="I239" s="107" t="n">
        <x:v>6.40276919</x:v>
      </x:c>
      <x:c r="J239" s="107" t="n">
        <x:v>2.6304090599999994</x:v>
      </x:c>
      <x:c r="K239" s="107" t="n">
        <x:v>2.4304090599999997</x:v>
      </x:c>
      <x:c r="L239" s="107" t="n">
        <x:v>2.4304090599999997</x:v>
      </x:c>
      <x:c r="M239" s="107" t="n">
        <x:v>2.4304090599999997</x:v>
      </x:c>
      <x:c r="N239" s="108" t="n">
        <x:v>0.7549999994104113</x:v>
      </x:c>
      <x:c r="O239" s="108" t="n">
        <x:v>0.3101718615518515</x:v>
      </x:c>
      <x:c r="P239" s="108" t="n">
        <x:v>0.2865883158388626</x:v>
      </x:c>
      <x:c r="Q239" s="9" t="str">
        <x:v>Budget</x:v>
      </x:c>
      <x:c r="R239" s="9" t="n">
        <x:v>2026</x:v>
      </x:c>
      <x:c r="S239" s="9" t="str">
        <x:v>2026-05</x:v>
      </x:c>
    </x:row>
    <x:row r="240" ht="17" customHeight="1">
      <x:c r="A240" s="9" t="str">
        <x:v>2026-05-01</x:v>
      </x:c>
      <x:c r="B240" s="9" t="str">
        <x:v>Wholesale</x:v>
      </x:c>
      <x:c r="C240" s="107" t="n">
        <x:v>21.54563659</x:v>
      </x:c>
      <x:c r="D240" s="107" t="n">
        <x:v>0</x:v>
      </x:c>
      <x:c r="E240" s="107" t="n">
        <x:v>0</x:v>
      </x:c>
      <x:c r="F240" s="107" t="n">
        <x:v>4.49664399</x:v>
      </x:c>
      <x:c r="G240" s="107" t="n">
        <x:v>36.02317892</x:v>
      </x:c>
      <x:c r="H240" s="107" t="n">
        <x:v>0</x:v>
      </x:c>
      <x:c r="I240" s="107" t="n">
        <x:v>14.477542330000002</x:v>
      </x:c>
      <x:c r="J240" s="107" t="n">
        <x:v>9.980898340000001</x:v>
      </x:c>
      <x:c r="K240" s="107" t="n">
        <x:v>9.980898340000001</x:v>
      </x:c>
      <x:c r="L240" s="107" t="n">
        <x:v>9.980898340000001</x:v>
      </x:c>
      <x:c r="M240" s="107" t="n">
        <x:v>9.980898340000001</x:v>
      </x:c>
      <x:c r="N240" s="108" t="n">
        <x:v>0.40189518982074335</x:v>
      </x:c>
      <x:c r="O240" s="108" t="n">
        <x:v>0.2770687829123994</x:v>
      </x:c>
      <x:c r="P240" s="108" t="n">
        <x:v>0.2770687829123994</x:v>
      </x:c>
      <x:c r="Q240" s="9" t="str">
        <x:v>Budget</x:v>
      </x:c>
      <x:c r="R240" s="9" t="n">
        <x:v>2026</x:v>
      </x:c>
      <x:c r="S240" s="9" t="str">
        <x:v>2026-05</x:v>
      </x:c>
    </x:row>
    <x:row r="241" ht="17" customHeight="1">
      <x:c r="A241" s="9" t="str">
        <x:v>2026-06-01</x:v>
      </x:c>
      <x:c r="B241" s="9" t="str">
        <x:v>Digital Commerce</x:v>
      </x:c>
      <x:c r="C241" s="107" t="n">
        <x:v>30.59105323</x:v>
      </x:c>
      <x:c r="D241" s="107" t="n">
        <x:v>0</x:v>
      </x:c>
      <x:c r="E241" s="107" t="n">
        <x:v>0</x:v>
      </x:c>
      <x:c r="F241" s="107" t="n">
        <x:v>11.67535423</x:v>
      </x:c>
      <x:c r="G241" s="107" t="n">
        <x:v>67.68658765</x:v>
      </x:c>
      <x:c r="H241" s="107" t="n">
        <x:v>0</x:v>
      </x:c>
      <x:c r="I241" s="107" t="n">
        <x:v>37.09553442</x:v>
      </x:c>
      <x:c r="J241" s="107" t="n">
        <x:v>25.42018019</x:v>
      </x:c>
      <x:c r="K241" s="107" t="n">
        <x:v>25.42018019</x:v>
      </x:c>
      <x:c r="L241" s="107" t="n">
        <x:v>25.42018019</x:v>
      </x:c>
      <x:c r="M241" s="107" t="n">
        <x:v>25.42018019</x:v>
      </x:c>
      <x:c r="N241" s="108" t="n">
        <x:v>0.5480485234654904</x:v>
      </x:c>
      <x:c r="O241" s="108" t="n">
        <x:v>0.37555712398215424</x:v>
      </x:c>
      <x:c r="P241" s="108" t="n">
        <x:v>0.37555712398215424</x:v>
      </x:c>
      <x:c r="Q241" s="9" t="str">
        <x:v>Budget</x:v>
      </x:c>
      <x:c r="R241" s="9" t="n">
        <x:v>2026</x:v>
      </x:c>
      <x:c r="S241" s="9" t="str">
        <x:v>2026-06</x:v>
      </x:c>
    </x:row>
    <x:row r="242" ht="17" customHeight="1">
      <x:c r="A242" s="9" t="str">
        <x:v>2026-06-01</x:v>
      </x:c>
      <x:c r="B242" s="9" t="str">
        <x:v>Retail Stores</x:v>
      </x:c>
      <x:c r="C242" s="107" t="n">
        <x:v>21.4262935</x:v>
      </x:c>
      <x:c r="D242" s="107" t="n">
        <x:v>0.23333333</x:v>
      </x:c>
      <x:c r="E242" s="107" t="n">
        <x:v>0</x:v>
      </x:c>
      <x:c r="F242" s="107" t="n">
        <x:v>9.06843415</x:v>
      </x:c>
      <x:c r="G242" s="107" t="n">
        <x:v>42.75419006</x:v>
      </x:c>
      <x:c r="H242" s="107" t="n">
        <x:v>0</x:v>
      </x:c>
      <x:c r="I242" s="107" t="n">
        <x:v>21.327896560000003</x:v>
      </x:c>
      <x:c r="J242" s="107" t="n">
        <x:v>12.259462410000001</x:v>
      </x:c>
      <x:c r="K242" s="107" t="n">
        <x:v>12.026129080000002</x:v>
      </x:c>
      <x:c r="L242" s="107" t="n">
        <x:v>12.026129080000002</x:v>
      </x:c>
      <x:c r="M242" s="107" t="n">
        <x:v>12.026129080000002</x:v>
      </x:c>
      <x:c r="N242" s="108" t="n">
        <x:v>0.4988492713829696</x:v>
      </x:c>
      <x:c r="O242" s="108" t="n">
        <x:v>0.28674294596144667</x:v>
      </x:c>
      <x:c r="P242" s="108" t="n">
        <x:v>0.28128539128265273</x:v>
      </x:c>
      <x:c r="Q242" s="9" t="str">
        <x:v>Budget</x:v>
      </x:c>
      <x:c r="R242" s="9" t="n">
        <x:v>2026</x:v>
      </x:c>
      <x:c r="S242" s="9" t="str">
        <x:v>2026-06</x:v>
      </x:c>
    </x:row>
    <x:row r="243" ht="17" customHeight="1">
      <x:c r="A243" s="9" t="str">
        <x:v>2026-06-01</x:v>
      </x:c>
      <x:c r="B243" s="9" t="str">
        <x:v>Shared Services</x:v>
      </x:c>
      <x:c r="C243" s="107" t="n">
        <x:v>0</x:v>
      </x:c>
      <x:c r="D243" s="107" t="n">
        <x:v>0.83194445</x:v>
      </x:c>
      <x:c r="E243" s="107" t="n">
        <x:v>0.45303552</x:v>
      </x:c>
      <x:c r="F243" s="107" t="n">
        <x:v>36.50444495</x:v>
      </x:c>
      <x:c r="G243" s="107" t="n">
        <x:v>0</x:v>
      </x:c>
      <x:c r="H243" s="107" t="n">
        <x:v>2.9639766</x:v>
      </x:c>
      <x:c r="I243" s="107" t="n">
        <x:v>0</x:v>
      </x:c>
      <x:c r="J243" s="107" t="n">
        <x:v>-36.50444495</x:v>
      </x:c>
      <x:c r="K243" s="107" t="n">
        <x:v>-37.33638940000001</x:v>
      </x:c>
      <x:c r="L243" s="107" t="n">
        <x:v>-37.78942492000001</x:v>
      </x:c>
      <x:c r="M243" s="107" t="n">
        <x:v>-40.75340152000001</x:v>
      </x:c>
      <x:c r="N243" s="108"/>
      <x:c r="O243" s="108"/>
      <x:c r="P243" s="108"/>
      <x:c r="Q243" s="9" t="str">
        <x:v>Budget</x:v>
      </x:c>
      <x:c r="R243" s="9" t="n">
        <x:v>2026</x:v>
      </x:c>
      <x:c r="S243" s="9" t="str">
        <x:v>2026-06</x:v>
      </x:c>
    </x:row>
    <x:row r="244" ht="17" customHeight="1">
      <x:c r="A244" s="9" t="str">
        <x:v>2026-06-01</x:v>
      </x:c>
      <x:c r="B244" s="9" t="str">
        <x:v>Subscription Services</x:v>
      </x:c>
      <x:c r="C244" s="107" t="n">
        <x:v>2.1344388999999997</x:v>
      </x:c>
      <x:c r="D244" s="107" t="n">
        <x:v>0.2</x:v>
      </x:c>
      <x:c r="E244" s="107" t="n">
        <x:v>0</x:v>
      </x:c>
      <x:c r="F244" s="107" t="n">
        <x:v>3.7801245500000005</x:v>
      </x:c>
      <x:c r="G244" s="107" t="n">
        <x:v>8.71199553</x:v>
      </x:c>
      <x:c r="H244" s="107" t="n">
        <x:v>0</x:v>
      </x:c>
      <x:c r="I244" s="107" t="n">
        <x:v>6.577556629999999</x:v>
      </x:c>
      <x:c r="J244" s="107" t="n">
        <x:v>2.7974320799999988</x:v>
      </x:c>
      <x:c r="K244" s="107" t="n">
        <x:v>2.5974320799999986</x:v>
      </x:c>
      <x:c r="L244" s="107" t="n">
        <x:v>2.5974320799999986</x:v>
      </x:c>
      <x:c r="M244" s="107" t="n">
        <x:v>2.5974320799999986</x:v>
      </x:c>
      <x:c r="N244" s="108" t="n">
        <x:v>0.7550000005567036</x:v>
      </x:c>
      <x:c r="O244" s="108" t="n">
        <x:v>0.3211011840360757</x:v>
      </x:c>
      <x:c r="P244" s="108" t="n">
        <x:v>0.29814433111859034</x:v>
      </x:c>
      <x:c r="Q244" s="9" t="str">
        <x:v>Budget</x:v>
      </x:c>
      <x:c r="R244" s="9" t="n">
        <x:v>2026</x:v>
      </x:c>
      <x:c r="S244" s="9" t="str">
        <x:v>2026-06</x:v>
      </x:c>
    </x:row>
    <x:row r="245" ht="17" customHeight="1">
      <x:c r="A245" s="9" t="str">
        <x:v>2026-06-01</x:v>
      </x:c>
      <x:c r="B245" s="9" t="str">
        <x:v>Wholesale</x:v>
      </x:c>
      <x:c r="C245" s="107" t="n">
        <x:v>20.982291989999997</x:v>
      </x:c>
      <x:c r="D245" s="107" t="n">
        <x:v>0</x:v>
      </x:c>
      <x:c r="E245" s="107" t="n">
        <x:v>0</x:v>
      </x:c>
      <x:c r="F245" s="107" t="n">
        <x:v>4.480479910000001</x:v>
      </x:c>
      <x:c r="G245" s="107" t="n">
        <x:v>35.06436188</x:v>
      </x:c>
      <x:c r="H245" s="107" t="n">
        <x:v>0</x:v>
      </x:c>
      <x:c r="I245" s="107" t="n">
        <x:v>14.082069890000005</x:v>
      </x:c>
      <x:c r="J245" s="107" t="n">
        <x:v>9.601589980000004</x:v>
      </x:c>
      <x:c r="K245" s="107" t="n">
        <x:v>9.601589980000004</x:v>
      </x:c>
      <x:c r="L245" s="107" t="n">
        <x:v>9.601589980000004</x:v>
      </x:c>
      <x:c r="M245" s="107" t="n">
        <x:v>9.601589980000004</x:v>
      </x:c>
      <x:c r="N245" s="108" t="n">
        <x:v>0.4016063357488941</x:v>
      </x:c>
      <x:c r="O245" s="108" t="n">
        <x:v>0.273827597743239</x:v>
      </x:c>
      <x:c r="P245" s="108" t="n">
        <x:v>0.273827597743239</x:v>
      </x:c>
      <x:c r="Q245" s="9" t="str">
        <x:v>Budget</x:v>
      </x:c>
      <x:c r="R245" s="9" t="n">
        <x:v>2026</x:v>
      </x:c>
      <x:c r="S245" s="9" t="str">
        <x:v>2026-06</x:v>
      </x:c>
    </x:row>
    <x:row r="246" ht="17" customHeight="1">
      <x:c r="A246" s="9" t="str">
        <x:v>2026-07-01</x:v>
      </x:c>
      <x:c r="B246" s="9" t="str">
        <x:v>Digital Commerce</x:v>
      </x:c>
      <x:c r="C246" s="107" t="n">
        <x:v>28.85202025</x:v>
      </x:c>
      <x:c r="D246" s="107" t="n">
        <x:v>0</x:v>
      </x:c>
      <x:c r="E246" s="107" t="n">
        <x:v>0</x:v>
      </x:c>
      <x:c r="F246" s="107" t="n">
        <x:v>11.44965806</x:v>
      </x:c>
      <x:c r="G246" s="107" t="n">
        <x:v>63.77796358</x:v>
      </x:c>
      <x:c r="H246" s="107" t="n">
        <x:v>0</x:v>
      </x:c>
      <x:c r="I246" s="107" t="n">
        <x:v>34.925943329999996</x:v>
      </x:c>
      <x:c r="J246" s="107" t="n">
        <x:v>23.476285269999995</x:v>
      </x:c>
      <x:c r="K246" s="107" t="n">
        <x:v>23.476285269999995</x:v>
      </x:c>
      <x:c r="L246" s="107" t="n">
        <x:v>23.476285269999995</x:v>
      </x:c>
      <x:c r="M246" s="107" t="n">
        <x:v>23.476285269999995</x:v>
      </x:c>
      <x:c r="N246" s="108" t="n">
        <x:v>0.5476177251440552</x:v>
      </x:c>
      <x:c r="O246" s="108" t="n">
        <x:v>0.368093992849936</x:v>
      </x:c>
      <x:c r="P246" s="108" t="n">
        <x:v>0.368093992849936</x:v>
      </x:c>
      <x:c r="Q246" s="9" t="str">
        <x:v>Budget</x:v>
      </x:c>
      <x:c r="R246" s="9" t="n">
        <x:v>2026</x:v>
      </x:c>
      <x:c r="S246" s="9" t="str">
        <x:v>2026-07</x:v>
      </x:c>
    </x:row>
    <x:row r="247" ht="17" customHeight="1">
      <x:c r="A247" s="9" t="str">
        <x:v>2026-07-01</x:v>
      </x:c>
      <x:c r="B247" s="9" t="str">
        <x:v>Retail Stores</x:v>
      </x:c>
      <x:c r="C247" s="107" t="n">
        <x:v>20.904463070000002</x:v>
      </x:c>
      <x:c r="D247" s="107" t="n">
        <x:v>0.23333333</x:v>
      </x:c>
      <x:c r="E247" s="107" t="n">
        <x:v>0</x:v>
      </x:c>
      <x:c r="F247" s="107" t="n">
        <x:v>9.09323202</x:v>
      </x:c>
      <x:c r="G247" s="107" t="n">
        <x:v>41.70972348</x:v>
      </x:c>
      <x:c r="H247" s="107" t="n">
        <x:v>0</x:v>
      </x:c>
      <x:c r="I247" s="107" t="n">
        <x:v>20.805260410000002</x:v>
      </x:c>
      <x:c r="J247" s="107" t="n">
        <x:v>11.712028390000004</x:v>
      </x:c>
      <x:c r="K247" s="107" t="n">
        <x:v>11.478695060000005</x:v>
      </x:c>
      <x:c r="L247" s="107" t="n">
        <x:v>11.478695060000005</x:v>
      </x:c>
      <x:c r="M247" s="107" t="n">
        <x:v>11.478695060000005</x:v>
      </x:c>
      <x:c r="N247" s="108" t="n">
        <x:v>0.49881079695904046</x:v>
      </x:c>
      <x:c r="O247" s="108" t="n">
        <x:v>0.28079851441872955</x:v>
      </x:c>
      <x:c r="P247" s="108" t="n">
        <x:v>0.27520429536062707</x:v>
      </x:c>
      <x:c r="Q247" s="9" t="str">
        <x:v>Budget</x:v>
      </x:c>
      <x:c r="R247" s="9" t="n">
        <x:v>2026</x:v>
      </x:c>
      <x:c r="S247" s="9" t="str">
        <x:v>2026-07</x:v>
      </x:c>
    </x:row>
    <x:row r="248" ht="17" customHeight="1">
      <x:c r="A248" s="9" t="str">
        <x:v>2026-07-01</x:v>
      </x:c>
      <x:c r="B248" s="9" t="str">
        <x:v>Shared Services</x:v>
      </x:c>
      <x:c r="C248" s="107" t="n">
        <x:v>0</x:v>
      </x:c>
      <x:c r="D248" s="107" t="n">
        <x:v>0.83194445</x:v>
      </x:c>
      <x:c r="E248" s="107" t="n">
        <x:v>0.45303552</x:v>
      </x:c>
      <x:c r="F248" s="107" t="n">
        <x:v>36.24320289</x:v>
      </x:c>
      <x:c r="G248" s="107" t="n">
        <x:v>0</x:v>
      </x:c>
      <x:c r="H248" s="107" t="n">
        <x:v>2.1234175299999998</x:v>
      </x:c>
      <x:c r="I248" s="107" t="n">
        <x:v>0</x:v>
      </x:c>
      <x:c r="J248" s="107" t="n">
        <x:v>-36.24320289</x:v>
      </x:c>
      <x:c r="K248" s="107" t="n">
        <x:v>-37.07514734</x:v>
      </x:c>
      <x:c r="L248" s="107" t="n">
        <x:v>-37.52818286000001</x:v>
      </x:c>
      <x:c r="M248" s="107" t="n">
        <x:v>-39.651600390000006</x:v>
      </x:c>
      <x:c r="N248" s="108"/>
      <x:c r="O248" s="108"/>
      <x:c r="P248" s="108"/>
      <x:c r="Q248" s="9" t="str">
        <x:v>Budget</x:v>
      </x:c>
      <x:c r="R248" s="9" t="n">
        <x:v>2026</x:v>
      </x:c>
      <x:c r="S248" s="9" t="str">
        <x:v>2026-07</x:v>
      </x:c>
    </x:row>
    <x:row r="249" ht="17" customHeight="1">
      <x:c r="A249" s="9" t="str">
        <x:v>2026-07-01</x:v>
      </x:c>
      <x:c r="B249" s="9" t="str">
        <x:v>Subscription Services</x:v>
      </x:c>
      <x:c r="C249" s="107" t="n">
        <x:v>2.17803524</x:v>
      </x:c>
      <x:c r="D249" s="107" t="n">
        <x:v>0.2</x:v>
      </x:c>
      <x:c r="E249" s="107" t="n">
        <x:v>0</x:v>
      </x:c>
      <x:c r="F249" s="107" t="n">
        <x:v>3.75970516</x:v>
      </x:c>
      <x:c r="G249" s="107" t="n">
        <x:v>8.889939759999999</x:v>
      </x:c>
      <x:c r="H249" s="107" t="n">
        <x:v>0</x:v>
      </x:c>
      <x:c r="I249" s="107" t="n">
        <x:v>6.711904519999999</x:v>
      </x:c>
      <x:c r="J249" s="107" t="n">
        <x:v>2.9521993599999994</x:v>
      </x:c>
      <x:c r="K249" s="107" t="n">
        <x:v>2.752199359999999</x:v>
      </x:c>
      <x:c r="L249" s="107" t="n">
        <x:v>2.752199359999999</x:v>
      </x:c>
      <x:c r="M249" s="107" t="n">
        <x:v>2.752199359999999</x:v>
      </x:c>
      <x:c r="N249" s="108" t="n">
        <x:v>0.755000000134984</x:v>
      </x:c>
      <x:c r="O249" s="108" t="n">
        <x:v>0.3320831681316139</x:v>
      </x:c>
      <x:c r="P249" s="108" t="n">
        <x:v>0.30958582783467586</x:v>
      </x:c>
      <x:c r="Q249" s="9" t="str">
        <x:v>Budget</x:v>
      </x:c>
      <x:c r="R249" s="9" t="n">
        <x:v>2026</x:v>
      </x:c>
      <x:c r="S249" s="9" t="str">
        <x:v>2026-07</x:v>
      </x:c>
    </x:row>
    <x:row r="250" ht="17" customHeight="1">
      <x:c r="A250" s="9" t="str">
        <x:v>2026-07-01</x:v>
      </x:c>
      <x:c r="B250" s="9" t="str">
        <x:v>Wholesale</x:v>
      </x:c>
      <x:c r="C250" s="107" t="n">
        <x:v>18.90172672</x:v>
      </x:c>
      <x:c r="D250" s="107" t="n">
        <x:v>0</x:v>
      </x:c>
      <x:c r="E250" s="107" t="n">
        <x:v>0</x:v>
      </x:c>
      <x:c r="F250" s="107" t="n">
        <x:v>4.38078118</x:v>
      </x:c>
      <x:c r="G250" s="107" t="n">
        <x:v>31.597181170000002</x:v>
      </x:c>
      <x:c r="H250" s="107" t="n">
        <x:v>0</x:v>
      </x:c>
      <x:c r="I250" s="107" t="n">
        <x:v>12.695454450000003</x:v>
      </x:c>
      <x:c r="J250" s="107" t="n">
        <x:v>8.314673270000004</x:v>
      </x:c>
      <x:c r="K250" s="107" t="n">
        <x:v>8.314673270000004</x:v>
      </x:c>
      <x:c r="L250" s="107" t="n">
        <x:v>8.314673270000004</x:v>
      </x:c>
      <x:c r="M250" s="107" t="n">
        <x:v>8.314673270000004</x:v>
      </x:c>
      <x:c r="N250" s="108" t="n">
        <x:v>0.4017907287898746</x:v>
      </x:c>
      <x:c r="O250" s="108" t="n">
        <x:v>0.2631460453787056</x:v>
      </x:c>
      <x:c r="P250" s="108" t="n">
        <x:v>0.2631460453787056</x:v>
      </x:c>
      <x:c r="Q250" s="9" t="str">
        <x:v>Budget</x:v>
      </x:c>
      <x:c r="R250" s="9" t="n">
        <x:v>2026</x:v>
      </x:c>
      <x:c r="S250" s="9" t="str">
        <x:v>2026-07</x:v>
      </x:c>
    </x:row>
    <x:row r="251" ht="17" customHeight="1">
      <x:c r="A251" s="9" t="str">
        <x:v>2026-08-01</x:v>
      </x:c>
      <x:c r="B251" s="9" t="str">
        <x:v>Digital Commerce</x:v>
      </x:c>
      <x:c r="C251" s="107" t="n">
        <x:v>28.01483253</x:v>
      </x:c>
      <x:c r="D251" s="107" t="n">
        <x:v>0</x:v>
      </x:c>
      <x:c r="E251" s="107" t="n">
        <x:v>0</x:v>
      </x:c>
      <x:c r="F251" s="107" t="n">
        <x:v>11.37128466</x:v>
      </x:c>
      <x:c r="G251" s="107" t="n">
        <x:v>62.02143873000001</x:v>
      </x:c>
      <x:c r="H251" s="107" t="n">
        <x:v>0</x:v>
      </x:c>
      <x:c r="I251" s="107" t="n">
        <x:v>34.0066062</x:v>
      </x:c>
      <x:c r="J251" s="107" t="n">
        <x:v>22.635321540000003</x:v>
      </x:c>
      <x:c r="K251" s="107" t="n">
        <x:v>22.635321540000003</x:v>
      </x:c>
      <x:c r="L251" s="107" t="n">
        <x:v>22.635321540000003</x:v>
      </x:c>
      <x:c r="M251" s="107" t="n">
        <x:v>22.635321540000003</x:v>
      </x:c>
      <x:c r="N251" s="108" t="n">
        <x:v>0.5483040525396725</x:v>
      </x:c>
      <x:c r="O251" s="108" t="n">
        <x:v>0.3649596333703109</x:v>
      </x:c>
      <x:c r="P251" s="108" t="n">
        <x:v>0.3649596333703109</x:v>
      </x:c>
      <x:c r="Q251" s="9" t="str">
        <x:v>Budget</x:v>
      </x:c>
      <x:c r="R251" s="9" t="n">
        <x:v>2026</x:v>
      </x:c>
      <x:c r="S251" s="9" t="str">
        <x:v>2026-08</x:v>
      </x:c>
    </x:row>
    <x:row r="252" ht="17" customHeight="1">
      <x:c r="A252" s="9" t="str">
        <x:v>2026-08-01</x:v>
      </x:c>
      <x:c r="B252" s="9" t="str">
        <x:v>Retail Stores</x:v>
      </x:c>
      <x:c r="C252" s="107" t="n">
        <x:v>18.44392985</x:v>
      </x:c>
      <x:c r="D252" s="107" t="n">
        <x:v>0.23333333</x:v>
      </x:c>
      <x:c r="E252" s="107" t="n">
        <x:v>0</x:v>
      </x:c>
      <x:c r="F252" s="107" t="n">
        <x:v>8.9366835</x:v>
      </x:c>
      <x:c r="G252" s="107" t="n">
        <x:v>36.79895609</x:v>
      </x:c>
      <x:c r="H252" s="107" t="n">
        <x:v>0</x:v>
      </x:c>
      <x:c r="I252" s="107" t="n">
        <x:v>18.355026239999994</x:v>
      </x:c>
      <x:c r="J252" s="107" t="n">
        <x:v>9.418342739999995</x:v>
      </x:c>
      <x:c r="K252" s="107" t="n">
        <x:v>9.185009409999994</x:v>
      </x:c>
      <x:c r="L252" s="107" t="n">
        <x:v>9.185009409999994</x:v>
      </x:c>
      <x:c r="M252" s="107" t="n">
        <x:v>9.185009409999994</x:v>
      </x:c>
      <x:c r="N252" s="108" t="n">
        <x:v>0.49879203624985213</x:v>
      </x:c>
      <x:c r="O252" s="108" t="n">
        <x:v>0.25594048692482885</x:v>
      </x:c>
      <x:c r="P252" s="108" t="n">
        <x:v>0.24959972743618108</x:v>
      </x:c>
      <x:c r="Q252" s="9" t="str">
        <x:v>Budget</x:v>
      </x:c>
      <x:c r="R252" s="9" t="n">
        <x:v>2026</x:v>
      </x:c>
      <x:c r="S252" s="9" t="str">
        <x:v>2026-08</x:v>
      </x:c>
    </x:row>
    <x:row r="253" ht="17" customHeight="1">
      <x:c r="A253" s="9" t="str">
        <x:v>2026-08-01</x:v>
      </x:c>
      <x:c r="B253" s="9" t="str">
        <x:v>Shared Services</x:v>
      </x:c>
      <x:c r="C253" s="107" t="n">
        <x:v>0</x:v>
      </x:c>
      <x:c r="D253" s="107" t="n">
        <x:v>0.83194445</x:v>
      </x:c>
      <x:c r="E253" s="107" t="n">
        <x:v>0.45303552</x:v>
      </x:c>
      <x:c r="F253" s="107" t="n">
        <x:v>37.16981608</x:v>
      </x:c>
      <x:c r="G253" s="107" t="n">
        <x:v>0</x:v>
      </x:c>
      <x:c r="H253" s="107" t="n">
        <x:v>1.2930075</x:v>
      </x:c>
      <x:c r="I253" s="107" t="n">
        <x:v>0</x:v>
      </x:c>
      <x:c r="J253" s="107" t="n">
        <x:v>-37.16981608</x:v>
      </x:c>
      <x:c r="K253" s="107" t="n">
        <x:v>-38.00176053</x:v>
      </x:c>
      <x:c r="L253" s="107" t="n">
        <x:v>-38.454796050000006</x:v>
      </x:c>
      <x:c r="M253" s="107" t="n">
        <x:v>-39.74780355000001</x:v>
      </x:c>
      <x:c r="N253" s="108"/>
      <x:c r="O253" s="108"/>
      <x:c r="P253" s="108"/>
      <x:c r="Q253" s="9" t="str">
        <x:v>Budget</x:v>
      </x:c>
      <x:c r="R253" s="9" t="n">
        <x:v>2026</x:v>
      </x:c>
      <x:c r="S253" s="9" t="str">
        <x:v>2026-08</x:v>
      </x:c>
    </x:row>
    <x:row r="254" ht="17" customHeight="1">
      <x:c r="A254" s="9" t="str">
        <x:v>2026-08-01</x:v>
      </x:c>
      <x:c r="B254" s="9" t="str">
        <x:v>Subscription Services</x:v>
      </x:c>
      <x:c r="C254" s="107" t="n">
        <x:v>2.2768016</x:v>
      </x:c>
      <x:c r="D254" s="107" t="n">
        <x:v>0.2</x:v>
      </x:c>
      <x:c r="E254" s="107" t="n">
        <x:v>0</x:v>
      </x:c>
      <x:c r="F254" s="107" t="n">
        <x:v>3.80955277</x:v>
      </x:c>
      <x:c r="G254" s="107" t="n">
        <x:v>9.29306773</x:v>
      </x:c>
      <x:c r="H254" s="107" t="n">
        <x:v>0</x:v>
      </x:c>
      <x:c r="I254" s="107" t="n">
        <x:v>7.016266130000001</x:v>
      </x:c>
      <x:c r="J254" s="107" t="n">
        <x:v>3.2067133600000006</x:v>
      </x:c>
      <x:c r="K254" s="107" t="n">
        <x:v>3.006713360000001</x:v>
      </x:c>
      <x:c r="L254" s="107" t="n">
        <x:v>3.006713360000001</x:v>
      </x:c>
      <x:c r="M254" s="107" t="n">
        <x:v>3.006713360000001</x:v>
      </x:c>
      <x:c r="N254" s="108" t="n">
        <x:v>0.7549999993382165</x:v>
      </x:c>
      <x:c r="O254" s="108" t="n">
        <x:v>0.3450651015539301</x:v>
      </x:c>
      <x:c r="P254" s="108" t="n">
        <x:v>0.32354368302876885</x:v>
      </x:c>
      <x:c r="Q254" s="9" t="str">
        <x:v>Budget</x:v>
      </x:c>
      <x:c r="R254" s="9" t="n">
        <x:v>2026</x:v>
      </x:c>
      <x:c r="S254" s="9" t="str">
        <x:v>2026-08</x:v>
      </x:c>
    </x:row>
    <x:row r="255" ht="17" customHeight="1">
      <x:c r="A255" s="9" t="str">
        <x:v>2026-08-01</x:v>
      </x:c>
      <x:c r="B255" s="9" t="str">
        <x:v>Wholesale</x:v>
      </x:c>
      <x:c r="C255" s="107" t="n">
        <x:v>19.688073399999997</x:v>
      </x:c>
      <x:c r="D255" s="107" t="n">
        <x:v>0</x:v>
      </x:c>
      <x:c r="E255" s="107" t="n">
        <x:v>0</x:v>
      </x:c>
      <x:c r="F255" s="107" t="n">
        <x:v>4.43130046</x:v>
      </x:c>
      <x:c r="G255" s="107" t="n">
        <x:v>32.91915559</x:v>
      </x:c>
      <x:c r="H255" s="107" t="n">
        <x:v>0</x:v>
      </x:c>
      <x:c r="I255" s="107" t="n">
        <x:v>13.231082190000002</x:v>
      </x:c>
      <x:c r="J255" s="107" t="n">
        <x:v>8.799781730000001</x:v>
      </x:c>
      <x:c r="K255" s="107" t="n">
        <x:v>8.799781730000001</x:v>
      </x:c>
      <x:c r="L255" s="107" t="n">
        <x:v>8.799781730000001</x:v>
      </x:c>
      <x:c r="M255" s="107" t="n">
        <x:v>8.799781730000001</x:v>
      </x:c>
      <x:c r="N255" s="108" t="n">
        <x:v>0.4019265364759012</x:v>
      </x:c>
      <x:c r="O255" s="108" t="n">
        <x:v>0.2673149287180729</x:v>
      </x:c>
      <x:c r="P255" s="108" t="n">
        <x:v>0.2673149287180729</x:v>
      </x:c>
      <x:c r="Q255" s="9" t="str">
        <x:v>Budget</x:v>
      </x:c>
      <x:c r="R255" s="9" t="n">
        <x:v>2026</x:v>
      </x:c>
      <x:c r="S255" s="9" t="str">
        <x:v>2026-08</x:v>
      </x:c>
    </x:row>
    <x:row r="256" ht="17" customHeight="1">
      <x:c r="A256" s="9" t="str">
        <x:v>2026-09-01</x:v>
      </x:c>
      <x:c r="B256" s="9" t="str">
        <x:v>Digital Commerce</x:v>
      </x:c>
      <x:c r="C256" s="107" t="n">
        <x:v>30.52194247</x:v>
      </x:c>
      <x:c r="D256" s="107" t="n">
        <x:v>0</x:v>
      </x:c>
      <x:c r="E256" s="107" t="n">
        <x:v>0</x:v>
      </x:c>
      <x:c r="F256" s="107" t="n">
        <x:v>11.57622363</x:v>
      </x:c>
      <x:c r="G256" s="107" t="n">
        <x:v>67.54694246</x:v>
      </x:c>
      <x:c r="H256" s="107" t="n">
        <x:v>0</x:v>
      </x:c>
      <x:c r="I256" s="107" t="n">
        <x:v>37.02499999</x:v>
      </x:c>
      <x:c r="J256" s="107" t="n">
        <x:v>25.448776359999997</x:v>
      </x:c>
      <x:c r="K256" s="107" t="n">
        <x:v>25.448776359999997</x:v>
      </x:c>
      <x:c r="L256" s="107" t="n">
        <x:v>25.448776359999997</x:v>
      </x:c>
      <x:c r="M256" s="107" t="n">
        <x:v>25.448776359999997</x:v>
      </x:c>
      <x:c r="N256" s="108" t="n">
        <x:v>0.5481373196414552</x:v>
      </x:c>
      <x:c r="O256" s="108" t="n">
        <x:v>0.3767568957702308</x:v>
      </x:c>
      <x:c r="P256" s="108" t="n">
        <x:v>0.3767568957702308</x:v>
      </x:c>
      <x:c r="Q256" s="9" t="str">
        <x:v>Budget</x:v>
      </x:c>
      <x:c r="R256" s="9" t="n">
        <x:v>2026</x:v>
      </x:c>
      <x:c r="S256" s="9" t="str">
        <x:v>2026-09</x:v>
      </x:c>
    </x:row>
    <x:row r="257" ht="17" customHeight="1">
      <x:c r="A257" s="9" t="str">
        <x:v>2026-09-01</x:v>
      </x:c>
      <x:c r="B257" s="9" t="str">
        <x:v>Retail Stores</x:v>
      </x:c>
      <x:c r="C257" s="107" t="n">
        <x:v>20.3986621</x:v>
      </x:c>
      <x:c r="D257" s="107" t="n">
        <x:v>0.23333333</x:v>
      </x:c>
      <x:c r="E257" s="107" t="n">
        <x:v>0</x:v>
      </x:c>
      <x:c r="F257" s="107" t="n">
        <x:v>8.876103070000001</x:v>
      </x:c>
      <x:c r="G257" s="107" t="n">
        <x:v>40.70368616</x:v>
      </x:c>
      <x:c r="H257" s="107" t="n">
        <x:v>0</x:v>
      </x:c>
      <x:c r="I257" s="107" t="n">
        <x:v>20.305024059999997</x:v>
      </x:c>
      <x:c r="J257" s="107" t="n">
        <x:v>11.428920989999998</x:v>
      </x:c>
      <x:c r="K257" s="107" t="n">
        <x:v>11.195587659999997</x:v>
      </x:c>
      <x:c r="L257" s="107" t="n">
        <x:v>11.195587659999997</x:v>
      </x:c>
      <x:c r="M257" s="107" t="n">
        <x:v>11.195587659999997</x:v>
      </x:c>
      <x:c r="N257" s="108" t="n">
        <x:v>0.4988497597044169</x:v>
      </x:c>
      <x:c r="O257" s="108" t="n">
        <x:v>0.28078343924613236</x:v>
      </x:c>
      <x:c r="P257" s="108" t="n">
        <x:v>0.27505095278083286</x:v>
      </x:c>
      <x:c r="Q257" s="9" t="str">
        <x:v>Budget</x:v>
      </x:c>
      <x:c r="R257" s="9" t="n">
        <x:v>2026</x:v>
      </x:c>
      <x:c r="S257" s="9" t="str">
        <x:v>2026-09</x:v>
      </x:c>
    </x:row>
    <x:row r="258" ht="17" customHeight="1">
      <x:c r="A258" s="9" t="str">
        <x:v>2026-09-01</x:v>
      </x:c>
      <x:c r="B258" s="9" t="str">
        <x:v>Shared Services</x:v>
      </x:c>
      <x:c r="C258" s="107" t="n">
        <x:v>0</x:v>
      </x:c>
      <x:c r="D258" s="107" t="n">
        <x:v>0.83194445</x:v>
      </x:c>
      <x:c r="E258" s="107" t="n">
        <x:v>0.45303552</x:v>
      </x:c>
      <x:c r="F258" s="107" t="n">
        <x:v>35.99125978</x:v>
      </x:c>
      <x:c r="G258" s="107" t="n">
        <x:v>0</x:v>
      </x:c>
      <x:c r="H258" s="107" t="n">
        <x:v>3.73627996</x:v>
      </x:c>
      <x:c r="I258" s="107" t="n">
        <x:v>0</x:v>
      </x:c>
      <x:c r="J258" s="107" t="n">
        <x:v>-35.99125978</x:v>
      </x:c>
      <x:c r="K258" s="107" t="n">
        <x:v>-36.82320423</x:v>
      </x:c>
      <x:c r="L258" s="107" t="n">
        <x:v>-37.27623975000001</x:v>
      </x:c>
      <x:c r="M258" s="107" t="n">
        <x:v>-41.01251971000001</x:v>
      </x:c>
      <x:c r="N258" s="108"/>
      <x:c r="O258" s="108"/>
      <x:c r="P258" s="108"/>
      <x:c r="Q258" s="9" t="str">
        <x:v>Budget</x:v>
      </x:c>
      <x:c r="R258" s="9" t="n">
        <x:v>2026</x:v>
      </x:c>
      <x:c r="S258" s="9" t="str">
        <x:v>2026-09</x:v>
      </x:c>
    </x:row>
    <x:row r="259" ht="17" customHeight="1">
      <x:c r="A259" s="9" t="str">
        <x:v>2026-09-01</x:v>
      </x:c>
      <x:c r="B259" s="9" t="str">
        <x:v>Subscription Services</x:v>
      </x:c>
      <x:c r="C259" s="107" t="n">
        <x:v>2.24446779</x:v>
      </x:c>
      <x:c r="D259" s="107" t="n">
        <x:v>0.2</x:v>
      </x:c>
      <x:c r="E259" s="107" t="n">
        <x:v>0</x:v>
      </x:c>
      <x:c r="F259" s="107" t="n">
        <x:v>3.81631072</x:v>
      </x:c>
      <x:c r="G259" s="107" t="n">
        <x:v>9.16109302</x:v>
      </x:c>
      <x:c r="H259" s="107" t="n">
        <x:v>0</x:v>
      </x:c>
      <x:c r="I259" s="107" t="n">
        <x:v>6.916625229999999</x:v>
      </x:c>
      <x:c r="J259" s="107" t="n">
        <x:v>3.100314509999999</x:v>
      </x:c>
      <x:c r="K259" s="107" t="n">
        <x:v>2.9003145099999994</x:v>
      </x:c>
      <x:c r="L259" s="107" t="n">
        <x:v>2.9003145099999994</x:v>
      </x:c>
      <x:c r="M259" s="107" t="n">
        <x:v>2.9003145099999994</x:v>
      </x:c>
      <x:c r="N259" s="108" t="n">
        <x:v>0.7549999999890843</x:v>
      </x:c>
      <x:c r="O259" s="108" t="n">
        <x:v>0.33842190044698395</x:v>
      </x:c>
      <x:c r="P259" s="108" t="n">
        <x:v>0.3165904443572607</x:v>
      </x:c>
      <x:c r="Q259" s="9" t="str">
        <x:v>Budget</x:v>
      </x:c>
      <x:c r="R259" s="9" t="n">
        <x:v>2026</x:v>
      </x:c>
      <x:c r="S259" s="9" t="str">
        <x:v>2026-09</x:v>
      </x:c>
    </x:row>
    <x:row r="260" ht="17" customHeight="1">
      <x:c r="A260" s="9" t="str">
        <x:v>2026-09-01</x:v>
      </x:c>
      <x:c r="B260" s="9" t="str">
        <x:v>Wholesale</x:v>
      </x:c>
      <x:c r="C260" s="107" t="n">
        <x:v>25.95395504</x:v>
      </x:c>
      <x:c r="D260" s="107" t="n">
        <x:v>0</x:v>
      </x:c>
      <x:c r="E260" s="107" t="n">
        <x:v>0</x:v>
      </x:c>
      <x:c r="F260" s="107" t="n">
        <x:v>4.72838625</x:v>
      </x:c>
      <x:c r="G260" s="107" t="n">
        <x:v>43.359022329999995</x:v>
      </x:c>
      <x:c r="H260" s="107" t="n">
        <x:v>0</x:v>
      </x:c>
      <x:c r="I260" s="107" t="n">
        <x:v>17.405067289999998</x:v>
      </x:c>
      <x:c r="J260" s="107" t="n">
        <x:v>12.676681039999998</x:v>
      </x:c>
      <x:c r="K260" s="107" t="n">
        <x:v>12.676681039999998</x:v>
      </x:c>
      <x:c r="L260" s="107" t="n">
        <x:v>12.676681039999998</x:v>
      </x:c>
      <x:c r="M260" s="107" t="n">
        <x:v>12.676681039999998</x:v>
      </x:c>
      <x:c r="N260" s="108" t="n">
        <x:v>0.4014174295151825</x:v>
      </x:c>
      <x:c r="O260" s="108" t="n">
        <x:v>0.29236547225441095</x:v>
      </x:c>
      <x:c r="P260" s="108" t="n">
        <x:v>0.29236547225441095</x:v>
      </x:c>
      <x:c r="Q260" s="9" t="str">
        <x:v>Budget</x:v>
      </x:c>
      <x:c r="R260" s="9" t="n">
        <x:v>2026</x:v>
      </x:c>
      <x:c r="S260" s="9" t="str">
        <x:v>2026-09</x:v>
      </x:c>
    </x:row>
    <x:row r="261" ht="17" customHeight="1">
      <x:c r="A261" s="9" t="str">
        <x:v>2026-10-01</x:v>
      </x:c>
      <x:c r="B261" s="9" t="str">
        <x:v>Digital Commerce</x:v>
      </x:c>
      <x:c r="C261" s="107" t="n">
        <x:v>33.51709857</x:v>
      </x:c>
      <x:c r="D261" s="107" t="n">
        <x:v>0</x:v>
      </x:c>
      <x:c r="E261" s="107" t="n">
        <x:v>0</x:v>
      </x:c>
      <x:c r="F261" s="107" t="n">
        <x:v>12.43740449</x:v>
      </x:c>
      <x:c r="G261" s="107" t="n">
        <x:v>74.24392706</x:v>
      </x:c>
      <x:c r="H261" s="107" t="n">
        <x:v>0</x:v>
      </x:c>
      <x:c r="I261" s="107" t="n">
        <x:v>40.72682849</x:v>
      </x:c>
      <x:c r="J261" s="107" t="n">
        <x:v>28.289424</x:v>
      </x:c>
      <x:c r="K261" s="107" t="n">
        <x:v>28.289424</x:v>
      </x:c>
      <x:c r="L261" s="107" t="n">
        <x:v>28.289424</x:v>
      </x:c>
      <x:c r="M261" s="107" t="n">
        <x:v>28.289424</x:v>
      </x:c>
      <x:c r="N261" s="108" t="n">
        <x:v>0.5485543411124622</x:v>
      </x:c>
      <x:c r="O261" s="108" t="n">
        <x:v>0.38103350833177224</x:v>
      </x:c>
      <x:c r="P261" s="108" t="n">
        <x:v>0.38103350833177224</x:v>
      </x:c>
      <x:c r="Q261" s="9" t="str">
        <x:v>Budget</x:v>
      </x:c>
      <x:c r="R261" s="9" t="n">
        <x:v>2026</x:v>
      </x:c>
      <x:c r="S261" s="9" t="str">
        <x:v>2026-10</x:v>
      </x:c>
    </x:row>
    <x:row r="262" ht="17" customHeight="1">
      <x:c r="A262" s="9" t="str">
        <x:v>2026-10-01</x:v>
      </x:c>
      <x:c r="B262" s="9" t="str">
        <x:v>Retail Stores</x:v>
      </x:c>
      <x:c r="C262" s="107" t="n">
        <x:v>20.78921554</x:v>
      </x:c>
      <x:c r="D262" s="107" t="n">
        <x:v>0.23333333</x:v>
      </x:c>
      <x:c r="E262" s="107" t="n">
        <x:v>0</x:v>
      </x:c>
      <x:c r="F262" s="107" t="n">
        <x:v>9.15700112</x:v>
      </x:c>
      <x:c r="G262" s="107" t="n">
        <x:v>41.48434812000001</x:v>
      </x:c>
      <x:c r="H262" s="107" t="n">
        <x:v>0</x:v>
      </x:c>
      <x:c r="I262" s="107" t="n">
        <x:v>20.695132580000006</x:v>
      </x:c>
      <x:c r="J262" s="107" t="n">
        <x:v>11.538131460000004</x:v>
      </x:c>
      <x:c r="K262" s="107" t="n">
        <x:v>11.304798130000005</x:v>
      </x:c>
      <x:c r="L262" s="107" t="n">
        <x:v>11.304798130000005</x:v>
      </x:c>
      <x:c r="M262" s="107" t="n">
        <x:v>11.304798130000005</x:v>
      </x:c>
      <x:c r="N262" s="108" t="n">
        <x:v>0.49886604268520934</x:v>
      </x:c>
      <x:c r="O262" s="108" t="n">
        <x:v>0.2781321626803474</x:v>
      </x:c>
      <x:c r="P262" s="108" t="n">
        <x:v>0.2725075514576991</x:v>
      </x:c>
      <x:c r="Q262" s="9" t="str">
        <x:v>Budget</x:v>
      </x:c>
      <x:c r="R262" s="9" t="n">
        <x:v>2026</x:v>
      </x:c>
      <x:c r="S262" s="9" t="str">
        <x:v>2026-10</x:v>
      </x:c>
    </x:row>
    <x:row r="263" ht="17" customHeight="1">
      <x:c r="A263" s="9" t="str">
        <x:v>2026-10-01</x:v>
      </x:c>
      <x:c r="B263" s="9" t="str">
        <x:v>Shared Services</x:v>
      </x:c>
      <x:c r="C263" s="107" t="n">
        <x:v>0</x:v>
      </x:c>
      <x:c r="D263" s="107" t="n">
        <x:v>1.1131944500000002</x:v>
      </x:c>
      <x:c r="E263" s="107" t="n">
        <x:v>0.45303552</x:v>
      </x:c>
      <x:c r="F263" s="107" t="n">
        <x:v>36.99614722</x:v>
      </x:c>
      <x:c r="G263" s="107" t="n">
        <x:v>0</x:v>
      </x:c>
      <x:c r="H263" s="107" t="n">
        <x:v>4.263510950000001</x:v>
      </x:c>
      <x:c r="I263" s="107" t="n">
        <x:v>0</x:v>
      </x:c>
      <x:c r="J263" s="107" t="n">
        <x:v>-36.99614722</x:v>
      </x:c>
      <x:c r="K263" s="107" t="n">
        <x:v>-38.10934167</x:v>
      </x:c>
      <x:c r="L263" s="107" t="n">
        <x:v>-38.56237719000001</x:v>
      </x:c>
      <x:c r="M263" s="107" t="n">
        <x:v>-42.82588814000001</x:v>
      </x:c>
      <x:c r="N263" s="108"/>
      <x:c r="O263" s="108"/>
      <x:c r="P263" s="108"/>
      <x:c r="Q263" s="9" t="str">
        <x:v>Budget</x:v>
      </x:c>
      <x:c r="R263" s="9" t="n">
        <x:v>2026</x:v>
      </x:c>
      <x:c r="S263" s="9" t="str">
        <x:v>2026-10</x:v>
      </x:c>
    </x:row>
    <x:row r="264" ht="17" customHeight="1">
      <x:c r="A264" s="9" t="str">
        <x:v>2026-10-01</x:v>
      </x:c>
      <x:c r="B264" s="9" t="str">
        <x:v>Subscription Services</x:v>
      </x:c>
      <x:c r="C264" s="107" t="n">
        <x:v>2.51641633</x:v>
      </x:c>
      <x:c r="D264" s="107" t="n">
        <x:v>0.2</x:v>
      </x:c>
      <x:c r="E264" s="107" t="n">
        <x:v>0</x:v>
      </x:c>
      <x:c r="F264" s="107" t="n">
        <x:v>3.94978367</x:v>
      </x:c>
      <x:c r="G264" s="107" t="n">
        <x:v>10.27108707</x:v>
      </x:c>
      <x:c r="H264" s="107" t="n">
        <x:v>0</x:v>
      </x:c>
      <x:c r="I264" s="107" t="n">
        <x:v>7.75467074</x:v>
      </x:c>
      <x:c r="J264" s="107" t="n">
        <x:v>3.8048870700000004</x:v>
      </x:c>
      <x:c r="K264" s="107" t="n">
        <x:v>3.60488707</x:v>
      </x:c>
      <x:c r="L264" s="107" t="n">
        <x:v>3.60488707</x:v>
      </x:c>
      <x:c r="M264" s="107" t="n">
        <x:v>3.60488707</x:v>
      </x:c>
      <x:c r="N264" s="108" t="n">
        <x:v>0.7550000002093255</x:v>
      </x:c>
      <x:c r="O264" s="108" t="n">
        <x:v>0.370446384503291</x:v>
      </x:c>
      <x:c r="P264" s="108" t="n">
        <x:v>0.3509742489214435</x:v>
      </x:c>
      <x:c r="Q264" s="9" t="str">
        <x:v>Budget</x:v>
      </x:c>
      <x:c r="R264" s="9" t="n">
        <x:v>2026</x:v>
      </x:c>
      <x:c r="S264" s="9" t="str">
        <x:v>2026-10</x:v>
      </x:c>
    </x:row>
    <x:row r="265" ht="17" customHeight="1">
      <x:c r="A265" s="9" t="str">
        <x:v>2026-10-01</x:v>
      </x:c>
      <x:c r="B265" s="9" t="str">
        <x:v>Wholesale</x:v>
      </x:c>
      <x:c r="C265" s="107" t="n">
        <x:v>25.91943432</x:v>
      </x:c>
      <x:c r="D265" s="107" t="n">
        <x:v>0</x:v>
      </x:c>
      <x:c r="E265" s="107" t="n">
        <x:v>0</x:v>
      </x:c>
      <x:c r="F265" s="107" t="n">
        <x:v>4.99139707</x:v>
      </x:c>
      <x:c r="G265" s="107" t="n">
        <x:v>43.328143170000004</x:v>
      </x:c>
      <x:c r="H265" s="107" t="n">
        <x:v>0</x:v>
      </x:c>
      <x:c r="I265" s="107" t="n">
        <x:v>17.40870885</x:v>
      </x:c>
      <x:c r="J265" s="107" t="n">
        <x:v>12.41731178</x:v>
      </x:c>
      <x:c r="K265" s="107" t="n">
        <x:v>12.41731178</x:v>
      </x:c>
      <x:c r="L265" s="107" t="n">
        <x:v>12.41731178</x:v>
      </x:c>
      <x:c r="M265" s="107" t="n">
        <x:v>12.41731178</x:v>
      </x:c>
      <x:c r="N265" s="108" t="n">
        <x:v>0.4017875583012204</x:v>
      </x:c>
      <x:c r="O265" s="108" t="n">
        <x:v>0.2865876742347369</x:v>
      </x:c>
      <x:c r="P265" s="108" t="n">
        <x:v>0.2865876742347369</x:v>
      </x:c>
      <x:c r="Q265" s="9" t="str">
        <x:v>Budget</x:v>
      </x:c>
      <x:c r="R265" s="9" t="n">
        <x:v>2026</x:v>
      </x:c>
      <x:c r="S265" s="9" t="str">
        <x:v>2026-10</x:v>
      </x:c>
    </x:row>
    <x:row r="266" ht="17" customHeight="1">
      <x:c r="A266" s="9" t="str">
        <x:v>2026-11-01</x:v>
      </x:c>
      <x:c r="B266" s="9" t="str">
        <x:v>Digital Commerce</x:v>
      </x:c>
      <x:c r="C266" s="107" t="n">
        <x:v>39.7818166</x:v>
      </x:c>
      <x:c r="D266" s="107" t="n">
        <x:v>0</x:v>
      </x:c>
      <x:c r="E266" s="107" t="n">
        <x:v>0</x:v>
      </x:c>
      <x:c r="F266" s="107" t="n">
        <x:v>13.36793509</x:v>
      </x:c>
      <x:c r="G266" s="107" t="n">
        <x:v>88.07645801000001</x:v>
      </x:c>
      <x:c r="H266" s="107" t="n">
        <x:v>0</x:v>
      </x:c>
      <x:c r="I266" s="107" t="n">
        <x:v>48.294641410000004</x:v>
      </x:c>
      <x:c r="J266" s="107" t="n">
        <x:v>34.92670632000001</x:v>
      </x:c>
      <x:c r="K266" s="107" t="n">
        <x:v>34.92670632000001</x:v>
      </x:c>
      <x:c r="L266" s="107" t="n">
        <x:v>34.92670632000001</x:v>
      </x:c>
      <x:c r="M266" s="107" t="n">
        <x:v>34.92670632000001</x:v>
      </x:c>
      <x:c r="N266" s="108" t="n">
        <x:v>0.5483263348818675</x:v>
      </x:c>
      <x:c r="O266" s="108" t="n">
        <x:v>0.3965498512217023</x:v>
      </x:c>
      <x:c r="P266" s="108" t="n">
        <x:v>0.3965498512217023</x:v>
      </x:c>
      <x:c r="Q266" s="9" t="str">
        <x:v>Budget</x:v>
      </x:c>
      <x:c r="R266" s="9" t="n">
        <x:v>2026</x:v>
      </x:c>
      <x:c r="S266" s="9" t="str">
        <x:v>2026-11</x:v>
      </x:c>
    </x:row>
    <x:row r="267" ht="17" customHeight="1">
      <x:c r="A267" s="9" t="str">
        <x:v>2026-11-01</x:v>
      </x:c>
      <x:c r="B267" s="9" t="str">
        <x:v>Retail Stores</x:v>
      </x:c>
      <x:c r="C267" s="107" t="n">
        <x:v>21.69288666</x:v>
      </x:c>
      <x:c r="D267" s="107" t="n">
        <x:v>0.23333333</x:v>
      </x:c>
      <x:c r="E267" s="107" t="n">
        <x:v>0</x:v>
      </x:c>
      <x:c r="F267" s="107" t="n">
        <x:v>9.22741742</x:v>
      </x:c>
      <x:c r="G267" s="107" t="n">
        <x:v>43.29094821</x:v>
      </x:c>
      <x:c r="H267" s="107" t="n">
        <x:v>0</x:v>
      </x:c>
      <x:c r="I267" s="107" t="n">
        <x:v>21.59806155</x:v>
      </x:c>
      <x:c r="J267" s="107" t="n">
        <x:v>12.37064413</x:v>
      </x:c>
      <x:c r="K267" s="107" t="n">
        <x:v>12.137310800000002</x:v>
      </x:c>
      <x:c r="L267" s="107" t="n">
        <x:v>12.137310800000002</x:v>
      </x:c>
      <x:c r="M267" s="107" t="n">
        <x:v>12.137310800000002</x:v>
      </x:c>
      <x:c r="N267" s="108" t="n">
        <x:v>0.49890479287332756</x:v>
      </x:c>
      <x:c r="O267" s="108" t="n">
        <x:v>0.2857559060612685</x:v>
      </x:c>
      <x:c r="P267" s="108" t="n">
        <x:v>0.2803660188065906</x:v>
      </x:c>
      <x:c r="Q267" s="9" t="str">
        <x:v>Budget</x:v>
      </x:c>
      <x:c r="R267" s="9" t="n">
        <x:v>2026</x:v>
      </x:c>
      <x:c r="S267" s="9" t="str">
        <x:v>2026-11</x:v>
      </x:c>
    </x:row>
    <x:row r="268" ht="17" customHeight="1">
      <x:c r="A268" s="9" t="str">
        <x:v>2026-11-01</x:v>
      </x:c>
      <x:c r="B268" s="9" t="str">
        <x:v>Shared Services</x:v>
      </x:c>
      <x:c r="C268" s="107" t="n">
        <x:v>0</x:v>
      </x:c>
      <x:c r="D268" s="107" t="n">
        <x:v>1.1131944500000002</x:v>
      </x:c>
      <x:c r="E268" s="107" t="n">
        <x:v>0.45303552</x:v>
      </x:c>
      <x:c r="F268" s="107" t="n">
        <x:v>37.65948907</x:v>
      </x:c>
      <x:c r="G268" s="107" t="n">
        <x:v>0</x:v>
      </x:c>
      <x:c r="H268" s="107" t="n">
        <x:v>5.34468958</x:v>
      </x:c>
      <x:c r="I268" s="107" t="n">
        <x:v>0</x:v>
      </x:c>
      <x:c r="J268" s="107" t="n">
        <x:v>-37.65948907</x:v>
      </x:c>
      <x:c r="K268" s="107" t="n">
        <x:v>-38.77268352</x:v>
      </x:c>
      <x:c r="L268" s="107" t="n">
        <x:v>-39.22571904000001</x:v>
      </x:c>
      <x:c r="M268" s="107" t="n">
        <x:v>-44.57040862</x:v>
      </x:c>
      <x:c r="N268" s="108"/>
      <x:c r="O268" s="108"/>
      <x:c r="P268" s="108"/>
      <x:c r="Q268" s="9" t="str">
        <x:v>Budget</x:v>
      </x:c>
      <x:c r="R268" s="9" t="n">
        <x:v>2026</x:v>
      </x:c>
      <x:c r="S268" s="9" t="str">
        <x:v>2026-11</x:v>
      </x:c>
    </x:row>
    <x:row r="269" ht="17" customHeight="1">
      <x:c r="A269" s="9" t="str">
        <x:v>2026-11-01</x:v>
      </x:c>
      <x:c r="B269" s="9" t="str">
        <x:v>Subscription Services</x:v>
      </x:c>
      <x:c r="C269" s="107" t="n">
        <x:v>2.28254037</x:v>
      </x:c>
      <x:c r="D269" s="107" t="n">
        <x:v>0.2</x:v>
      </x:c>
      <x:c r="E269" s="107" t="n">
        <x:v>0</x:v>
      </x:c>
      <x:c r="F269" s="107" t="n">
        <x:v>3.9652107599999997</x:v>
      </x:c>
      <x:c r="G269" s="107" t="n">
        <x:v>9.31649132</x:v>
      </x:c>
      <x:c r="H269" s="107" t="n">
        <x:v>0</x:v>
      </x:c>
      <x:c r="I269" s="107" t="n">
        <x:v>7.03395095</x:v>
      </x:c>
      <x:c r="J269" s="107" t="n">
        <x:v>3.06874019</x:v>
      </x:c>
      <x:c r="K269" s="107" t="n">
        <x:v>2.8687401900000005</x:v>
      </x:c>
      <x:c r="L269" s="107" t="n">
        <x:v>2.8687401900000005</x:v>
      </x:c>
      <x:c r="M269" s="107" t="n">
        <x:v>2.8687401900000005</x:v>
      </x:c>
      <x:c r="N269" s="108" t="n">
        <x:v>0.7550000003649443</x:v>
      </x:c>
      <x:c r="O269" s="108" t="n">
        <x:v>0.3293879728532823</x:v>
      </x:c>
      <x:c r="P269" s="108" t="n">
        <x:v>0.3079206636345581</x:v>
      </x:c>
      <x:c r="Q269" s="9" t="str">
        <x:v>Budget</x:v>
      </x:c>
      <x:c r="R269" s="9" t="n">
        <x:v>2026</x:v>
      </x:c>
      <x:c r="S269" s="9" t="str">
        <x:v>2026-11</x:v>
      </x:c>
    </x:row>
    <x:row r="270" ht="17" customHeight="1">
      <x:c r="A270" s="9" t="str">
        <x:v>2026-11-01</x:v>
      </x:c>
      <x:c r="B270" s="9" t="str">
        <x:v>Wholesale</x:v>
      </x:c>
      <x:c r="C270" s="107" t="n">
        <x:v>23.166401190000002</x:v>
      </x:c>
      <x:c r="D270" s="107" t="n">
        <x:v>0</x:v>
      </x:c>
      <x:c r="E270" s="107" t="n">
        <x:v>0</x:v>
      </x:c>
      <x:c r="F270" s="107" t="n">
        <x:v>4.87293703</x:v>
      </x:c>
      <x:c r="G270" s="107" t="n">
        <x:v>38.71105829</x:v>
      </x:c>
      <x:c r="H270" s="107" t="n">
        <x:v>0</x:v>
      </x:c>
      <x:c r="I270" s="107" t="n">
        <x:v>15.544657099999998</x:v>
      </x:c>
      <x:c r="J270" s="107" t="n">
        <x:v>10.671720069999997</x:v>
      </x:c>
      <x:c r="K270" s="107" t="n">
        <x:v>10.671720069999997</x:v>
      </x:c>
      <x:c r="L270" s="107" t="n">
        <x:v>10.671720069999997</x:v>
      </x:c>
      <x:c r="M270" s="107" t="n">
        <x:v>10.671720069999997</x:v>
      </x:c>
      <x:c r="N270" s="108" t="n">
        <x:v>0.40155598391417674</x:v>
      </x:c>
      <x:c r="O270" s="108" t="n">
        <x:v>0.2756762677489693</x:v>
      </x:c>
      <x:c r="P270" s="108" t="n">
        <x:v>0.2756762677489693</x:v>
      </x:c>
      <x:c r="Q270" s="9" t="str">
        <x:v>Budget</x:v>
      </x:c>
      <x:c r="R270" s="9" t="n">
        <x:v>2026</x:v>
      </x:c>
      <x:c r="S270" s="9" t="str">
        <x:v>2026-11</x:v>
      </x:c>
    </x:row>
    <x:row r="271" ht="17" customHeight="1">
      <x:c r="A271" s="9" t="str">
        <x:v>2026-12-01</x:v>
      </x:c>
      <x:c r="B271" s="9" t="str">
        <x:v>Digital Commerce</x:v>
      </x:c>
      <x:c r="C271" s="107" t="n">
        <x:v>43.335879520000006</x:v>
      </x:c>
      <x:c r="D271" s="107" t="n">
        <x:v>0</x:v>
      </x:c>
      <x:c r="E271" s="107" t="n">
        <x:v>0</x:v>
      </x:c>
      <x:c r="F271" s="107" t="n">
        <x:v>13.86418784</x:v>
      </x:c>
      <x:c r="G271" s="107" t="n">
        <x:v>96.01791503999999</x:v>
      </x:c>
      <x:c r="H271" s="107" t="n">
        <x:v>0</x:v>
      </x:c>
      <x:c r="I271" s="107" t="n">
        <x:v>52.682035519999985</x:v>
      </x:c>
      <x:c r="J271" s="107" t="n">
        <x:v>38.81784767999999</x:v>
      </x:c>
      <x:c r="K271" s="107" t="n">
        <x:v>38.81784767999999</x:v>
      </x:c>
      <x:c r="L271" s="107" t="n">
        <x:v>38.81784767999999</x:v>
      </x:c>
      <x:c r="M271" s="107" t="n">
        <x:v>38.81784767999999</x:v>
      </x:c>
      <x:c r="N271" s="108" t="n">
        <x:v>0.5486688135027015</x:v>
      </x:c>
      <x:c r="O271" s="108" t="n">
        <x:v>0.40427713582229846</x:v>
      </x:c>
      <x:c r="P271" s="108" t="n">
        <x:v>0.40427713582229846</x:v>
      </x:c>
      <x:c r="Q271" s="9" t="str">
        <x:v>Budget</x:v>
      </x:c>
      <x:c r="R271" s="9" t="n">
        <x:v>2026</x:v>
      </x:c>
      <x:c r="S271" s="9" t="str">
        <x:v>2026-12</x:v>
      </x:c>
    </x:row>
    <x:row r="272" ht="17" customHeight="1">
      <x:c r="A272" s="9" t="str">
        <x:v>2026-12-01</x:v>
      </x:c>
      <x:c r="B272" s="9" t="str">
        <x:v>Retail Stores</x:v>
      </x:c>
      <x:c r="C272" s="107" t="n">
        <x:v>25.74768249</x:v>
      </x:c>
      <x:c r="D272" s="107" t="n">
        <x:v>0.23333333</x:v>
      </x:c>
      <x:c r="E272" s="107" t="n">
        <x:v>0</x:v>
      </x:c>
      <x:c r="F272" s="107" t="n">
        <x:v>9.51953587</x:v>
      </x:c>
      <x:c r="G272" s="107" t="n">
        <x:v>51.37122835</x:v>
      </x:c>
      <x:c r="H272" s="107" t="n">
        <x:v>0</x:v>
      </x:c>
      <x:c r="I272" s="107" t="n">
        <x:v>25.623545860000004</x:v>
      </x:c>
      <x:c r="J272" s="107" t="n">
        <x:v>16.10400999</x:v>
      </x:c>
      <x:c r="K272" s="107" t="n">
        <x:v>15.870676660000003</x:v>
      </x:c>
      <x:c r="L272" s="107" t="n">
        <x:v>15.870676660000003</x:v>
      </x:c>
      <x:c r="M272" s="107" t="n">
        <x:v>15.870676660000003</x:v>
      </x:c>
      <x:c r="N272" s="108" t="n">
        <x:v>0.49879176891435967</x:v>
      </x:c>
      <x:c r="O272" s="108" t="n">
        <x:v>0.3134830625477929</x:v>
      </x:c>
      <x:c r="P272" s="108" t="n">
        <x:v>0.3089409611129145</x:v>
      </x:c>
      <x:c r="Q272" s="9" t="str">
        <x:v>Budget</x:v>
      </x:c>
      <x:c r="R272" s="9" t="n">
        <x:v>2026</x:v>
      </x:c>
      <x:c r="S272" s="9" t="str">
        <x:v>2026-12</x:v>
      </x:c>
    </x:row>
    <x:row r="273" ht="17" customHeight="1">
      <x:c r="A273" s="9" t="str">
        <x:v>2026-12-01</x:v>
      </x:c>
      <x:c r="B273" s="9" t="str">
        <x:v>Shared Services</x:v>
      </x:c>
      <x:c r="C273" s="107" t="n">
        <x:v>0</x:v>
      </x:c>
      <x:c r="D273" s="107" t="n">
        <x:v>1.1131944500000002</x:v>
      </x:c>
      <x:c r="E273" s="107" t="n">
        <x:v>0.45303552</x:v>
      </x:c>
      <x:c r="F273" s="107" t="n">
        <x:v>37.23136922</x:v>
      </x:c>
      <x:c r="G273" s="107" t="n">
        <x:v>0</x:v>
      </x:c>
      <x:c r="H273" s="107" t="n">
        <x:v>7.169359200000001</x:v>
      </x:c>
      <x:c r="I273" s="107" t="n">
        <x:v>0</x:v>
      </x:c>
      <x:c r="J273" s="107" t="n">
        <x:v>-37.23136922</x:v>
      </x:c>
      <x:c r="K273" s="107" t="n">
        <x:v>-38.34456367</x:v>
      </x:c>
      <x:c r="L273" s="107" t="n">
        <x:v>-38.79759919000001</x:v>
      </x:c>
      <x:c r="M273" s="107" t="n">
        <x:v>-45.96695839000001</x:v>
      </x:c>
      <x:c r="N273" s="108"/>
      <x:c r="O273" s="108"/>
      <x:c r="P273" s="108"/>
      <x:c r="Q273" s="9" t="str">
        <x:v>Budget</x:v>
      </x:c>
      <x:c r="R273" s="9" t="n">
        <x:v>2026</x:v>
      </x:c>
      <x:c r="S273" s="9" t="str">
        <x:v>2026-12</x:v>
      </x:c>
    </x:row>
    <x:row r="274" ht="17" customHeight="1">
      <x:c r="A274" s="9" t="str">
        <x:v>2026-12-01</x:v>
      </x:c>
      <x:c r="B274" s="9" t="str">
        <x:v>Subscription Services</x:v>
      </x:c>
      <x:c r="C274" s="107" t="n">
        <x:v>2.3853853199999997</x:v>
      </x:c>
      <x:c r="D274" s="107" t="n">
        <x:v>0.2</x:v>
      </x:c>
      <x:c r="E274" s="107" t="n">
        <x:v>0</x:v>
      </x:c>
      <x:c r="F274" s="107" t="n">
        <x:v>4.03183956</x:v>
      </x:c>
      <x:c r="G274" s="107" t="n">
        <x:v>9.736266630000001</x:v>
      </x:c>
      <x:c r="H274" s="107" t="n">
        <x:v>0</x:v>
      </x:c>
      <x:c r="I274" s="107" t="n">
        <x:v>7.35088131</x:v>
      </x:c>
      <x:c r="J274" s="107" t="n">
        <x:v>3.3190417500000007</x:v>
      </x:c>
      <x:c r="K274" s="107" t="n">
        <x:v>3.1190417500000005</x:v>
      </x:c>
      <x:c r="L274" s="107" t="n">
        <x:v>3.1190417500000005</x:v>
      </x:c>
      <x:c r="M274" s="107" t="n">
        <x:v>3.1190417500000005</x:v>
      </x:c>
      <x:c r="N274" s="108" t="n">
        <x:v>0.7550000004467832</x:v>
      </x:c>
      <x:c r="O274" s="108" t="n">
        <x:v>0.34089470596184773</x:v>
      </x:c>
      <x:c r="P274" s="108" t="n">
        <x:v>0.32035295134476</x:v>
      </x:c>
      <x:c r="Q274" s="9" t="str">
        <x:v>Budget</x:v>
      </x:c>
      <x:c r="R274" s="9" t="n">
        <x:v>2026</x:v>
      </x:c>
      <x:c r="S274" s="9" t="str">
        <x:v>2026-12</x:v>
      </x:c>
    </x:row>
    <x:row r="275" ht="17" customHeight="1">
      <x:c r="A275" s="9" t="str">
        <x:v>2026-12-01</x:v>
      </x:c>
      <x:c r="B275" s="9" t="str">
        <x:v>Wholesale</x:v>
      </x:c>
      <x:c r="C275" s="107" t="n">
        <x:v>21.55897609</x:v>
      </x:c>
      <x:c r="D275" s="107" t="n">
        <x:v>0</x:v>
      </x:c>
      <x:c r="E275" s="107" t="n">
        <x:v>0</x:v>
      </x:c>
      <x:c r="F275" s="107" t="n">
        <x:v>4.79313524</x:v>
      </x:c>
      <x:c r="G275" s="107" t="n">
        <x:v>36.01958122</x:v>
      </x:c>
      <x:c r="H275" s="107" t="n">
        <x:v>0</x:v>
      </x:c>
      <x:c r="I275" s="107" t="n">
        <x:v>14.46060513</x:v>
      </x:c>
      <x:c r="J275" s="107" t="n">
        <x:v>9.66746989</x:v>
      </x:c>
      <x:c r="K275" s="107" t="n">
        <x:v>9.66746989</x:v>
      </x:c>
      <x:c r="L275" s="107" t="n">
        <x:v>9.66746989</x:v>
      </x:c>
      <x:c r="M275" s="107" t="n">
        <x:v>9.66746989</x:v>
      </x:c>
      <x:c r="N275" s="108" t="n">
        <x:v>0.40146510981562156</x:v>
      </x:c>
      <x:c r="O275" s="108" t="n">
        <x:v>0.26839484420857457</x:v>
      </x:c>
      <x:c r="P275" s="108" t="n">
        <x:v>0.26839484420857457</x:v>
      </x:c>
      <x:c r="Q275" s="9" t="str">
        <x:v>Budget</x:v>
      </x:c>
      <x:c r="R275" s="9" t="n">
        <x:v>2026</x:v>
      </x:c>
      <x:c r="S275" s="9" t="str">
        <x:v>2026-12</x:v>
      </x:c>
    </x:row>
    <x:row r="276" ht="17" customHeight="1">
      <x:c r="A276" s="9" t="str">
        <x:v>2026-01-01</x:v>
      </x:c>
      <x:c r="B276" s="9" t="str">
        <x:v>Digital Commerce</x:v>
      </x:c>
      <x:c r="C276" s="107" t="n">
        <x:v>24.8732717</x:v>
      </x:c>
      <x:c r="D276" s="107" t="n">
        <x:v>0</x:v>
      </x:c>
      <x:c r="E276" s="107" t="n">
        <x:v>0</x:v>
      </x:c>
      <x:c r="F276" s="107" t="n">
        <x:v>9.78187847</x:v>
      </x:c>
      <x:c r="G276" s="107" t="n">
        <x:v>54.27751866</x:v>
      </x:c>
      <x:c r="H276" s="107" t="n">
        <x:v>0</x:v>
      </x:c>
      <x:c r="I276" s="107" t="n">
        <x:v>29.40424696</x:v>
      </x:c>
      <x:c r="J276" s="107" t="n">
        <x:v>19.622368489999996</x:v>
      </x:c>
      <x:c r="K276" s="107" t="n">
        <x:v>19.622368489999996</x:v>
      </x:c>
      <x:c r="L276" s="107" t="n">
        <x:v>19.622368489999996</x:v>
      </x:c>
      <x:c r="M276" s="107" t="n">
        <x:v>19.622368489999996</x:v>
      </x:c>
      <x:c r="N276" s="108" t="n">
        <x:v>0.5417389682861379</x:v>
      </x:c>
      <x:c r="O276" s="108" t="n">
        <x:v>0.3615192620155786</x:v>
      </x:c>
      <x:c r="P276" s="108" t="n">
        <x:v>0.3615192620155786</x:v>
      </x:c>
      <x:c r="Q276" s="9" t="str">
        <x:v>Forecast</x:v>
      </x:c>
      <x:c r="R276" s="9" t="n">
        <x:v>2026</x:v>
      </x:c>
      <x:c r="S276" s="9" t="str">
        <x:v>2026-01</x:v>
      </x:c>
    </x:row>
    <x:row r="277" ht="17" customHeight="1">
      <x:c r="A277" s="9" t="str">
        <x:v>2026-01-01</x:v>
      </x:c>
      <x:c r="B277" s="9" t="str">
        <x:v>Retail Stores</x:v>
      </x:c>
      <x:c r="C277" s="107" t="n">
        <x:v>15.33601742</x:v>
      </x:c>
      <x:c r="D277" s="107" t="n">
        <x:v>0.24166667</x:v>
      </x:c>
      <x:c r="E277" s="107" t="n">
        <x:v>0</x:v>
      </x:c>
      <x:c r="F277" s="107" t="n">
        <x:v>7.637770560000001</x:v>
      </x:c>
      <x:c r="G277" s="107" t="n">
        <x:v>30.374320330000003</x:v>
      </x:c>
      <x:c r="H277" s="107" t="n">
        <x:v>0</x:v>
      </x:c>
      <x:c r="I277" s="107" t="n">
        <x:v>15.038302910000002</x:v>
      </x:c>
      <x:c r="J277" s="107" t="n">
        <x:v>7.4005323500000015</x:v>
      </x:c>
      <x:c r="K277" s="107" t="n">
        <x:v>7.158865680000002</x:v>
      </x:c>
      <x:c r="L277" s="107" t="n">
        <x:v>7.158865680000002</x:v>
      </x:c>
      <x:c r="M277" s="107" t="n">
        <x:v>7.158865680000002</x:v>
      </x:c>
      <x:c r="N277" s="108" t="n">
        <x:v>0.4950992399703846</x:v>
      </x:c>
      <x:c r="O277" s="108" t="n">
        <x:v>0.2436443768814366</x:v>
      </x:c>
      <x:c r="P277" s="108" t="n">
        <x:v>0.2356880944897838</x:v>
      </x:c>
      <x:c r="Q277" s="9" t="str">
        <x:v>Forecast</x:v>
      </x:c>
      <x:c r="R277" s="9" t="n">
        <x:v>2026</x:v>
      </x:c>
      <x:c r="S277" s="9" t="str">
        <x:v>2026-01</x:v>
      </x:c>
    </x:row>
    <x:row r="278" ht="17" customHeight="1">
      <x:c r="A278" s="9" t="str">
        <x:v>2026-01-01</x:v>
      </x:c>
      <x:c r="B278" s="9" t="str">
        <x:v>Shared Services</x:v>
      </x:c>
      <x:c r="C278" s="107" t="n">
        <x:v>0</x:v>
      </x:c>
      <x:c r="D278" s="107" t="n">
        <x:v>0.646875</x:v>
      </x:c>
      <x:c r="E278" s="107" t="n">
        <x:v>0.50022672</x:v>
      </x:c>
      <x:c r="F278" s="107" t="n">
        <x:v>33.68967684</x:v>
      </x:c>
      <x:c r="G278" s="107" t="n">
        <x:v>0</x:v>
      </x:c>
      <x:c r="H278" s="107" t="n">
        <x:v>0.70307781</x:v>
      </x:c>
      <x:c r="I278" s="107" t="n">
        <x:v>0</x:v>
      </x:c>
      <x:c r="J278" s="107" t="n">
        <x:v>-33.68967684</x:v>
      </x:c>
      <x:c r="K278" s="107" t="n">
        <x:v>-34.33655184</x:v>
      </x:c>
      <x:c r="L278" s="107" t="n">
        <x:v>-34.83677855999999</x:v>
      </x:c>
      <x:c r="M278" s="107" t="n">
        <x:v>-35.539856369999995</x:v>
      </x:c>
      <x:c r="N278" s="108"/>
      <x:c r="O278" s="108"/>
      <x:c r="P278" s="108"/>
      <x:c r="Q278" s="9" t="str">
        <x:v>Forecast</x:v>
      </x:c>
      <x:c r="R278" s="9" t="n">
        <x:v>2026</x:v>
      </x:c>
      <x:c r="S278" s="9" t="str">
        <x:v>2026-01</x:v>
      </x:c>
    </x:row>
    <x:row r="279" ht="17" customHeight="1">
      <x:c r="A279" s="9" t="str">
        <x:v>2026-01-01</x:v>
      </x:c>
      <x:c r="B279" s="9" t="str">
        <x:v>Subscription Services</x:v>
      </x:c>
      <x:c r="C279" s="107" t="n">
        <x:v>1.9683948500000001</x:v>
      </x:c>
      <x:c r="D279" s="107" t="n">
        <x:v>0.19479167</x:v>
      </x:c>
      <x:c r="E279" s="107" t="n">
        <x:v>0</x:v>
      </x:c>
      <x:c r="F279" s="107" t="n">
        <x:v>3.3456762</x:v>
      </x:c>
      <x:c r="G279" s="107" t="n">
        <x:v>7.8494106200000004</x:v>
      </x:c>
      <x:c r="H279" s="107" t="n">
        <x:v>0</x:v>
      </x:c>
      <x:c r="I279" s="107" t="n">
        <x:v>5.881015769999999</x:v>
      </x:c>
      <x:c r="J279" s="107" t="n">
        <x:v>2.535339569999999</x:v>
      </x:c>
      <x:c r="K279" s="107" t="n">
        <x:v>2.3405478999999993</x:v>
      </x:c>
      <x:c r="L279" s="107" t="n">
        <x:v>2.3405478999999993</x:v>
      </x:c>
      <x:c r="M279" s="107" t="n">
        <x:v>2.3405478999999993</x:v>
      </x:c>
      <x:c r="N279" s="108" t="n">
        <x:v>0.7492302358364836</x:v>
      </x:c>
      <x:c r="O279" s="108" t="n">
        <x:v>0.32299744436098815</x:v>
      </x:c>
      <x:c r="P279" s="108" t="n">
        <x:v>0.29818135568502074</x:v>
      </x:c>
      <x:c r="Q279" s="9" t="str">
        <x:v>Forecast</x:v>
      </x:c>
      <x:c r="R279" s="9" t="n">
        <x:v>2026</x:v>
      </x:c>
      <x:c r="S279" s="9" t="str">
        <x:v>2026-01</x:v>
      </x:c>
    </x:row>
    <x:row r="280" ht="17" customHeight="1">
      <x:c r="A280" s="9" t="str">
        <x:v>2026-01-01</x:v>
      </x:c>
      <x:c r="B280" s="9" t="str">
        <x:v>Wholesale</x:v>
      </x:c>
      <x:c r="C280" s="107" t="n">
        <x:v>19.20856685</x:v>
      </x:c>
      <x:c r="D280" s="107" t="n">
        <x:v>0</x:v>
      </x:c>
      <x:c r="E280" s="107" t="n">
        <x:v>0</x:v>
      </x:c>
      <x:c r="F280" s="107" t="n">
        <x:v>3.9145798299999996</x:v>
      </x:c>
      <x:c r="G280" s="107" t="n">
        <x:v>31.650454409999995</x:v>
      </x:c>
      <x:c r="H280" s="107" t="n">
        <x:v>0</x:v>
      </x:c>
      <x:c r="I280" s="107" t="n">
        <x:v>12.441887559999994</x:v>
      </x:c>
      <x:c r="J280" s="107" t="n">
        <x:v>8.527307729999995</x:v>
      </x:c>
      <x:c r="K280" s="107" t="n">
        <x:v>8.527307729999995</x:v>
      </x:c>
      <x:c r="L280" s="107" t="n">
        <x:v>8.527307729999995</x:v>
      </x:c>
      <x:c r="M280" s="107" t="n">
        <x:v>8.527307729999995</x:v>
      </x:c>
      <x:c r="N280" s="108" t="n">
        <x:v>0.39310296777505244</x:v>
      </x:c>
      <x:c r="O280" s="108" t="n">
        <x:v>0.2694213365639952</x:v>
      </x:c>
      <x:c r="P280" s="108" t="n">
        <x:v>0.2694213365639952</x:v>
      </x:c>
      <x:c r="Q280" s="9" t="str">
        <x:v>Forecast</x:v>
      </x:c>
      <x:c r="R280" s="9" t="n">
        <x:v>2026</x:v>
      </x:c>
      <x:c r="S280" s="9" t="str">
        <x:v>2026-01</x:v>
      </x:c>
    </x:row>
    <x:row r="281" ht="17" customHeight="1">
      <x:c r="A281" s="9" t="str">
        <x:v>2026-02-01</x:v>
      </x:c>
      <x:c r="B281" s="9" t="str">
        <x:v>Digital Commerce</x:v>
      </x:c>
      <x:c r="C281" s="107" t="n">
        <x:v>25.907237300000002</x:v>
      </x:c>
      <x:c r="D281" s="107" t="n">
        <x:v>0</x:v>
      </x:c>
      <x:c r="E281" s="107" t="n">
        <x:v>0</x:v>
      </x:c>
      <x:c r="F281" s="107" t="n">
        <x:v>9.90810041</x:v>
      </x:c>
      <x:c r="G281" s="107" t="n">
        <x:v>55.936035579999995</x:v>
      </x:c>
      <x:c r="H281" s="107" t="n">
        <x:v>0</x:v>
      </x:c>
      <x:c r="I281" s="107" t="n">
        <x:v>30.028798279999997</x:v>
      </x:c>
      <x:c r="J281" s="107" t="n">
        <x:v>20.120697869999997</x:v>
      </x:c>
      <x:c r="K281" s="107" t="n">
        <x:v>20.120697869999997</x:v>
      </x:c>
      <x:c r="L281" s="107" t="n">
        <x:v>20.120697869999997</x:v>
      </x:c>
      <x:c r="M281" s="107" t="n">
        <x:v>20.120697869999997</x:v>
      </x:c>
      <x:c r="N281" s="108" t="n">
        <x:v>0.5368417330372415</x:v>
      </x:c>
      <x:c r="O281" s="108" t="n">
        <x:v>0.35970904375629686</x:v>
      </x:c>
      <x:c r="P281" s="108" t="n">
        <x:v>0.35970904375629686</x:v>
      </x:c>
      <x:c r="Q281" s="9" t="str">
        <x:v>Forecast</x:v>
      </x:c>
      <x:c r="R281" s="9" t="n">
        <x:v>2026</x:v>
      </x:c>
      <x:c r="S281" s="9" t="str">
        <x:v>2026-02</x:v>
      </x:c>
    </x:row>
    <x:row r="282" ht="17" customHeight="1">
      <x:c r="A282" s="9" t="str">
        <x:v>2026-02-01</x:v>
      </x:c>
      <x:c r="B282" s="9" t="str">
        <x:v>Retail Stores</x:v>
      </x:c>
      <x:c r="C282" s="107" t="n">
        <x:v>15.58574385</x:v>
      </x:c>
      <x:c r="D282" s="107" t="n">
        <x:v>0.24166667</x:v>
      </x:c>
      <x:c r="E282" s="107" t="n">
        <x:v>0</x:v>
      </x:c>
      <x:c r="F282" s="107" t="n">
        <x:v>7.74425855</x:v>
      </x:c>
      <x:c r="G282" s="107" t="n">
        <x:v>30.572611700000003</x:v>
      </x:c>
      <x:c r="H282" s="107" t="n">
        <x:v>0</x:v>
      </x:c>
      <x:c r="I282" s="107" t="n">
        <x:v>14.986867850000003</x:v>
      </x:c>
      <x:c r="J282" s="107" t="n">
        <x:v>7.242609300000003</x:v>
      </x:c>
      <x:c r="K282" s="107" t="n">
        <x:v>7.0009426300000035</x:v>
      </x:c>
      <x:c r="L282" s="107" t="n">
        <x:v>7.0009426300000035</x:v>
      </x:c>
      <x:c r="M282" s="107" t="n">
        <x:v>7.0009426300000035</x:v>
      </x:c>
      <x:c r="N282" s="108" t="n">
        <x:v>0.49020567811025456</x:v>
      </x:c>
      <x:c r="O282" s="108" t="n">
        <x:v>0.23689861275410773</x:v>
      </x:c>
      <x:c r="P282" s="108" t="n">
        <x:v>0.22899393413615374</x:v>
      </x:c>
      <x:c r="Q282" s="9" t="str">
        <x:v>Forecast</x:v>
      </x:c>
      <x:c r="R282" s="9" t="n">
        <x:v>2026</x:v>
      </x:c>
      <x:c r="S282" s="9" t="str">
        <x:v>2026-02</x:v>
      </x:c>
    </x:row>
    <x:row r="283" ht="17" customHeight="1">
      <x:c r="A283" s="9" t="str">
        <x:v>2026-02-01</x:v>
      </x:c>
      <x:c r="B283" s="9" t="str">
        <x:v>Shared Services</x:v>
      </x:c>
      <x:c r="C283" s="107" t="n">
        <x:v>0</x:v>
      </x:c>
      <x:c r="D283" s="107" t="n">
        <x:v>0.646875</x:v>
      </x:c>
      <x:c r="E283" s="107" t="n">
        <x:v>0.50022672</x:v>
      </x:c>
      <x:c r="F283" s="107" t="n">
        <x:v>34.249404240000004</x:v>
      </x:c>
      <x:c r="G283" s="107" t="n">
        <x:v>0</x:v>
      </x:c>
      <x:c r="H283" s="107" t="n">
        <x:v>0.85266519</x:v>
      </x:c>
      <x:c r="I283" s="107" t="n">
        <x:v>0</x:v>
      </x:c>
      <x:c r="J283" s="107" t="n">
        <x:v>-34.249404240000004</x:v>
      </x:c>
      <x:c r="K283" s="107" t="n">
        <x:v>-34.896279240000005</x:v>
      </x:c>
      <x:c r="L283" s="107" t="n">
        <x:v>-35.39650596</x:v>
      </x:c>
      <x:c r="M283" s="107" t="n">
        <x:v>-36.249171149999995</x:v>
      </x:c>
      <x:c r="N283" s="108"/>
      <x:c r="O283" s="108"/>
      <x:c r="P283" s="108"/>
      <x:c r="Q283" s="9" t="str">
        <x:v>Forecast</x:v>
      </x:c>
      <x:c r="R283" s="9" t="n">
        <x:v>2026</x:v>
      </x:c>
      <x:c r="S283" s="9" t="str">
        <x:v>2026-02</x:v>
      </x:c>
    </x:row>
    <x:row r="284" ht="17" customHeight="1">
      <x:c r="A284" s="9" t="str">
        <x:v>2026-02-01</x:v>
      </x:c>
      <x:c r="B284" s="9" t="str">
        <x:v>Subscription Services</x:v>
      </x:c>
      <x:c r="C284" s="107" t="n">
        <x:v>2.08376024</x:v>
      </x:c>
      <x:c r="D284" s="107" t="n">
        <x:v>0.19479167</x:v>
      </x:c>
      <x:c r="E284" s="107" t="n">
        <x:v>0</x:v>
      </x:c>
      <x:c r="F284" s="107" t="n">
        <x:v>3.39609439</x:v>
      </x:c>
      <x:c r="G284" s="107" t="n">
        <x:v>8.2086197</x:v>
      </x:c>
      <x:c r="H284" s="107" t="n">
        <x:v>0</x:v>
      </x:c>
      <x:c r="I284" s="107" t="n">
        <x:v>6.12485946</x:v>
      </x:c>
      <x:c r="J284" s="107" t="n">
        <x:v>2.7287650699999997</x:v>
      </x:c>
      <x:c r="K284" s="107" t="n">
        <x:v>2.5339734</x:v>
      </x:c>
      <x:c r="L284" s="107" t="n">
        <x:v>2.5339734</x:v>
      </x:c>
      <x:c r="M284" s="107" t="n">
        <x:v>2.5339734</x:v>
      </x:c>
      <x:c r="N284" s="108" t="n">
        <x:v>0.7461497406196075</x:v>
      </x:c>
      <x:c r="O284" s="108" t="n">
        <x:v>0.33242678668619524</x:v>
      </x:c>
      <x:c r="P284" s="108" t="n">
        <x:v>0.30869664969373595</x:v>
      </x:c>
      <x:c r="Q284" s="9" t="str">
        <x:v>Forecast</x:v>
      </x:c>
      <x:c r="R284" s="9" t="n">
        <x:v>2026</x:v>
      </x:c>
      <x:c r="S284" s="9" t="str">
        <x:v>2026-02</x:v>
      </x:c>
    </x:row>
    <x:row r="285" ht="17" customHeight="1">
      <x:c r="A285" s="9" t="str">
        <x:v>2026-02-01</x:v>
      </x:c>
      <x:c r="B285" s="9" t="str">
        <x:v>Wholesale</x:v>
      </x:c>
      <x:c r="C285" s="107" t="n">
        <x:v>19.56722751</x:v>
      </x:c>
      <x:c r="D285" s="107" t="n">
        <x:v>0</x:v>
      </x:c>
      <x:c r="E285" s="107" t="n">
        <x:v>0</x:v>
      </x:c>
      <x:c r="F285" s="107" t="n">
        <x:v>3.90997024</x:v>
      </x:c>
      <x:c r="G285" s="107" t="n">
        <x:v>32.628750579999995</x:v>
      </x:c>
      <x:c r="H285" s="107" t="n">
        <x:v>0</x:v>
      </x:c>
      <x:c r="I285" s="107" t="n">
        <x:v>13.06152307</x:v>
      </x:c>
      <x:c r="J285" s="107" t="n">
        <x:v>9.15155283</x:v>
      </x:c>
      <x:c r="K285" s="107" t="n">
        <x:v>9.15155283</x:v>
      </x:c>
      <x:c r="L285" s="107" t="n">
        <x:v>9.15155283</x:v>
      </x:c>
      <x:c r="M285" s="107" t="n">
        <x:v>9.15155283</x:v>
      </x:c>
      <x:c r="N285" s="108" t="n">
        <x:v>0.40030717811199745</x:v>
      </x:c>
      <x:c r="O285" s="108" t="n">
        <x:v>0.2804751229306801</x:v>
      </x:c>
      <x:c r="P285" s="108" t="n">
        <x:v>0.2804751229306801</x:v>
      </x:c>
      <x:c r="Q285" s="9" t="str">
        <x:v>Forecast</x:v>
      </x:c>
      <x:c r="R285" s="9" t="n">
        <x:v>2026</x:v>
      </x:c>
      <x:c r="S285" s="9" t="str">
        <x:v>2026-02</x:v>
      </x:c>
    </x:row>
    <x:row r="286" ht="17" customHeight="1">
      <x:c r="A286" s="9" t="str">
        <x:v>2026-03-01</x:v>
      </x:c>
      <x:c r="B286" s="9" t="str">
        <x:v>Digital Commerce</x:v>
      </x:c>
      <x:c r="C286" s="107" t="n">
        <x:v>27.56205183</x:v>
      </x:c>
      <x:c r="D286" s="107" t="n">
        <x:v>0</x:v>
      </x:c>
      <x:c r="E286" s="107" t="n">
        <x:v>0</x:v>
      </x:c>
      <x:c r="F286" s="107" t="n">
        <x:v>9.95874578</x:v>
      </x:c>
      <x:c r="G286" s="107" t="n">
        <x:v>59.88761857</x:v>
      </x:c>
      <x:c r="H286" s="107" t="n">
        <x:v>0</x:v>
      </x:c>
      <x:c r="I286" s="107" t="n">
        <x:v>32.32556674</x:v>
      </x:c>
      <x:c r="J286" s="107" t="n">
        <x:v>22.366820960000002</x:v>
      </x:c>
      <x:c r="K286" s="107" t="n">
        <x:v>22.366820960000002</x:v>
      </x:c>
      <x:c r="L286" s="107" t="n">
        <x:v>22.366820960000002</x:v>
      </x:c>
      <x:c r="M286" s="107" t="n">
        <x:v>22.366820960000002</x:v>
      </x:c>
      <x:c r="N286" s="108" t="n">
        <x:v>0.5397704485813886</x:v>
      </x:c>
      <x:c r="O286" s="108" t="n">
        <x:v>0.3734798860611966</x:v>
      </x:c>
      <x:c r="P286" s="108" t="n">
        <x:v>0.3734798860611966</x:v>
      </x:c>
      <x:c r="Q286" s="9" t="str">
        <x:v>Forecast</x:v>
      </x:c>
      <x:c r="R286" s="9" t="n">
        <x:v>2026</x:v>
      </x:c>
      <x:c r="S286" s="9" t="str">
        <x:v>2026-03</x:v>
      </x:c>
    </x:row>
    <x:row r="287" ht="17" customHeight="1">
      <x:c r="A287" s="9" t="str">
        <x:v>2026-03-01</x:v>
      </x:c>
      <x:c r="B287" s="9" t="str">
        <x:v>Retail Stores</x:v>
      </x:c>
      <x:c r="C287" s="107" t="n">
        <x:v>18.27310429</x:v>
      </x:c>
      <x:c r="D287" s="107" t="n">
        <x:v>0.24166667</x:v>
      </x:c>
      <x:c r="E287" s="107" t="n">
        <x:v>0</x:v>
      </x:c>
      <x:c r="F287" s="107" t="n">
        <x:v>7.92372716</x:v>
      </x:c>
      <x:c r="G287" s="107" t="n">
        <x:v>35.77222958</x:v>
      </x:c>
      <x:c r="H287" s="107" t="n">
        <x:v>0</x:v>
      </x:c>
      <x:c r="I287" s="107" t="n">
        <x:v>17.49912529</x:v>
      </x:c>
      <x:c r="J287" s="107" t="n">
        <x:v>9.575398129999998</x:v>
      </x:c>
      <x:c r="K287" s="107" t="n">
        <x:v>9.33373146</x:v>
      </x:c>
      <x:c r="L287" s="107" t="n">
        <x:v>9.33373146</x:v>
      </x:c>
      <x:c r="M287" s="107" t="n">
        <x:v>9.33373146</x:v>
      </x:c>
      <x:c r="N287" s="108" t="n">
        <x:v>0.48918184567907497</x:v>
      </x:c>
      <x:c r="O287" s="108" t="n">
        <x:v>0.2676768611412898</x:v>
      </x:c>
      <x:c r="P287" s="108" t="n">
        <x:v>0.26092115502966645</x:v>
      </x:c>
      <x:c r="Q287" s="9" t="str">
        <x:v>Forecast</x:v>
      </x:c>
      <x:c r="R287" s="9" t="n">
        <x:v>2026</x:v>
      </x:c>
      <x:c r="S287" s="9" t="str">
        <x:v>2026-03</x:v>
      </x:c>
    </x:row>
    <x:row r="288" ht="17" customHeight="1">
      <x:c r="A288" s="9" t="str">
        <x:v>2026-03-01</x:v>
      </x:c>
      <x:c r="B288" s="9" t="str">
        <x:v>Shared Services</x:v>
      </x:c>
      <x:c r="C288" s="107" t="n">
        <x:v>0</x:v>
      </x:c>
      <x:c r="D288" s="107" t="n">
        <x:v>0.816875</x:v>
      </x:c>
      <x:c r="E288" s="107" t="n">
        <x:v>0.50022672</x:v>
      </x:c>
      <x:c r="F288" s="107" t="n">
        <x:v>34.119415479999994</x:v>
      </x:c>
      <x:c r="G288" s="107" t="n">
        <x:v>0</x:v>
      </x:c>
      <x:c r="H288" s="107" t="n">
        <x:v>2.28186116</x:v>
      </x:c>
      <x:c r="I288" s="107" t="n">
        <x:v>0</x:v>
      </x:c>
      <x:c r="J288" s="107" t="n">
        <x:v>-34.119415479999994</x:v>
      </x:c>
      <x:c r="K288" s="107" t="n">
        <x:v>-34.93629048</x:v>
      </x:c>
      <x:c r="L288" s="107" t="n">
        <x:v>-35.4365172</x:v>
      </x:c>
      <x:c r="M288" s="107" t="n">
        <x:v>-37.71837836</x:v>
      </x:c>
      <x:c r="N288" s="108"/>
      <x:c r="O288" s="108"/>
      <x:c r="P288" s="108"/>
      <x:c r="Q288" s="9" t="str">
        <x:v>Forecast</x:v>
      </x:c>
      <x:c r="R288" s="9" t="n">
        <x:v>2026</x:v>
      </x:c>
      <x:c r="S288" s="9" t="str">
        <x:v>2026-03</x:v>
      </x:c>
    </x:row>
    <x:row r="289" ht="17" customHeight="1">
      <x:c r="A289" s="9" t="str">
        <x:v>2026-03-01</x:v>
      </x:c>
      <x:c r="B289" s="9" t="str">
        <x:v>Subscription Services</x:v>
      </x:c>
      <x:c r="C289" s="107" t="n">
        <x:v>2.0130106</x:v>
      </x:c>
      <x:c r="D289" s="107" t="n">
        <x:v>0.19479167</x:v>
      </x:c>
      <x:c r="E289" s="107" t="n">
        <x:v>0</x:v>
      </x:c>
      <x:c r="F289" s="107" t="n">
        <x:v>3.3737713300000003</x:v>
      </x:c>
      <x:c r="G289" s="107" t="n">
        <x:v>7.89658806</x:v>
      </x:c>
      <x:c r="H289" s="107" t="n">
        <x:v>0</x:v>
      </x:c>
      <x:c r="I289" s="107" t="n">
        <x:v>5.88357746</x:v>
      </x:c>
      <x:c r="J289" s="107" t="n">
        <x:v>2.50980613</x:v>
      </x:c>
      <x:c r="K289" s="107" t="n">
        <x:v>2.31501446</x:v>
      </x:c>
      <x:c r="L289" s="107" t="n">
        <x:v>2.31501446</x:v>
      </x:c>
      <x:c r="M289" s="107" t="n">
        <x:v>2.31501446</x:v>
      </x:c>
      <x:c r="N289" s="108" t="n">
        <x:v>0.7450784332797018</x:v>
      </x:c>
      <x:c r="O289" s="108" t="n">
        <x:v>0.3178342482765905</x:v>
      </x:c>
      <x:c r="P289" s="108" t="n">
        <x:v>0.2931664210428624</x:v>
      </x:c>
      <x:c r="Q289" s="9" t="str">
        <x:v>Forecast</x:v>
      </x:c>
      <x:c r="R289" s="9" t="n">
        <x:v>2026</x:v>
      </x:c>
      <x:c r="S289" s="9" t="str">
        <x:v>2026-03</x:v>
      </x:c>
    </x:row>
    <x:row r="290" ht="17" customHeight="1">
      <x:c r="A290" s="9" t="str">
        <x:v>2026-03-01</x:v>
      </x:c>
      <x:c r="B290" s="9" t="str">
        <x:v>Wholesale</x:v>
      </x:c>
      <x:c r="C290" s="107" t="n">
        <x:v>22.541369239999998</x:v>
      </x:c>
      <x:c r="D290" s="107" t="n">
        <x:v>0</x:v>
      </x:c>
      <x:c r="E290" s="107" t="n">
        <x:v>0</x:v>
      </x:c>
      <x:c r="F290" s="107" t="n">
        <x:v>4.0257203399999995</x:v>
      </x:c>
      <x:c r="G290" s="107" t="n">
        <x:v>37.11548452</x:v>
      </x:c>
      <x:c r="H290" s="107" t="n">
        <x:v>0</x:v>
      </x:c>
      <x:c r="I290" s="107" t="n">
        <x:v>14.574115280000004</x:v>
      </x:c>
      <x:c r="J290" s="107" t="n">
        <x:v>10.548394940000005</x:v>
      </x:c>
      <x:c r="K290" s="107" t="n">
        <x:v>10.548394940000005</x:v>
      </x:c>
      <x:c r="L290" s="107" t="n">
        <x:v>10.548394940000005</x:v>
      </x:c>
      <x:c r="M290" s="107" t="n">
        <x:v>10.548394940000005</x:v>
      </x:c>
      <x:c r="N290" s="108" t="n">
        <x:v>0.3926694065423453</x:v>
      </x:c>
      <x:c r="O290" s="108" t="n">
        <x:v>0.2842046945208518</x:v>
      </x:c>
      <x:c r="P290" s="108" t="n">
        <x:v>0.2842046945208518</x:v>
      </x:c>
      <x:c r="Q290" s="9" t="str">
        <x:v>Forecast</x:v>
      </x:c>
      <x:c r="R290" s="9" t="n">
        <x:v>2026</x:v>
      </x:c>
      <x:c r="S290" s="9" t="str">
        <x:v>2026-03</x:v>
      </x:c>
    </x:row>
    <x:row r="291" ht="17" customHeight="1">
      <x:c r="A291" s="9" t="str">
        <x:v>2026-04-01</x:v>
      </x:c>
      <x:c r="B291" s="9" t="str">
        <x:v>Digital Commerce</x:v>
      </x:c>
      <x:c r="C291" s="107" t="n">
        <x:v>29.12608682</x:v>
      </x:c>
      <x:c r="D291" s="107" t="n">
        <x:v>0</x:v>
      </x:c>
      <x:c r="E291" s="107" t="n">
        <x:v>0</x:v>
      </x:c>
      <x:c r="F291" s="107" t="n">
        <x:v>10.631462630000001</x:v>
      </x:c>
      <x:c r="G291" s="107" t="n">
        <x:v>63.25557646</x:v>
      </x:c>
      <x:c r="H291" s="107" t="n">
        <x:v>0</x:v>
      </x:c>
      <x:c r="I291" s="107" t="n">
        <x:v>34.12948964</x:v>
      </x:c>
      <x:c r="J291" s="107" t="n">
        <x:v>23.498027009999998</x:v>
      </x:c>
      <x:c r="K291" s="107" t="n">
        <x:v>23.498027009999998</x:v>
      </x:c>
      <x:c r="L291" s="107" t="n">
        <x:v>23.498027009999998</x:v>
      </x:c>
      <x:c r="M291" s="107" t="n">
        <x:v>23.498027009999998</x:v>
      </x:c>
      <x:c r="N291" s="108" t="n">
        <x:v>0.539549104600793</x:v>
      </x:c>
      <x:c r="O291" s="108" t="n">
        <x:v>0.37147755700019747</x:v>
      </x:c>
      <x:c r="P291" s="108" t="n">
        <x:v>0.37147755700019747</x:v>
      </x:c>
      <x:c r="Q291" s="9" t="str">
        <x:v>Forecast</x:v>
      </x:c>
      <x:c r="R291" s="9" t="n">
        <x:v>2026</x:v>
      </x:c>
      <x:c r="S291" s="9" t="str">
        <x:v>2026-04</x:v>
      </x:c>
    </x:row>
    <x:row r="292" ht="17" customHeight="1">
      <x:c r="A292" s="9" t="str">
        <x:v>2026-04-01</x:v>
      </x:c>
      <x:c r="B292" s="9" t="str">
        <x:v>Retail Stores</x:v>
      </x:c>
      <x:c r="C292" s="107" t="n">
        <x:v>18.71554252</x:v>
      </x:c>
      <x:c r="D292" s="107" t="n">
        <x:v>0.24166667</x:v>
      </x:c>
      <x:c r="E292" s="107" t="n">
        <x:v>0</x:v>
      </x:c>
      <x:c r="F292" s="107" t="n">
        <x:v>8.25269909</x:v>
      </x:c>
      <x:c r="G292" s="107" t="n">
        <x:v>36.70621122</x:v>
      </x:c>
      <x:c r="H292" s="107" t="n">
        <x:v>0</x:v>
      </x:c>
      <x:c r="I292" s="107" t="n">
        <x:v>17.9906687</x:v>
      </x:c>
      <x:c r="J292" s="107" t="n">
        <x:v>9.737969609999999</x:v>
      </x:c>
      <x:c r="K292" s="107" t="n">
        <x:v>9.49630294</x:v>
      </x:c>
      <x:c r="L292" s="107" t="n">
        <x:v>9.49630294</x:v>
      </x:c>
      <x:c r="M292" s="107" t="n">
        <x:v>9.49630294</x:v>
      </x:c>
      <x:c r="N292" s="108" t="n">
        <x:v>0.4901260059822649</x:v>
      </x:c>
      <x:c r="O292" s="108" t="n">
        <x:v>0.26529487207587643</x:v>
      </x:c>
      <x:c r="P292" s="108" t="n">
        <x:v>0.2587110634514569</x:v>
      </x:c>
      <x:c r="Q292" s="9" t="str">
        <x:v>Forecast</x:v>
      </x:c>
      <x:c r="R292" s="9" t="n">
        <x:v>2026</x:v>
      </x:c>
      <x:c r="S292" s="9" t="str">
        <x:v>2026-04</x:v>
      </x:c>
    </x:row>
    <x:row r="293" ht="17" customHeight="1">
      <x:c r="A293" s="9" t="str">
        <x:v>2026-04-01</x:v>
      </x:c>
      <x:c r="B293" s="9" t="str">
        <x:v>Shared Services</x:v>
      </x:c>
      <x:c r="C293" s="107" t="n">
        <x:v>0</x:v>
      </x:c>
      <x:c r="D293" s="107" t="n">
        <x:v>0.816875</x:v>
      </x:c>
      <x:c r="E293" s="107" t="n">
        <x:v>0.50022672</x:v>
      </x:c>
      <x:c r="F293" s="107" t="n">
        <x:v>35.1018375</x:v>
      </x:c>
      <x:c r="G293" s="107" t="n">
        <x:v>0</x:v>
      </x:c>
      <x:c r="H293" s="107" t="n">
        <x:v>2.49067492</x:v>
      </x:c>
      <x:c r="I293" s="107" t="n">
        <x:v>0</x:v>
      </x:c>
      <x:c r="J293" s="107" t="n">
        <x:v>-35.1018375</x:v>
      </x:c>
      <x:c r="K293" s="107" t="n">
        <x:v>-35.9187125</x:v>
      </x:c>
      <x:c r="L293" s="107" t="n">
        <x:v>-36.41893922</x:v>
      </x:c>
      <x:c r="M293" s="107" t="n">
        <x:v>-38.90961414</x:v>
      </x:c>
      <x:c r="N293" s="108"/>
      <x:c r="O293" s="108"/>
      <x:c r="P293" s="108"/>
      <x:c r="Q293" s="9" t="str">
        <x:v>Forecast</x:v>
      </x:c>
      <x:c r="R293" s="9" t="n">
        <x:v>2026</x:v>
      </x:c>
      <x:c r="S293" s="9" t="str">
        <x:v>2026-04</x:v>
      </x:c>
    </x:row>
    <x:row r="294" ht="17" customHeight="1">
      <x:c r="A294" s="9" t="str">
        <x:v>2026-04-01</x:v>
      </x:c>
      <x:c r="B294" s="9" t="str">
        <x:v>Subscription Services</x:v>
      </x:c>
      <x:c r="C294" s="107" t="n">
        <x:v>2.04762368</x:v>
      </x:c>
      <x:c r="D294" s="107" t="n">
        <x:v>0.19479167</x:v>
      </x:c>
      <x:c r="E294" s="107" t="n">
        <x:v>0</x:v>
      </x:c>
      <x:c r="F294" s="107" t="n">
        <x:v>3.53202974</x:v>
      </x:c>
      <x:c r="G294" s="107" t="n">
        <x:v>8.12134074</x:v>
      </x:c>
      <x:c r="H294" s="107" t="n">
        <x:v>0</x:v>
      </x:c>
      <x:c r="I294" s="107" t="n">
        <x:v>6.073717060000001</x:v>
      </x:c>
      <x:c r="J294" s="107" t="n">
        <x:v>2.5416873200000003</x:v>
      </x:c>
      <x:c r="K294" s="107" t="n">
        <x:v>2.3468956500000004</x:v>
      </x:c>
      <x:c r="L294" s="107" t="n">
        <x:v>2.3468956500000004</x:v>
      </x:c>
      <x:c r="M294" s="107" t="n">
        <x:v>2.3468956500000004</x:v>
      </x:c>
      <x:c r="N294" s="108" t="n">
        <x:v>0.7478712264940629</x:v>
      </x:c>
      <x:c r="O294" s="108" t="n">
        <x:v>0.312964004512388</x:v>
      </x:c>
      <x:c r="P294" s="108" t="n">
        <x:v>0.2889788429194759</x:v>
      </x:c>
      <x:c r="Q294" s="9" t="str">
        <x:v>Forecast</x:v>
      </x:c>
      <x:c r="R294" s="9" t="n">
        <x:v>2026</x:v>
      </x:c>
      <x:c r="S294" s="9" t="str">
        <x:v>2026-04</x:v>
      </x:c>
    </x:row>
    <x:row r="295" ht="17" customHeight="1">
      <x:c r="A295" s="9" t="str">
        <x:v>2026-04-01</x:v>
      </x:c>
      <x:c r="B295" s="9" t="str">
        <x:v>Wholesale</x:v>
      </x:c>
      <x:c r="C295" s="107" t="n">
        <x:v>23.46986641</x:v>
      </x:c>
      <x:c r="D295" s="107" t="n">
        <x:v>0</x:v>
      </x:c>
      <x:c r="E295" s="107" t="n">
        <x:v>0</x:v>
      </x:c>
      <x:c r="F295" s="107" t="n">
        <x:v>4.24353787</x:v>
      </x:c>
      <x:c r="G295" s="107" t="n">
        <x:v>38.75381757</x:v>
      </x:c>
      <x:c r="H295" s="107" t="n">
        <x:v>0</x:v>
      </x:c>
      <x:c r="I295" s="107" t="n">
        <x:v>15.28395116</x:v>
      </x:c>
      <x:c r="J295" s="107" t="n">
        <x:v>11.040413289999998</x:v>
      </x:c>
      <x:c r="K295" s="107" t="n">
        <x:v>11.040413289999998</x:v>
      </x:c>
      <x:c r="L295" s="107" t="n">
        <x:v>11.040413289999998</x:v>
      </x:c>
      <x:c r="M295" s="107" t="n">
        <x:v>11.040413289999998</x:v>
      </x:c>
      <x:c r="N295" s="108" t="n">
        <x:v>0.3943856920003559</x:v>
      </x:c>
      <x:c r="O295" s="108" t="n">
        <x:v>0.2848858249915119</x:v>
      </x:c>
      <x:c r="P295" s="108" t="n">
        <x:v>0.2848858249915119</x:v>
      </x:c>
      <x:c r="Q295" s="9" t="str">
        <x:v>Forecast</x:v>
      </x:c>
      <x:c r="R295" s="9" t="n">
        <x:v>2026</x:v>
      </x:c>
      <x:c r="S295" s="9" t="str">
        <x:v>2026-04</x:v>
      </x:c>
    </x:row>
    <x:row r="296" ht="17" customHeight="1">
      <x:c r="A296" s="9" t="str">
        <x:v>2026-05-01</x:v>
      </x:c>
      <x:c r="B296" s="9" t="str">
        <x:v>Digital Commerce</x:v>
      </x:c>
      <x:c r="C296" s="107" t="n">
        <x:v>29.25370802</x:v>
      </x:c>
      <x:c r="D296" s="107" t="n">
        <x:v>0</x:v>
      </x:c>
      <x:c r="E296" s="107" t="n">
        <x:v>0</x:v>
      </x:c>
      <x:c r="F296" s="107" t="n">
        <x:v>10.591165570000001</x:v>
      </x:c>
      <x:c r="G296" s="107" t="n">
        <x:v>63.39624709</x:v>
      </x:c>
      <x:c r="H296" s="107" t="n">
        <x:v>0</x:v>
      </x:c>
      <x:c r="I296" s="107" t="n">
        <x:v>34.142539070000005</x:v>
      </x:c>
      <x:c r="J296" s="107" t="n">
        <x:v>23.551373500000008</x:v>
      </x:c>
      <x:c r="K296" s="107" t="n">
        <x:v>23.551373500000008</x:v>
      </x:c>
      <x:c r="L296" s="107" t="n">
        <x:v>23.551373500000008</x:v>
      </x:c>
      <x:c r="M296" s="107" t="n">
        <x:v>23.551373500000008</x:v>
      </x:c>
      <x:c r="N296" s="108" t="n">
        <x:v>0.5385577323138673</x:v>
      </x:c>
      <x:c r="O296" s="108" t="n">
        <x:v>0.37149475846047286</x:v>
      </x:c>
      <x:c r="P296" s="108" t="n">
        <x:v>0.37149475846047286</x:v>
      </x:c>
      <x:c r="Q296" s="9" t="str">
        <x:v>Forecast</x:v>
      </x:c>
      <x:c r="R296" s="9" t="n">
        <x:v>2026</x:v>
      </x:c>
      <x:c r="S296" s="9" t="str">
        <x:v>2026-05</x:v>
      </x:c>
    </x:row>
    <x:row r="297" ht="17" customHeight="1">
      <x:c r="A297" s="9" t="str">
        <x:v>2026-05-01</x:v>
      </x:c>
      <x:c r="B297" s="9" t="str">
        <x:v>Retail Stores</x:v>
      </x:c>
      <x:c r="C297" s="107" t="n">
        <x:v>19.81965645</x:v>
      </x:c>
      <x:c r="D297" s="107" t="n">
        <x:v>0.24166667</x:v>
      </x:c>
      <x:c r="E297" s="107" t="n">
        <x:v>0</x:v>
      </x:c>
      <x:c r="F297" s="107" t="n">
        <x:v>8.38966786</x:v>
      </x:c>
      <x:c r="G297" s="107" t="n">
        <x:v>38.99895464</x:v>
      </x:c>
      <x:c r="H297" s="107" t="n">
        <x:v>0</x:v>
      </x:c>
      <x:c r="I297" s="107" t="n">
        <x:v>19.17929819</x:v>
      </x:c>
      <x:c r="J297" s="107" t="n">
        <x:v>10.789630330000001</x:v>
      </x:c>
      <x:c r="K297" s="107" t="n">
        <x:v>10.547963660000002</x:v>
      </x:c>
      <x:c r="L297" s="107" t="n">
        <x:v>10.547963660000002</x:v>
      </x:c>
      <x:c r="M297" s="107" t="n">
        <x:v>10.547963660000002</x:v>
      </x:c>
      <x:c r="N297" s="108" t="n">
        <x:v>0.491790058657839</x:v>
      </x:c>
      <x:c r="O297" s="108" t="n">
        <x:v>0.2766646036951313</x:v>
      </x:c>
      <x:c r="P297" s="108" t="n">
        <x:v>0.27046785631482767</x:v>
      </x:c>
      <x:c r="Q297" s="9" t="str">
        <x:v>Forecast</x:v>
      </x:c>
      <x:c r="R297" s="9" t="n">
        <x:v>2026</x:v>
      </x:c>
      <x:c r="S297" s="9" t="str">
        <x:v>2026-05</x:v>
      </x:c>
    </x:row>
    <x:row r="298" ht="17" customHeight="1">
      <x:c r="A298" s="9" t="str">
        <x:v>2026-05-01</x:v>
      </x:c>
      <x:c r="B298" s="9" t="str">
        <x:v>Shared Services</x:v>
      </x:c>
      <x:c r="C298" s="107" t="n">
        <x:v>0</x:v>
      </x:c>
      <x:c r="D298" s="107" t="n">
        <x:v>0.816875</x:v>
      </x:c>
      <x:c r="E298" s="107" t="n">
        <x:v>0.50022672</x:v>
      </x:c>
      <x:c r="F298" s="107" t="n">
        <x:v>35.003053769999994</x:v>
      </x:c>
      <x:c r="G298" s="107" t="n">
        <x:v>0</x:v>
      </x:c>
      <x:c r="H298" s="107" t="n">
        <x:v>2.6021447400000004</x:v>
      </x:c>
      <x:c r="I298" s="107" t="n">
        <x:v>0</x:v>
      </x:c>
      <x:c r="J298" s="107" t="n">
        <x:v>-35.003053769999994</x:v>
      </x:c>
      <x:c r="K298" s="107" t="n">
        <x:v>-35.81992877</x:v>
      </x:c>
      <x:c r="L298" s="107" t="n">
        <x:v>-36.32015549</x:v>
      </x:c>
      <x:c r="M298" s="107" t="n">
        <x:v>-38.92230023</x:v>
      </x:c>
      <x:c r="N298" s="108"/>
      <x:c r="O298" s="108"/>
      <x:c r="P298" s="108"/>
      <x:c r="Q298" s="9" t="str">
        <x:v>Forecast</x:v>
      </x:c>
      <x:c r="R298" s="9" t="n">
        <x:v>2026</x:v>
      </x:c>
      <x:c r="S298" s="9" t="str">
        <x:v>2026-05</x:v>
      </x:c>
    </x:row>
    <x:row r="299" ht="17" customHeight="1">
      <x:c r="A299" s="9" t="str">
        <x:v>2026-05-01</x:v>
      </x:c>
      <x:c r="B299" s="9" t="str">
        <x:v>Subscription Services</x:v>
      </x:c>
      <x:c r="C299" s="107" t="n">
        <x:v>2.14695571</x:v>
      </x:c>
      <x:c r="D299" s="107" t="n">
        <x:v>0.19479167</x:v>
      </x:c>
      <x:c r="E299" s="107" t="n">
        <x:v>0</x:v>
      </x:c>
      <x:c r="F299" s="107" t="n">
        <x:v>3.5352907200000003</x:v>
      </x:c>
      <x:c r="G299" s="107" t="n">
        <x:v>8.43886352</x:v>
      </x:c>
      <x:c r="H299" s="107" t="n">
        <x:v>0</x:v>
      </x:c>
      <x:c r="I299" s="107" t="n">
        <x:v>6.29190781</x:v>
      </x:c>
      <x:c r="J299" s="107" t="n">
        <x:v>2.7566170899999993</x:v>
      </x:c>
      <x:c r="K299" s="107" t="n">
        <x:v>2.5618254199999995</x:v>
      </x:c>
      <x:c r="L299" s="107" t="n">
        <x:v>2.5618254199999995</x:v>
      </x:c>
      <x:c r="M299" s="107" t="n">
        <x:v>2.5618254199999995</x:v>
      </x:c>
      <x:c r="N299" s="108" t="n">
        <x:v>0.7455871036530284</x:v>
      </x:c>
      <x:c r="O299" s="108" t="n">
        <x:v>0.32665738502191105</x:v>
      </x:c>
      <x:c r="P299" s="108" t="n">
        <x:v>0.30357469509117024</x:v>
      </x:c>
      <x:c r="Q299" s="9" t="str">
        <x:v>Forecast</x:v>
      </x:c>
      <x:c r="R299" s="9" t="n">
        <x:v>2026</x:v>
      </x:c>
      <x:c r="S299" s="9" t="str">
        <x:v>2026-05</x:v>
      </x:c>
    </x:row>
    <x:row r="300" ht="17" customHeight="1">
      <x:c r="A300" s="9" t="str">
        <x:v>2026-05-01</x:v>
      </x:c>
      <x:c r="B300" s="9" t="str">
        <x:v>Wholesale</x:v>
      </x:c>
      <x:c r="C300" s="107" t="n">
        <x:v>22.34507178</x:v>
      </x:c>
      <x:c r="D300" s="107" t="n">
        <x:v>0</x:v>
      </x:c>
      <x:c r="E300" s="107" t="n">
        <x:v>0</x:v>
      </x:c>
      <x:c r="F300" s="107" t="n">
        <x:v>4.25710578</x:v>
      </x:c>
      <x:c r="G300" s="107" t="n">
        <x:v>36.669749409999994</x:v>
      </x:c>
      <x:c r="H300" s="107" t="n">
        <x:v>0</x:v>
      </x:c>
      <x:c r="I300" s="107" t="n">
        <x:v>14.324677629999995</x:v>
      </x:c>
      <x:c r="J300" s="107" t="n">
        <x:v>10.067571849999995</x:v>
      </x:c>
      <x:c r="K300" s="107" t="n">
        <x:v>10.067571849999995</x:v>
      </x:c>
      <x:c r="L300" s="107" t="n">
        <x:v>10.067571849999995</x:v>
      </x:c>
      <x:c r="M300" s="107" t="n">
        <x:v>10.067571849999995</x:v>
      </x:c>
      <x:c r="N300" s="108" t="n">
        <x:v>0.3906401832703442</x:v>
      </x:c>
      <x:c r="O300" s="108" t="n">
        <x:v>0.2745470588695794</x:v>
      </x:c>
      <x:c r="P300" s="108" t="n">
        <x:v>0.2745470588695794</x:v>
      </x:c>
      <x:c r="Q300" s="9" t="str">
        <x:v>Forecast</x:v>
      </x:c>
      <x:c r="R300" s="9" t="n">
        <x:v>2026</x:v>
      </x:c>
      <x:c r="S300" s="9" t="str">
        <x:v>2026-05</x:v>
      </x:c>
    </x:row>
    <x:row r="301" ht="17" customHeight="1">
      <x:c r="A301" s="9" t="str">
        <x:v>2026-06-01</x:v>
      </x:c>
      <x:c r="B301" s="9" t="str">
        <x:v>Digital Commerce</x:v>
      </x:c>
      <x:c r="C301" s="107" t="n">
        <x:v>30.293596830000002</x:v>
      </x:c>
      <x:c r="D301" s="107" t="n">
        <x:v>0</x:v>
      </x:c>
      <x:c r="E301" s="107" t="n">
        <x:v>0</x:v>
      </x:c>
      <x:c r="F301" s="107" t="n">
        <x:v>10.97302917</x:v>
      </x:c>
      <x:c r="G301" s="107" t="n">
        <x:v>66.14568341</x:v>
      </x:c>
      <x:c r="H301" s="107" t="n">
        <x:v>0</x:v>
      </x:c>
      <x:c r="I301" s="107" t="n">
        <x:v>35.85208658</x:v>
      </x:c>
      <x:c r="J301" s="107" t="n">
        <x:v>24.879057409999998</x:v>
      </x:c>
      <x:c r="K301" s="107" t="n">
        <x:v>24.879057409999998</x:v>
      </x:c>
      <x:c r="L301" s="107" t="n">
        <x:v>24.879057409999998</x:v>
      </x:c>
      <x:c r="M301" s="107" t="n">
        <x:v>24.879057409999998</x:v>
      </x:c>
      <x:c r="N301" s="108" t="n">
        <x:v>0.5420170256277045</x:v>
      </x:c>
      <x:c r="O301" s="108" t="n">
        <x:v>0.3761251850069893</x:v>
      </x:c>
      <x:c r="P301" s="108" t="n">
        <x:v>0.3761251850069893</x:v>
      </x:c>
      <x:c r="Q301" s="9" t="str">
        <x:v>Forecast</x:v>
      </x:c>
      <x:c r="R301" s="9" t="n">
        <x:v>2026</x:v>
      </x:c>
      <x:c r="S301" s="9" t="str">
        <x:v>2026-06</x:v>
      </x:c>
    </x:row>
    <x:row r="302" ht="17" customHeight="1">
      <x:c r="A302" s="9" t="str">
        <x:v>2026-06-01</x:v>
      </x:c>
      <x:c r="B302" s="9" t="str">
        <x:v>Retail Stores</x:v>
      </x:c>
      <x:c r="C302" s="107" t="n">
        <x:v>21.21371313</x:v>
      </x:c>
      <x:c r="D302" s="107" t="n">
        <x:v>0.24166667</x:v>
      </x:c>
      <x:c r="E302" s="107" t="n">
        <x:v>0</x:v>
      </x:c>
      <x:c r="F302" s="107" t="n">
        <x:v>8.51661779</x:v>
      </x:c>
      <x:c r="G302" s="107" t="n">
        <x:v>41.596842630000005</x:v>
      </x:c>
      <x:c r="H302" s="107" t="n">
        <x:v>0</x:v>
      </x:c>
      <x:c r="I302" s="107" t="n">
        <x:v>20.383129500000003</x:v>
      </x:c>
      <x:c r="J302" s="107" t="n">
        <x:v>11.866511710000005</x:v>
      </x:c>
      <x:c r="K302" s="107" t="n">
        <x:v>11.624845040000004</x:v>
      </x:c>
      <x:c r="L302" s="107" t="n">
        <x:v>11.624845040000004</x:v>
      </x:c>
      <x:c r="M302" s="107" t="n">
        <x:v>11.624845040000004</x:v>
      </x:c>
      <x:c r="N302" s="108" t="n">
        <x:v>0.4900162659292683</x:v>
      </x:c>
      <x:c r="O302" s="108" t="n">
        <x:v>0.2852743371787015</x:v>
      </x:c>
      <x:c r="P302" s="108" t="n">
        <x:v>0.27946460127759953</x:v>
      </x:c>
      <x:c r="Q302" s="9" t="str">
        <x:v>Forecast</x:v>
      </x:c>
      <x:c r="R302" s="9" t="n">
        <x:v>2026</x:v>
      </x:c>
      <x:c r="S302" s="9" t="str">
        <x:v>2026-06</x:v>
      </x:c>
    </x:row>
    <x:row r="303" ht="17" customHeight="1">
      <x:c r="A303" s="9" t="str">
        <x:v>2026-06-01</x:v>
      </x:c>
      <x:c r="B303" s="9" t="str">
        <x:v>Shared Services</x:v>
      </x:c>
      <x:c r="C303" s="107" t="n">
        <x:v>0</x:v>
      </x:c>
      <x:c r="D303" s="107" t="n">
        <x:v>0.816875</x:v>
      </x:c>
      <x:c r="E303" s="107" t="n">
        <x:v>0.50022672</x:v>
      </x:c>
      <x:c r="F303" s="107" t="n">
        <x:v>35.46462339</x:v>
      </x:c>
      <x:c r="G303" s="107" t="n">
        <x:v>0</x:v>
      </x:c>
      <x:c r="H303" s="107" t="n">
        <x:v>2.78384901</x:v>
      </x:c>
      <x:c r="I303" s="107" t="n">
        <x:v>0</x:v>
      </x:c>
      <x:c r="J303" s="107" t="n">
        <x:v>-35.46462339</x:v>
      </x:c>
      <x:c r="K303" s="107" t="n">
        <x:v>-36.28149839</x:v>
      </x:c>
      <x:c r="L303" s="107" t="n">
        <x:v>-36.78172511</x:v>
      </x:c>
      <x:c r="M303" s="107" t="n">
        <x:v>-39.56557412</x:v>
      </x:c>
      <x:c r="N303" s="108"/>
      <x:c r="O303" s="108"/>
      <x:c r="P303" s="108"/>
      <x:c r="Q303" s="9" t="str">
        <x:v>Forecast</x:v>
      </x:c>
      <x:c r="R303" s="9" t="n">
        <x:v>2026</x:v>
      </x:c>
      <x:c r="S303" s="9" t="str">
        <x:v>2026-06</x:v>
      </x:c>
    </x:row>
    <x:row r="304" ht="17" customHeight="1">
      <x:c r="A304" s="9" t="str">
        <x:v>2026-06-01</x:v>
      </x:c>
      <x:c r="B304" s="9" t="str">
        <x:v>Subscription Services</x:v>
      </x:c>
      <x:c r="C304" s="107" t="n">
        <x:v>2.09927065</x:v>
      </x:c>
      <x:c r="D304" s="107" t="n">
        <x:v>0.19479167</x:v>
      </x:c>
      <x:c r="E304" s="107" t="n">
        <x:v>0</x:v>
      </x:c>
      <x:c r="F304" s="107" t="n">
        <x:v>3.55779546</x:v>
      </x:c>
      <x:c r="G304" s="107" t="n">
        <x:v>8.2915537</x:v>
      </x:c>
      <x:c r="H304" s="107" t="n">
        <x:v>0</x:v>
      </x:c>
      <x:c r="I304" s="107" t="n">
        <x:v>6.19228305</x:v>
      </x:c>
      <x:c r="J304" s="107" t="n">
        <x:v>2.634487590000001</x:v>
      </x:c>
      <x:c r="K304" s="107" t="n">
        <x:v>2.439695920000001</x:v>
      </x:c>
      <x:c r="L304" s="107" t="n">
        <x:v>2.439695920000001</x:v>
      </x:c>
      <x:c r="M304" s="107" t="n">
        <x:v>2.439695920000001</x:v>
      </x:c>
      <x:c r="N304" s="108" t="n">
        <x:v>0.7468181807711142</x:v>
      </x:c>
      <x:c r="O304" s="108" t="n">
        <x:v>0.3177314753446029</x:v>
      </x:c>
      <x:c r="P304" s="108" t="n">
        <x:v>0.2942386925625291</x:v>
      </x:c>
      <x:c r="Q304" s="9" t="str">
        <x:v>Forecast</x:v>
      </x:c>
      <x:c r="R304" s="9" t="n">
        <x:v>2026</x:v>
      </x:c>
      <x:c r="S304" s="9" t="str">
        <x:v>2026-06</x:v>
      </x:c>
    </x:row>
    <x:row r="305" ht="17" customHeight="1">
      <x:c r="A305" s="9" t="str">
        <x:v>2026-06-01</x:v>
      </x:c>
      <x:c r="B305" s="9" t="str">
        <x:v>Wholesale</x:v>
      </x:c>
      <x:c r="C305" s="107" t="n">
        <x:v>20.26507557</x:v>
      </x:c>
      <x:c r="D305" s="107" t="n">
        <x:v>0</x:v>
      </x:c>
      <x:c r="E305" s="107" t="n">
        <x:v>0</x:v>
      </x:c>
      <x:c r="F305" s="107" t="n">
        <x:v>4.17496969</x:v>
      </x:c>
      <x:c r="G305" s="107" t="n">
        <x:v>33.41356803</x:v>
      </x:c>
      <x:c r="H305" s="107" t="n">
        <x:v>0</x:v>
      </x:c>
      <x:c r="I305" s="107" t="n">
        <x:v>13.148492460000002</x:v>
      </x:c>
      <x:c r="J305" s="107" t="n">
        <x:v>8.97352277</x:v>
      </x:c>
      <x:c r="K305" s="107" t="n">
        <x:v>8.97352277</x:v>
      </x:c>
      <x:c r="L305" s="107" t="n">
        <x:v>8.97352277</x:v>
      </x:c>
      <x:c r="M305" s="107" t="n">
        <x:v>8.97352277</x:v>
      </x:c>
      <x:c r="N305" s="108" t="n">
        <x:v>0.3935075849485686</x:v>
      </x:c>
      <x:c r="O305" s="108" t="n">
        <x:v>0.26855925000117387</x:v>
      </x:c>
      <x:c r="P305" s="108" t="n">
        <x:v>0.26855925000117387</x:v>
      </x:c>
      <x:c r="Q305" s="9" t="str">
        <x:v>Forecast</x:v>
      </x:c>
      <x:c r="R305" s="9" t="n">
        <x:v>2026</x:v>
      </x:c>
      <x:c r="S305" s="9" t="str">
        <x:v>2026-06</x:v>
      </x:c>
    </x:row>
    <x:row r="306" ht="17" customHeight="1">
      <x:c r="A306" s="9" t="str">
        <x:v>2026-07-01</x:v>
      </x:c>
      <x:c r="B306" s="9" t="str">
        <x:v>Digital Commerce</x:v>
      </x:c>
      <x:c r="C306" s="107" t="n">
        <x:v>28.83080954</x:v>
      </x:c>
      <x:c r="D306" s="107" t="n">
        <x:v>0</x:v>
      </x:c>
      <x:c r="E306" s="107" t="n">
        <x:v>0</x:v>
      </x:c>
      <x:c r="F306" s="107" t="n">
        <x:v>10.554166890000001</x:v>
      </x:c>
      <x:c r="G306" s="107" t="n">
        <x:v>62.990881710000004</x:v>
      </x:c>
      <x:c r="H306" s="107" t="n">
        <x:v>0</x:v>
      </x:c>
      <x:c r="I306" s="107" t="n">
        <x:v>34.16007217</x:v>
      </x:c>
      <x:c r="J306" s="107" t="n">
        <x:v>23.60590528</x:v>
      </x:c>
      <x:c r="K306" s="107" t="n">
        <x:v>23.60590528</x:v>
      </x:c>
      <x:c r="L306" s="107" t="n">
        <x:v>23.60590528</x:v>
      </x:c>
      <x:c r="M306" s="107" t="n">
        <x:v>23.60590528</x:v>
      </x:c>
      <x:c r="N306" s="108" t="n">
        <x:v>0.5423018577080336</x:v>
      </x:c>
      <x:c r="O306" s="108" t="n">
        <x:v>0.37475114872463344</x:v>
      </x:c>
      <x:c r="P306" s="108" t="n">
        <x:v>0.37475114872463344</x:v>
      </x:c>
      <x:c r="Q306" s="9" t="str">
        <x:v>Forecast</x:v>
      </x:c>
      <x:c r="R306" s="9" t="n">
        <x:v>2026</x:v>
      </x:c>
      <x:c r="S306" s="9" t="str">
        <x:v>2026-07</x:v>
      </x:c>
    </x:row>
    <x:row r="307" ht="17" customHeight="1">
      <x:c r="A307" s="9" t="str">
        <x:v>2026-07-01</x:v>
      </x:c>
      <x:c r="B307" s="9" t="str">
        <x:v>Retail Stores</x:v>
      </x:c>
      <x:c r="C307" s="107" t="n">
        <x:v>20.77221807</x:v>
      </x:c>
      <x:c r="D307" s="107" t="n">
        <x:v>0.24166667</x:v>
      </x:c>
      <x:c r="E307" s="107" t="n">
        <x:v>0</x:v>
      </x:c>
      <x:c r="F307" s="107" t="n">
        <x:v>8.31632112</x:v>
      </x:c>
      <x:c r="G307" s="107" t="n">
        <x:v>41.009206219999996</x:v>
      </x:c>
      <x:c r="H307" s="107" t="n">
        <x:v>0</x:v>
      </x:c>
      <x:c r="I307" s="107" t="n">
        <x:v>20.23698815</x:v>
      </x:c>
      <x:c r="J307" s="107" t="n">
        <x:v>11.920667029999997</x:v>
      </x:c>
      <x:c r="K307" s="107" t="n">
        <x:v>11.679000359999998</x:v>
      </x:c>
      <x:c r="L307" s="107" t="n">
        <x:v>11.679000359999998</x:v>
      </x:c>
      <x:c r="M307" s="107" t="n">
        <x:v>11.679000359999998</x:v>
      </x:c>
      <x:c r="N307" s="108" t="n">
        <x:v>0.4934742711535468</x:v>
      </x:c>
      <x:c r="O307" s="108" t="n">
        <x:v>0.2906827058794994</x:v>
      </x:c>
      <x:c r="P307" s="108" t="n">
        <x:v>0.28478972007763964</x:v>
      </x:c>
      <x:c r="Q307" s="9" t="str">
        <x:v>Forecast</x:v>
      </x:c>
      <x:c r="R307" s="9" t="n">
        <x:v>2026</x:v>
      </x:c>
      <x:c r="S307" s="9" t="str">
        <x:v>2026-07</x:v>
      </x:c>
    </x:row>
    <x:row r="308" ht="17" customHeight="1">
      <x:c r="A308" s="9" t="str">
        <x:v>2026-07-01</x:v>
      </x:c>
      <x:c r="B308" s="9" t="str">
        <x:v>Shared Services</x:v>
      </x:c>
      <x:c r="C308" s="107" t="n">
        <x:v>0</x:v>
      </x:c>
      <x:c r="D308" s="107" t="n">
        <x:v>0.816875</x:v>
      </x:c>
      <x:c r="E308" s="107" t="n">
        <x:v>0.45303552</x:v>
      </x:c>
      <x:c r="F308" s="107" t="n">
        <x:v>34.480010979999996</x:v>
      </x:c>
      <x:c r="G308" s="107" t="n">
        <x:v>0</x:v>
      </x:c>
      <x:c r="H308" s="107" t="n">
        <x:v>2.82897548</x:v>
      </x:c>
      <x:c r="I308" s="107" t="n">
        <x:v>0</x:v>
      </x:c>
      <x:c r="J308" s="107" t="n">
        <x:v>-34.480010979999996</x:v>
      </x:c>
      <x:c r="K308" s="107" t="n">
        <x:v>-35.29688598</x:v>
      </x:c>
      <x:c r="L308" s="107" t="n">
        <x:v>-35.7499215</x:v>
      </x:c>
      <x:c r="M308" s="107" t="n">
        <x:v>-38.578896979999996</x:v>
      </x:c>
      <x:c r="N308" s="108"/>
      <x:c r="O308" s="108"/>
      <x:c r="P308" s="108"/>
      <x:c r="Q308" s="9" t="str">
        <x:v>Forecast</x:v>
      </x:c>
      <x:c r="R308" s="9" t="n">
        <x:v>2026</x:v>
      </x:c>
      <x:c r="S308" s="9" t="str">
        <x:v>2026-07</x:v>
      </x:c>
    </x:row>
    <x:row r="309" ht="17" customHeight="1">
      <x:c r="A309" s="9" t="str">
        <x:v>2026-07-01</x:v>
      </x:c>
      <x:c r="B309" s="9" t="str">
        <x:v>Subscription Services</x:v>
      </x:c>
      <x:c r="C309" s="107" t="n">
        <x:v>2.26616193</x:v>
      </x:c>
      <x:c r="D309" s="107" t="n">
        <x:v>0.19479167</x:v>
      </x:c>
      <x:c r="E309" s="107" t="n">
        <x:v>0</x:v>
      </x:c>
      <x:c r="F309" s="107" t="n">
        <x:v>3.52250066</x:v>
      </x:c>
      <x:c r="G309" s="107" t="n">
        <x:v>8.9941585</x:v>
      </x:c>
      <x:c r="H309" s="107" t="n">
        <x:v>0</x:v>
      </x:c>
      <x:c r="I309" s="107" t="n">
        <x:v>6.72799657</x:v>
      </x:c>
      <x:c r="J309" s="107" t="n">
        <x:v>3.2054959100000002</x:v>
      </x:c>
      <x:c r="K309" s="107" t="n">
        <x:v>3.0107042400000004</x:v>
      </x:c>
      <x:c r="L309" s="107" t="n">
        <x:v>3.0107042400000004</x:v>
      </x:c>
      <x:c r="M309" s="107" t="n">
        <x:v>3.0107042400000004</x:v>
      </x:c>
      <x:c r="N309" s="108" t="n">
        <x:v>0.7480406944129349</x:v>
      </x:c>
      <x:c r="O309" s="108" t="n">
        <x:v>0.3563975340216653</x:v>
      </x:c>
      <x:c r="P309" s="108" t="n">
        <x:v>0.3347399581628454</x:v>
      </x:c>
      <x:c r="Q309" s="9" t="str">
        <x:v>Forecast</x:v>
      </x:c>
      <x:c r="R309" s="9" t="n">
        <x:v>2026</x:v>
      </x:c>
      <x:c r="S309" s="9" t="str">
        <x:v>2026-07</x:v>
      </x:c>
    </x:row>
    <x:row r="310" ht="17" customHeight="1">
      <x:c r="A310" s="9" t="str">
        <x:v>2026-07-01</x:v>
      </x:c>
      <x:c r="B310" s="9" t="str">
        <x:v>Wholesale</x:v>
      </x:c>
      <x:c r="C310" s="107" t="n">
        <x:v>19.45249952</x:v>
      </x:c>
      <x:c r="D310" s="107" t="n">
        <x:v>0</x:v>
      </x:c>
      <x:c r="E310" s="107" t="n">
        <x:v>0</x:v>
      </x:c>
      <x:c r="F310" s="107" t="n">
        <x:v>4.04234222</x:v>
      </x:c>
      <x:c r="G310" s="107" t="n">
        <x:v>32.26505527</x:v>
      </x:c>
      <x:c r="H310" s="107" t="n">
        <x:v>0</x:v>
      </x:c>
      <x:c r="I310" s="107" t="n">
        <x:v>12.81255575</x:v>
      </x:c>
      <x:c r="J310" s="107" t="n">
        <x:v>8.77021353</x:v>
      </x:c>
      <x:c r="K310" s="107" t="n">
        <x:v>8.77021353</x:v>
      </x:c>
      <x:c r="L310" s="107" t="n">
        <x:v>8.77021353</x:v>
      </x:c>
      <x:c r="M310" s="107" t="n">
        <x:v>8.77021353</x:v>
      </x:c>
      <x:c r="N310" s="108" t="n">
        <x:v>0.3971031706836435</x:v>
      </x:c>
      <x:c r="O310" s="108" t="n">
        <x:v>0.2718177128974123</x:v>
      </x:c>
      <x:c r="P310" s="108" t="n">
        <x:v>0.2718177128974123</x:v>
      </x:c>
      <x:c r="Q310" s="9" t="str">
        <x:v>Forecast</x:v>
      </x:c>
      <x:c r="R310" s="9" t="n">
        <x:v>2026</x:v>
      </x:c>
      <x:c r="S310" s="9" t="str">
        <x:v>2026-07</x:v>
      </x:c>
    </x:row>
    <x:row r="311" ht="17" customHeight="1">
      <x:c r="A311" s="9" t="str">
        <x:v>2026-08-01</x:v>
      </x:c>
      <x:c r="B311" s="9" t="str">
        <x:v>Digital Commerce</x:v>
      </x:c>
      <x:c r="C311" s="107" t="n">
        <x:v>28.20680385</x:v>
      </x:c>
      <x:c r="D311" s="107" t="n">
        <x:v>0</x:v>
      </x:c>
      <x:c r="E311" s="107" t="n">
        <x:v>0</x:v>
      </x:c>
      <x:c r="F311" s="107" t="n">
        <x:v>10.83973025</x:v>
      </x:c>
      <x:c r="G311" s="107" t="n">
        <x:v>61.62752535</x:v>
      </x:c>
      <x:c r="H311" s="107" t="n">
        <x:v>0</x:v>
      </x:c>
      <x:c r="I311" s="107" t="n">
        <x:v>33.4207215</x:v>
      </x:c>
      <x:c r="J311" s="107" t="n">
        <x:v>22.58099125</x:v>
      </x:c>
      <x:c r="K311" s="107" t="n">
        <x:v>22.58099125</x:v>
      </x:c>
      <x:c r="L311" s="107" t="n">
        <x:v>22.58099125</x:v>
      </x:c>
      <x:c r="M311" s="107" t="n">
        <x:v>22.58099125</x:v>
      </x:c>
      <x:c r="N311" s="108" t="n">
        <x:v>0.5423018579797639</x:v>
      </x:c>
      <x:c r="O311" s="108" t="n">
        <x:v>0.3664108062388716</x:v>
      </x:c>
      <x:c r="P311" s="108" t="n">
        <x:v>0.3664108062388716</x:v>
      </x:c>
      <x:c r="Q311" s="9" t="str">
        <x:v>Forecast</x:v>
      </x:c>
      <x:c r="R311" s="9" t="n">
        <x:v>2026</x:v>
      </x:c>
      <x:c r="S311" s="9" t="str">
        <x:v>2026-08</x:v>
      </x:c>
    </x:row>
    <x:row r="312" ht="17" customHeight="1">
      <x:c r="A312" s="9" t="str">
        <x:v>2026-08-01</x:v>
      </x:c>
      <x:c r="B312" s="9" t="str">
        <x:v>Retail Stores</x:v>
      </x:c>
      <x:c r="C312" s="107" t="n">
        <x:v>18.209187059999998</x:v>
      </x:c>
      <x:c r="D312" s="107" t="n">
        <x:v>0.24166667</x:v>
      </x:c>
      <x:c r="E312" s="107" t="n">
        <x:v>0</x:v>
      </x:c>
      <x:c r="F312" s="107" t="n">
        <x:v>8.34890598</x:v>
      </x:c>
      <x:c r="G312" s="107" t="n">
        <x:v>35.94918486</x:v>
      </x:c>
      <x:c r="H312" s="107" t="n">
        <x:v>0</x:v>
      </x:c>
      <x:c r="I312" s="107" t="n">
        <x:v>17.7399978</x:v>
      </x:c>
      <x:c r="J312" s="107" t="n">
        <x:v>9.39109182</x:v>
      </x:c>
      <x:c r="K312" s="107" t="n">
        <x:v>9.14942515</x:v>
      </x:c>
      <x:c r="L312" s="107" t="n">
        <x:v>9.14942515</x:v>
      </x:c>
      <x:c r="M312" s="107" t="n">
        <x:v>9.14942515</x:v>
      </x:c>
      <x:c r="N312" s="108" t="n">
        <x:v>0.4934742712271891</x:v>
      </x:c>
      <x:c r="O312" s="108" t="n">
        <x:v>0.2612323994708791</x:v>
      </x:c>
      <x:c r="P312" s="108" t="n">
        <x:v>0.2545099474614346</x:v>
      </x:c>
      <x:c r="Q312" s="9" t="str">
        <x:v>Forecast</x:v>
      </x:c>
      <x:c r="R312" s="9" t="n">
        <x:v>2026</x:v>
      </x:c>
      <x:c r="S312" s="9" t="str">
        <x:v>2026-08</x:v>
      </x:c>
    </x:row>
    <x:row r="313" ht="17" customHeight="1">
      <x:c r="A313" s="9" t="str">
        <x:v>2026-08-01</x:v>
      </x:c>
      <x:c r="B313" s="9" t="str">
        <x:v>Shared Services</x:v>
      </x:c>
      <x:c r="C313" s="107" t="n">
        <x:v>0</x:v>
      </x:c>
      <x:c r="D313" s="107" t="n">
        <x:v>0.816875</x:v>
      </x:c>
      <x:c r="E313" s="107" t="n">
        <x:v>0.45303552</x:v>
      </x:c>
      <x:c r="F313" s="107" t="n">
        <x:v>34.912476410000004</x:v>
      </x:c>
      <x:c r="G313" s="107" t="n">
        <x:v>0</x:v>
      </x:c>
      <x:c r="H313" s="107" t="n">
        <x:v>2.0290663600000003</x:v>
      </x:c>
      <x:c r="I313" s="107" t="n">
        <x:v>0</x:v>
      </x:c>
      <x:c r="J313" s="107" t="n">
        <x:v>-34.912476410000004</x:v>
      </x:c>
      <x:c r="K313" s="107" t="n">
        <x:v>-35.72935141000001</x:v>
      </x:c>
      <x:c r="L313" s="107" t="n">
        <x:v>-36.18238693000001</x:v>
      </x:c>
      <x:c r="M313" s="107" t="n">
        <x:v>-38.21145329000001</x:v>
      </x:c>
      <x:c r="N313" s="108"/>
      <x:c r="O313" s="108"/>
      <x:c r="P313" s="108"/>
      <x:c r="Q313" s="9" t="str">
        <x:v>Forecast</x:v>
      </x:c>
      <x:c r="R313" s="9" t="n">
        <x:v>2026</x:v>
      </x:c>
      <x:c r="S313" s="9" t="str">
        <x:v>2026-08</x:v>
      </x:c>
    </x:row>
    <x:row r="314" ht="17" customHeight="1">
      <x:c r="A314" s="9" t="str">
        <x:v>2026-08-01</x:v>
      </x:c>
      <x:c r="B314" s="9" t="str">
        <x:v>Subscription Services</x:v>
      </x:c>
      <x:c r="C314" s="107" t="n">
        <x:v>2.33723788</x:v>
      </x:c>
      <x:c r="D314" s="107" t="n">
        <x:v>0.19479167</x:v>
      </x:c>
      <x:c r="E314" s="107" t="n">
        <x:v>0</x:v>
      </x:c>
      <x:c r="F314" s="107" t="n">
        <x:v>3.5487885300000004</x:v>
      </x:c>
      <x:c r="G314" s="107" t="n">
        <x:v>9.27625151</x:v>
      </x:c>
      <x:c r="H314" s="107" t="n">
        <x:v>0</x:v>
      </x:c>
      <x:c r="I314" s="107" t="n">
        <x:v>6.93901363</x:v>
      </x:c>
      <x:c r="J314" s="107" t="n">
        <x:v>3.3902250999999994</x:v>
      </x:c>
      <x:c r="K314" s="107" t="n">
        <x:v>3.1954334299999996</x:v>
      </x:c>
      <x:c r="L314" s="107" t="n">
        <x:v>3.1954334299999996</x:v>
      </x:c>
      <x:c r="M314" s="107" t="n">
        <x:v>3.1954334299999996</x:v>
      </x:c>
      <x:c r="N314" s="108" t="n">
        <x:v>0.748040695373513</x:v>
      </x:c>
      <x:c r="O314" s="108" t="n">
        <x:v>0.3654736071294815</x:v>
      </x:c>
      <x:c r="P314" s="108" t="n">
        <x:v>0.34447464329263316</x:v>
      </x:c>
      <x:c r="Q314" s="9" t="str">
        <x:v>Forecast</x:v>
      </x:c>
      <x:c r="R314" s="9" t="n">
        <x:v>2026</x:v>
      </x:c>
      <x:c r="S314" s="9" t="str">
        <x:v>2026-08</x:v>
      </x:c>
    </x:row>
    <x:row r="315" ht="17" customHeight="1">
      <x:c r="A315" s="9" t="str">
        <x:v>2026-08-01</x:v>
      </x:c>
      <x:c r="B315" s="9" t="str">
        <x:v>Wholesale</x:v>
      </x:c>
      <x:c r="C315" s="107" t="n">
        <x:v>20.83713422</x:v>
      </x:c>
      <x:c r="D315" s="107" t="n">
        <x:v>0</x:v>
      </x:c>
      <x:c r="E315" s="107" t="n">
        <x:v>0</x:v>
      </x:c>
      <x:c r="F315" s="107" t="n">
        <x:v>4.35175477</x:v>
      </x:c>
      <x:c r="G315" s="107" t="n">
        <x:v>34.561691520000004</x:v>
      </x:c>
      <x:c r="H315" s="107" t="n">
        <x:v>0</x:v>
      </x:c>
      <x:c r="I315" s="107" t="n">
        <x:v>13.724557300000004</x:v>
      </x:c>
      <x:c r="J315" s="107" t="n">
        <x:v>9.372802530000005</x:v>
      </x:c>
      <x:c r="K315" s="107" t="n">
        <x:v>9.372802530000005</x:v>
      </x:c>
      <x:c r="L315" s="107" t="n">
        <x:v>9.372802530000005</x:v>
      </x:c>
      <x:c r="M315" s="107" t="n">
        <x:v>9.372802530000005</x:v>
      </x:c>
      <x:c r="N315" s="108" t="n">
        <x:v>0.39710317106609033</x:v>
      </x:c>
      <x:c r="O315" s="108" t="n">
        <x:v>0.271190503641183</x:v>
      </x:c>
      <x:c r="P315" s="108" t="n">
        <x:v>0.271190503641183</x:v>
      </x:c>
      <x:c r="Q315" s="9" t="str">
        <x:v>Forecast</x:v>
      </x:c>
      <x:c r="R315" s="9" t="n">
        <x:v>2026</x:v>
      </x:c>
      <x:c r="S315" s="9" t="str">
        <x:v>2026-08</x:v>
      </x:c>
    </x:row>
    <x:row r="316" ht="17" customHeight="1">
      <x:c r="A316" s="9" t="str">
        <x:v>2026-09-01</x:v>
      </x:c>
      <x:c r="B316" s="9" t="str">
        <x:v>Digital Commerce</x:v>
      </x:c>
      <x:c r="C316" s="107" t="n">
        <x:v>29.92233182</x:v>
      </x:c>
      <x:c r="D316" s="107" t="n">
        <x:v>0</x:v>
      </x:c>
      <x:c r="E316" s="107" t="n">
        <x:v>0</x:v>
      </x:c>
      <x:c r="F316" s="107" t="n">
        <x:v>11.09643937</x:v>
      </x:c>
      <x:c r="G316" s="107" t="n">
        <x:v>65.37568993</x:v>
      </x:c>
      <x:c r="H316" s="107" t="n">
        <x:v>0</x:v>
      </x:c>
      <x:c r="I316" s="107" t="n">
        <x:v>35.453358109999996</x:v>
      </x:c>
      <x:c r="J316" s="107" t="n">
        <x:v>24.356918739999998</x:v>
      </x:c>
      <x:c r="K316" s="107" t="n">
        <x:v>24.356918739999998</x:v>
      </x:c>
      <x:c r="L316" s="107" t="n">
        <x:v>24.356918739999998</x:v>
      </x:c>
      <x:c r="M316" s="107" t="n">
        <x:v>24.356918739999998</x:v>
      </x:c>
      <x:c r="N316" s="108" t="n">
        <x:v>0.5423018578918422</x:v>
      </x:c>
      <x:c r="O316" s="108" t="n">
        <x:v>0.37256843891176966</x:v>
      </x:c>
      <x:c r="P316" s="108" t="n">
        <x:v>0.37256843891176966</x:v>
      </x:c>
      <x:c r="Q316" s="9" t="str">
        <x:v>Forecast</x:v>
      </x:c>
      <x:c r="R316" s="9" t="n">
        <x:v>2026</x:v>
      </x:c>
      <x:c r="S316" s="9" t="str">
        <x:v>2026-09</x:v>
      </x:c>
    </x:row>
    <x:row r="317" ht="17" customHeight="1">
      <x:c r="A317" s="9" t="str">
        <x:v>2026-09-01</x:v>
      </x:c>
      <x:c r="B317" s="9" t="str">
        <x:v>Retail Stores</x:v>
      </x:c>
      <x:c r="C317" s="107" t="n">
        <x:v>20.06816536</x:v>
      </x:c>
      <x:c r="D317" s="107" t="n">
        <x:v>0.24166667</x:v>
      </x:c>
      <x:c r="E317" s="107" t="n">
        <x:v>0</x:v>
      </x:c>
      <x:c r="F317" s="107" t="n">
        <x:v>8.49926694</x:v>
      </x:c>
      <x:c r="G317" s="107" t="n">
        <x:v>39.61924188</x:v>
      </x:c>
      <x:c r="H317" s="107" t="n">
        <x:v>0</x:v>
      </x:c>
      <x:c r="I317" s="107" t="n">
        <x:v>19.551076519999995</x:v>
      </x:c>
      <x:c r="J317" s="107" t="n">
        <x:v>11.051809579999997</x:v>
      </x:c>
      <x:c r="K317" s="107" t="n">
        <x:v>10.810142909999996</x:v>
      </x:c>
      <x:c r="L317" s="107" t="n">
        <x:v>10.810142909999996</x:v>
      </x:c>
      <x:c r="M317" s="107" t="n">
        <x:v>10.810142909999996</x:v>
      </x:c>
      <x:c r="N317" s="108" t="n">
        <x:v>0.4934742713961289</x:v>
      </x:c>
      <x:c r="O317" s="108" t="n">
        <x:v>0.27895055673892155</x:v>
      </x:c>
      <x:c r="P317" s="108" t="n">
        <x:v>0.2728508269477265</x:v>
      </x:c>
      <x:c r="Q317" s="9" t="str">
        <x:v>Forecast</x:v>
      </x:c>
      <x:c r="R317" s="9" t="n">
        <x:v>2026</x:v>
      </x:c>
      <x:c r="S317" s="9" t="str">
        <x:v>2026-09</x:v>
      </x:c>
    </x:row>
    <x:row r="318" ht="17" customHeight="1">
      <x:c r="A318" s="9" t="str">
        <x:v>2026-09-01</x:v>
      </x:c>
      <x:c r="B318" s="9" t="str">
        <x:v>Shared Services</x:v>
      </x:c>
      <x:c r="C318" s="107" t="n">
        <x:v>0</x:v>
      </x:c>
      <x:c r="D318" s="107" t="n">
        <x:v>0.816875</x:v>
      </x:c>
      <x:c r="E318" s="107" t="n">
        <x:v>0.45303552</x:v>
      </x:c>
      <x:c r="F318" s="107" t="n">
        <x:v>35.09957621</x:v>
      </x:c>
      <x:c r="G318" s="107" t="n">
        <x:v>0</x:v>
      </x:c>
      <x:c r="H318" s="107" t="n">
        <x:v>3.52007268</x:v>
      </x:c>
      <x:c r="I318" s="107" t="n">
        <x:v>0</x:v>
      </x:c>
      <x:c r="J318" s="107" t="n">
        <x:v>-35.09957621</x:v>
      </x:c>
      <x:c r="K318" s="107" t="n">
        <x:v>-35.91645121</x:v>
      </x:c>
      <x:c r="L318" s="107" t="n">
        <x:v>-36.369486730000006</x:v>
      </x:c>
      <x:c r="M318" s="107" t="n">
        <x:v>-39.889559410000004</x:v>
      </x:c>
      <x:c r="N318" s="108"/>
      <x:c r="O318" s="108"/>
      <x:c r="P318" s="108"/>
      <x:c r="Q318" s="9" t="str">
        <x:v>Forecast</x:v>
      </x:c>
      <x:c r="R318" s="9" t="n">
        <x:v>2026</x:v>
      </x:c>
      <x:c r="S318" s="9" t="str">
        <x:v>2026-09</x:v>
      </x:c>
    </x:row>
    <x:row r="319" ht="17" customHeight="1">
      <x:c r="A319" s="9" t="str">
        <x:v>2026-09-01</x:v>
      </x:c>
      <x:c r="B319" s="9" t="str">
        <x:v>Subscription Services</x:v>
      </x:c>
      <x:c r="C319" s="107" t="n">
        <x:v>2.36878083</x:v>
      </x:c>
      <x:c r="D319" s="107" t="n">
        <x:v>0.19479167</x:v>
      </x:c>
      <x:c r="E319" s="107" t="n">
        <x:v>0</x:v>
      </x:c>
      <x:c r="F319" s="107" t="n">
        <x:v>3.56509651</x:v>
      </x:c>
      <x:c r="G319" s="107" t="n">
        <x:v>9.40144216</x:v>
      </x:c>
      <x:c r="H319" s="107" t="n">
        <x:v>0</x:v>
      </x:c>
      <x:c r="I319" s="107" t="n">
        <x:v>7.03266133</x:v>
      </x:c>
      <x:c r="J319" s="107" t="n">
        <x:v>3.4675648199999998</x:v>
      </x:c>
      <x:c r="K319" s="107" t="n">
        <x:v>3.27277315</x:v>
      </x:c>
      <x:c r="L319" s="107" t="n">
        <x:v>3.27277315</x:v>
      </x:c>
      <x:c r="M319" s="107" t="n">
        <x:v>3.27277315</x:v>
      </x:c>
      <x:c r="N319" s="108" t="n">
        <x:v>0.7480406952798825</x:v>
      </x:c>
      <x:c r="O319" s="108" t="n">
        <x:v>0.3688332875942514</x:v>
      </x:c>
      <x:c r="P319" s="108" t="n">
        <x:v>0.3481139482966302</x:v>
      </x:c>
      <x:c r="Q319" s="9" t="str">
        <x:v>Forecast</x:v>
      </x:c>
      <x:c r="R319" s="9" t="n">
        <x:v>2026</x:v>
      </x:c>
      <x:c r="S319" s="9" t="str">
        <x:v>2026-09</x:v>
      </x:c>
    </x:row>
    <x:row r="320" ht="17" customHeight="1">
      <x:c r="A320" s="9" t="str">
        <x:v>2026-09-01</x:v>
      </x:c>
      <x:c r="B320" s="9" t="str">
        <x:v>Wholesale</x:v>
      </x:c>
      <x:c r="C320" s="107" t="n">
        <x:v>25.16772084</x:v>
      </x:c>
      <x:c r="D320" s="107" t="n">
        <x:v>0</x:v>
      </x:c>
      <x:c r="E320" s="107" t="n">
        <x:v>0</x:v>
      </x:c>
      <x:c r="F320" s="107" t="n">
        <x:v>4.56699269</x:v>
      </x:c>
      <x:c r="G320" s="107" t="n">
        <x:v>41.74465617</x:v>
      </x:c>
      <x:c r="H320" s="107" t="n">
        <x:v>0</x:v>
      </x:c>
      <x:c r="I320" s="107" t="n">
        <x:v>16.57693533</x:v>
      </x:c>
      <x:c r="J320" s="107" t="n">
        <x:v>12.00994264</x:v>
      </x:c>
      <x:c r="K320" s="107" t="n">
        <x:v>12.00994264</x:v>
      </x:c>
      <x:c r="L320" s="107" t="n">
        <x:v>12.00994264</x:v>
      </x:c>
      <x:c r="M320" s="107" t="n">
        <x:v>12.00994264</x:v>
      </x:c>
      <x:c r="N320" s="108" t="n">
        <x:v>0.39710317082245117</x:v>
      </x:c>
      <x:c r="O320" s="108" t="n">
        <x:v>0.2877001212105085</x:v>
      </x:c>
      <x:c r="P320" s="108" t="n">
        <x:v>0.2877001212105085</x:v>
      </x:c>
      <x:c r="Q320" s="9" t="str">
        <x:v>Forecast</x:v>
      </x:c>
      <x:c r="R320" s="9" t="n">
        <x:v>2026</x:v>
      </x:c>
      <x:c r="S320" s="9" t="str">
        <x:v>2026-09</x:v>
      </x:c>
    </x:row>
    <x:row r="321" ht="17" customHeight="1">
      <x:c r="A321" s="9" t="str">
        <x:v>2026-10-01</x:v>
      </x:c>
      <x:c r="B321" s="9" t="str">
        <x:v>Digital Commerce</x:v>
      </x:c>
      <x:c r="C321" s="107" t="n">
        <x:v>32.25562191</x:v>
      </x:c>
      <x:c r="D321" s="107" t="n">
        <x:v>0</x:v>
      </x:c>
      <x:c r="E321" s="107" t="n">
        <x:v>0</x:v>
      </x:c>
      <x:c r="F321" s="107" t="n">
        <x:v>11.19740525</x:v>
      </x:c>
      <x:c r="G321" s="107" t="n">
        <x:v>70.47356968000001</x:v>
      </x:c>
      <x:c r="H321" s="107" t="n">
        <x:v>0</x:v>
      </x:c>
      <x:c r="I321" s="107" t="n">
        <x:v>38.21794777000001</x:v>
      </x:c>
      <x:c r="J321" s="107" t="n">
        <x:v>27.02054252000001</x:v>
      </x:c>
      <x:c r="K321" s="107" t="n">
        <x:v>27.02054252000001</x:v>
      </x:c>
      <x:c r="L321" s="107" t="n">
        <x:v>27.02054252000001</x:v>
      </x:c>
      <x:c r="M321" s="107" t="n">
        <x:v>27.02054252000001</x:v>
      </x:c>
      <x:c r="N321" s="108" t="n">
        <x:v>0.5423018578956139</x:v>
      </x:c>
      <x:c r="O321" s="108" t="n">
        <x:v>0.38341384781120696</x:v>
      </x:c>
      <x:c r="P321" s="108" t="n">
        <x:v>0.38341384781120696</x:v>
      </x:c>
      <x:c r="Q321" s="9" t="str">
        <x:v>Forecast</x:v>
      </x:c>
      <x:c r="R321" s="9" t="n">
        <x:v>2026</x:v>
      </x:c>
      <x:c r="S321" s="9" t="str">
        <x:v>2026-10</x:v>
      </x:c>
    </x:row>
    <x:row r="322" ht="17" customHeight="1">
      <x:c r="A322" s="9" t="str">
        <x:v>2026-10-01</x:v>
      </x:c>
      <x:c r="B322" s="9" t="str">
        <x:v>Retail Stores</x:v>
      </x:c>
      <x:c r="C322" s="107" t="n">
        <x:v>20.152148920000002</x:v>
      </x:c>
      <x:c r="D322" s="107" t="n">
        <x:v>0.24166667</x:v>
      </x:c>
      <x:c r="E322" s="107" t="n">
        <x:v>0</x:v>
      </x:c>
      <x:c r="F322" s="107" t="n">
        <x:v>8.31108324</x:v>
      </x:c>
      <x:c r="G322" s="107" t="n">
        <x:v>39.785045020000005</x:v>
      </x:c>
      <x:c r="H322" s="107" t="n">
        <x:v>0</x:v>
      </x:c>
      <x:c r="I322" s="107" t="n">
        <x:v>19.6328961</x:v>
      </x:c>
      <x:c r="J322" s="107" t="n">
        <x:v>11.321812860000001</x:v>
      </x:c>
      <x:c r="K322" s="107" t="n">
        <x:v>11.08014619</x:v>
      </x:c>
      <x:c r="L322" s="107" t="n">
        <x:v>11.08014619</x:v>
      </x:c>
      <x:c r="M322" s="107" t="n">
        <x:v>11.08014619</x:v>
      </x:c>
      <x:c r="N322" s="108" t="n">
        <x:v>0.49347427130296107</x:v>
      </x:c>
      <x:c r="O322" s="108" t="n">
        <x:v>0.28457458963056365</x:v>
      </x:c>
      <x:c r="P322" s="108" t="n">
        <x:v>0.2785002803045716</x:v>
      </x:c>
      <x:c r="Q322" s="9" t="str">
        <x:v>Forecast</x:v>
      </x:c>
      <x:c r="R322" s="9" t="n">
        <x:v>2026</x:v>
      </x:c>
      <x:c r="S322" s="9" t="str">
        <x:v>2026-10</x:v>
      </x:c>
    </x:row>
    <x:row r="323" ht="17" customHeight="1">
      <x:c r="A323" s="9" t="str">
        <x:v>2026-10-01</x:v>
      </x:c>
      <x:c r="B323" s="9" t="str">
        <x:v>Shared Services</x:v>
      </x:c>
      <x:c r="C323" s="107" t="n">
        <x:v>0</x:v>
      </x:c>
      <x:c r="D323" s="107" t="n">
        <x:v>1.085625</x:v>
      </x:c>
      <x:c r="E323" s="107" t="n">
        <x:v>0.45303552</x:v>
      </x:c>
      <x:c r="F323" s="107" t="n">
        <x:v>34.78849222</x:v>
      </x:c>
      <x:c r="G323" s="107" t="n">
        <x:v>0</x:v>
      </x:c>
      <x:c r="H323" s="107" t="n">
        <x:v>4.38604983</x:v>
      </x:c>
      <x:c r="I323" s="107" t="n">
        <x:v>0</x:v>
      </x:c>
      <x:c r="J323" s="107" t="n">
        <x:v>-34.78849222</x:v>
      </x:c>
      <x:c r="K323" s="107" t="n">
        <x:v>-35.87411722</x:v>
      </x:c>
      <x:c r="L323" s="107" t="n">
        <x:v>-36.32715274</x:v>
      </x:c>
      <x:c r="M323" s="107" t="n">
        <x:v>-40.71320257</x:v>
      </x:c>
      <x:c r="N323" s="108"/>
      <x:c r="O323" s="108"/>
      <x:c r="P323" s="108"/>
      <x:c r="Q323" s="9" t="str">
        <x:v>Forecast</x:v>
      </x:c>
      <x:c r="R323" s="9" t="n">
        <x:v>2026</x:v>
      </x:c>
      <x:c r="S323" s="9" t="str">
        <x:v>2026-10</x:v>
      </x:c>
    </x:row>
    <x:row r="324" ht="17" customHeight="1">
      <x:c r="A324" s="9" t="str">
        <x:v>2026-10-01</x:v>
      </x:c>
      <x:c r="B324" s="9" t="str">
        <x:v>Subscription Services</x:v>
      </x:c>
      <x:c r="C324" s="107" t="n">
        <x:v>2.44035924</x:v>
      </x:c>
      <x:c r="D324" s="107" t="n">
        <x:v>0.19479167</x:v>
      </x:c>
      <x:c r="E324" s="107" t="n">
        <x:v>0</x:v>
      </x:c>
      <x:c r="F324" s="107" t="n">
        <x:v>3.47196096</x:v>
      </x:c>
      <x:c r="G324" s="107" t="n">
        <x:v>9.68552935</x:v>
      </x:c>
      <x:c r="H324" s="107" t="n">
        <x:v>0</x:v>
      </x:c>
      <x:c r="I324" s="107" t="n">
        <x:v>7.245170109999999</x:v>
      </x:c>
      <x:c r="J324" s="107" t="n">
        <x:v>3.7732091499999996</x:v>
      </x:c>
      <x:c r="K324" s="107" t="n">
        <x:v>3.5784174799999997</x:v>
      </x:c>
      <x:c r="L324" s="107" t="n">
        <x:v>3.5784174799999997</x:v>
      </x:c>
      <x:c r="M324" s="107" t="n">
        <x:v>3.5784174799999997</x:v>
      </x:c>
      <x:c r="N324" s="108" t="n">
        <x:v>0.7480406953699438</x:v>
      </x:c>
      <x:c r="O324" s="108" t="n">
        <x:v>0.3895718048699114</x:v>
      </x:c>
      <x:c r="P324" s="108" t="n">
        <x:v>0.36946018649977036</x:v>
      </x:c>
      <x:c r="Q324" s="9" t="str">
        <x:v>Forecast</x:v>
      </x:c>
      <x:c r="R324" s="9" t="n">
        <x:v>2026</x:v>
      </x:c>
      <x:c r="S324" s="9" t="str">
        <x:v>2026-10</x:v>
      </x:c>
    </x:row>
    <x:row r="325" ht="17" customHeight="1">
      <x:c r="A325" s="9" t="str">
        <x:v>2026-10-01</x:v>
      </x:c>
      <x:c r="B325" s="9" t="str">
        <x:v>Wholesale</x:v>
      </x:c>
      <x:c r="C325" s="107" t="n">
        <x:v>25.47332754</x:v>
      </x:c>
      <x:c r="D325" s="107" t="n">
        <x:v>0</x:v>
      </x:c>
      <x:c r="E325" s="107" t="n">
        <x:v>0</x:v>
      </x:c>
      <x:c r="F325" s="107" t="n">
        <x:v>4.5859799400000005</x:v>
      </x:c>
      <x:c r="G325" s="107" t="n">
        <x:v>42.25155334</x:v>
      </x:c>
      <x:c r="H325" s="107" t="n">
        <x:v>0</x:v>
      </x:c>
      <x:c r="I325" s="107" t="n">
        <x:v>16.778225800000005</x:v>
      </x:c>
      <x:c r="J325" s="107" t="n">
        <x:v>12.192245860000003</x:v>
      </x:c>
      <x:c r="K325" s="107" t="n">
        <x:v>12.192245860000003</x:v>
      </x:c>
      <x:c r="L325" s="107" t="n">
        <x:v>12.192245860000003</x:v>
      </x:c>
      <x:c r="M325" s="107" t="n">
        <x:v>12.192245860000003</x:v>
      </x:c>
      <x:c r="N325" s="108" t="n">
        <x:v>0.39710317073989976</x:v>
      </x:c>
      <x:c r="O325" s="108" t="n">
        <x:v>0.2885632573526586</x:v>
      </x:c>
      <x:c r="P325" s="108" t="n">
        <x:v>0.2885632573526586</x:v>
      </x:c>
      <x:c r="Q325" s="9" t="str">
        <x:v>Forecast</x:v>
      </x:c>
      <x:c r="R325" s="9" t="n">
        <x:v>2026</x:v>
      </x:c>
      <x:c r="S325" s="9" t="str">
        <x:v>2026-10</x:v>
      </x:c>
    </x:row>
    <x:row r="326" ht="17" customHeight="1">
      <x:c r="A326" s="9" t="str">
        <x:v>2026-11-01</x:v>
      </x:c>
      <x:c r="B326" s="9" t="str">
        <x:v>Digital Commerce</x:v>
      </x:c>
      <x:c r="C326" s="107" t="n">
        <x:v>36.260759560000004</x:v>
      </x:c>
      <x:c r="D326" s="107" t="n">
        <x:v>0</x:v>
      </x:c>
      <x:c r="E326" s="107" t="n">
        <x:v>0</x:v>
      </x:c>
      <x:c r="F326" s="107" t="n">
        <x:v>12.15413832</x:v>
      </x:c>
      <x:c r="G326" s="107" t="n">
        <x:v>79.22417907</x:v>
      </x:c>
      <x:c r="H326" s="107" t="n">
        <x:v>0</x:v>
      </x:c>
      <x:c r="I326" s="107" t="n">
        <x:v>42.96341951000001</x:v>
      </x:c>
      <x:c r="J326" s="107" t="n">
        <x:v>30.809281190000004</x:v>
      </x:c>
      <x:c r="K326" s="107" t="n">
        <x:v>30.809281190000004</x:v>
      </x:c>
      <x:c r="L326" s="107" t="n">
        <x:v>30.809281190000004</x:v>
      </x:c>
      <x:c r="M326" s="107" t="n">
        <x:v>30.809281190000004</x:v>
      </x:c>
      <x:c r="N326" s="108" t="n">
        <x:v>0.5423018580229007</x:v>
      </x:c>
      <x:c r="O326" s="108" t="n">
        <x:v>0.3888873517108696</x:v>
      </x:c>
      <x:c r="P326" s="108" t="n">
        <x:v>0.3888873517108696</x:v>
      </x:c>
      <x:c r="Q326" s="9" t="str">
        <x:v>Forecast</x:v>
      </x:c>
      <x:c r="R326" s="9" t="n">
        <x:v>2026</x:v>
      </x:c>
      <x:c r="S326" s="9" t="str">
        <x:v>2026-11</x:v>
      </x:c>
    </x:row>
    <x:row r="327" ht="17" customHeight="1">
      <x:c r="A327" s="9" t="str">
        <x:v>2026-11-01</x:v>
      </x:c>
      <x:c r="B327" s="9" t="str">
        <x:v>Retail Stores</x:v>
      </x:c>
      <x:c r="C327" s="107" t="n">
        <x:v>21.19711634</x:v>
      </x:c>
      <x:c r="D327" s="107" t="n">
        <x:v>0.24166667</x:v>
      </x:c>
      <x:c r="E327" s="107" t="n">
        <x:v>0</x:v>
      </x:c>
      <x:c r="F327" s="107" t="n">
        <x:v>8.60966843</x:v>
      </x:c>
      <x:c r="G327" s="107" t="n">
        <x:v>41.848054579999996</x:v>
      </x:c>
      <x:c r="H327" s="107" t="n">
        <x:v>0</x:v>
      </x:c>
      <x:c r="I327" s="107" t="n">
        <x:v>20.65093824</x:v>
      </x:c>
      <x:c r="J327" s="107" t="n">
        <x:v>12.04126981</x:v>
      </x:c>
      <x:c r="K327" s="107" t="n">
        <x:v>11.799603139999999</x:v>
      </x:c>
      <x:c r="L327" s="107" t="n">
        <x:v>11.799603139999999</x:v>
      </x:c>
      <x:c r="M327" s="107" t="n">
        <x:v>11.799603139999999</x:v>
      </x:c>
      <x:c r="N327" s="108" t="n">
        <x:v>0.49347427131940047</x:v>
      </x:c>
      <x:c r="O327" s="108" t="n">
        <x:v>0.28773786334513995</x:v>
      </x:c>
      <x:c r="P327" s="108" t="n">
        <x:v>0.2819630030218719</x:v>
      </x:c>
      <x:c r="Q327" s="9" t="str">
        <x:v>Forecast</x:v>
      </x:c>
      <x:c r="R327" s="9" t="n">
        <x:v>2026</x:v>
      </x:c>
      <x:c r="S327" s="9" t="str">
        <x:v>2026-11</x:v>
      </x:c>
    </x:row>
    <x:row r="328" ht="17" customHeight="1">
      <x:c r="A328" s="9" t="str">
        <x:v>2026-11-01</x:v>
      </x:c>
      <x:c r="B328" s="9" t="str">
        <x:v>Shared Services</x:v>
      </x:c>
      <x:c r="C328" s="107" t="n">
        <x:v>0</x:v>
      </x:c>
      <x:c r="D328" s="107" t="n">
        <x:v>1.085625</x:v>
      </x:c>
      <x:c r="E328" s="107" t="n">
        <x:v>0.45303552</x:v>
      </x:c>
      <x:c r="F328" s="107" t="n">
        <x:v>35.22543368</x:v>
      </x:c>
      <x:c r="G328" s="107" t="n">
        <x:v>0</x:v>
      </x:c>
      <x:c r="H328" s="107" t="n">
        <x:v>5.03462549</x:v>
      </x:c>
      <x:c r="I328" s="107" t="n">
        <x:v>0</x:v>
      </x:c>
      <x:c r="J328" s="107" t="n">
        <x:v>-35.22543368</x:v>
      </x:c>
      <x:c r="K328" s="107" t="n">
        <x:v>-36.31105868</x:v>
      </x:c>
      <x:c r="L328" s="107" t="n">
        <x:v>-36.7640942</x:v>
      </x:c>
      <x:c r="M328" s="107" t="n">
        <x:v>-41.798719690000006</x:v>
      </x:c>
      <x:c r="N328" s="108"/>
      <x:c r="O328" s="108"/>
      <x:c r="P328" s="108"/>
      <x:c r="Q328" s="9" t="str">
        <x:v>Forecast</x:v>
      </x:c>
      <x:c r="R328" s="9" t="n">
        <x:v>2026</x:v>
      </x:c>
      <x:c r="S328" s="9" t="str">
        <x:v>2026-11</x:v>
      </x:c>
    </x:row>
    <x:row r="329" ht="17" customHeight="1">
      <x:c r="A329" s="9" t="str">
        <x:v>2026-11-01</x:v>
      </x:c>
      <x:c r="B329" s="9" t="str">
        <x:v>Subscription Services</x:v>
      </x:c>
      <x:c r="C329" s="107" t="n">
        <x:v>2.43336234</x:v>
      </x:c>
      <x:c r="D329" s="107" t="n">
        <x:v>0.19479167</x:v>
      </x:c>
      <x:c r="E329" s="107" t="n">
        <x:v>0</x:v>
      </x:c>
      <x:c r="F329" s="107" t="n">
        <x:v>3.4786086099999998</x:v>
      </x:c>
      <x:c r="G329" s="107" t="n">
        <x:v>9.65775936</x:v>
      </x:c>
      <x:c r="H329" s="107" t="n">
        <x:v>0</x:v>
      </x:c>
      <x:c r="I329" s="107" t="n">
        <x:v>7.22439702</x:v>
      </x:c>
      <x:c r="J329" s="107" t="n">
        <x:v>3.74578841</x:v>
      </x:c>
      <x:c r="K329" s="107" t="n">
        <x:v>3.5509967399999995</x:v>
      </x:c>
      <x:c r="L329" s="107" t="n">
        <x:v>3.5509967399999995</x:v>
      </x:c>
      <x:c r="M329" s="107" t="n">
        <x:v>3.5509967399999995</x:v>
      </x:c>
      <x:c r="N329" s="108" t="n">
        <x:v>0.7480406946068285</x:v>
      </x:c>
      <x:c r="O329" s="108" t="n">
        <x:v>0.38785273792533176</x:v>
      </x:c>
      <x:c r="P329" s="108" t="n">
        <x:v>0.36768329046459075</x:v>
      </x:c>
      <x:c r="Q329" s="9" t="str">
        <x:v>Forecast</x:v>
      </x:c>
      <x:c r="R329" s="9" t="n">
        <x:v>2026</x:v>
      </x:c>
      <x:c r="S329" s="9" t="str">
        <x:v>2026-11</x:v>
      </x:c>
    </x:row>
    <x:row r="330" ht="17" customHeight="1">
      <x:c r="A330" s="9" t="str">
        <x:v>2026-11-01</x:v>
      </x:c>
      <x:c r="B330" s="9" t="str">
        <x:v>Wholesale</x:v>
      </x:c>
      <x:c r="C330" s="107" t="n">
        <x:v>23.49339689</x:v>
      </x:c>
      <x:c r="D330" s="107" t="n">
        <x:v>0</x:v>
      </x:c>
      <x:c r="E330" s="107" t="n">
        <x:v>0</x:v>
      </x:c>
      <x:c r="F330" s="107" t="n">
        <x:v>4.73141238</x:v>
      </x:c>
      <x:c r="G330" s="107" t="n">
        <x:v>38.96752436</x:v>
      </x:c>
      <x:c r="H330" s="107" t="n">
        <x:v>0</x:v>
      </x:c>
      <x:c r="I330" s="107" t="n">
        <x:v>15.474127469999999</x:v>
      </x:c>
      <x:c r="J330" s="107" t="n">
        <x:v>10.742715089999999</x:v>
      </x:c>
      <x:c r="K330" s="107" t="n">
        <x:v>10.742715089999999</x:v>
      </x:c>
      <x:c r="L330" s="107" t="n">
        <x:v>10.742715089999999</x:v>
      </x:c>
      <x:c r="M330" s="107" t="n">
        <x:v>10.742715089999999</x:v>
      </x:c>
      <x:c r="N330" s="108" t="n">
        <x:v>0.39710317050277194</x:v>
      </x:c>
      <x:c r="O330" s="108" t="n">
        <x:v>0.27568379737839727</x:v>
      </x:c>
      <x:c r="P330" s="108" t="n">
        <x:v>0.27568379737839727</x:v>
      </x:c>
      <x:c r="Q330" s="9" t="str">
        <x:v>Forecast</x:v>
      </x:c>
      <x:c r="R330" s="9" t="n">
        <x:v>2026</x:v>
      </x:c>
      <x:c r="S330" s="9" t="str">
        <x:v>2026-11</x:v>
      </x:c>
    </x:row>
    <x:row r="331" ht="17" customHeight="1">
      <x:c r="A331" s="9" t="str">
        <x:v>2026-12-01</x:v>
      </x:c>
      <x:c r="B331" s="9" t="str">
        <x:v>Digital Commerce</x:v>
      </x:c>
      <x:c r="C331" s="107" t="n">
        <x:v>39.248058560000004</x:v>
      </x:c>
      <x:c r="D331" s="107" t="n">
        <x:v>0</x:v>
      </x:c>
      <x:c r="E331" s="107" t="n">
        <x:v>0</x:v>
      </x:c>
      <x:c r="F331" s="107" t="n">
        <x:v>12.59538004</x:v>
      </x:c>
      <x:c r="G331" s="107" t="n">
        <x:v>85.75096761</x:v>
      </x:c>
      <x:c r="H331" s="107" t="n">
        <x:v>0</x:v>
      </x:c>
      <x:c r="I331" s="107" t="n">
        <x:v>46.50290905</x:v>
      </x:c>
      <x:c r="J331" s="107" t="n">
        <x:v>33.90752901</x:v>
      </x:c>
      <x:c r="K331" s="107" t="n">
        <x:v>33.90752901</x:v>
      </x:c>
      <x:c r="L331" s="107" t="n">
        <x:v>33.90752901</x:v>
      </x:c>
      <x:c r="M331" s="107" t="n">
        <x:v>33.90752901</x:v>
      </x:c>
      <x:c r="N331" s="108" t="n">
        <x:v>0.5423018578810413</x:v>
      </x:c>
      <x:c r="O331" s="108" t="n">
        <x:v>0.39541861689786706</x:v>
      </x:c>
      <x:c r="P331" s="108" t="n">
        <x:v>0.39541861689786706</x:v>
      </x:c>
      <x:c r="Q331" s="9" t="str">
        <x:v>Forecast</x:v>
      </x:c>
      <x:c r="R331" s="9" t="n">
        <x:v>2026</x:v>
      </x:c>
      <x:c r="S331" s="9" t="str">
        <x:v>2026-12</x:v>
      </x:c>
    </x:row>
    <x:row r="332" ht="17" customHeight="1">
      <x:c r="A332" s="9" t="str">
        <x:v>2026-12-01</x:v>
      </x:c>
      <x:c r="B332" s="9" t="str">
        <x:v>Retail Stores</x:v>
      </x:c>
      <x:c r="C332" s="107" t="n">
        <x:v>24.772934279999998</x:v>
      </x:c>
      <x:c r="D332" s="107" t="n">
        <x:v>0.24166667</x:v>
      </x:c>
      <x:c r="E332" s="107" t="n">
        <x:v>0</x:v>
      </x:c>
      <x:c r="F332" s="107" t="n">
        <x:v>8.88677525</x:v>
      </x:c>
      <x:c r="G332" s="107" t="n">
        <x:v>48.90755371</x:v>
      </x:c>
      <x:c r="H332" s="107" t="n">
        <x:v>0</x:v>
      </x:c>
      <x:c r="I332" s="107" t="n">
        <x:v>24.134619430000004</x:v>
      </x:c>
      <x:c r="J332" s="107" t="n">
        <x:v>15.247844180000003</x:v>
      </x:c>
      <x:c r="K332" s="107" t="n">
        <x:v>15.006177510000004</x:v>
      </x:c>
      <x:c r="L332" s="107" t="n">
        <x:v>15.006177510000004</x:v>
      </x:c>
      <x:c r="M332" s="107" t="n">
        <x:v>15.006177510000004</x:v>
      </x:c>
      <x:c r="N332" s="108" t="n">
        <x:v>0.4934742713386881</x:v>
      </x:c>
      <x:c r="O332" s="108" t="n">
        <x:v>0.31176869467675533</x:v>
      </x:c>
      <x:c r="P332" s="108" t="n">
        <x:v>0.3068273992802819</x:v>
      </x:c>
      <x:c r="Q332" s="9" t="str">
        <x:v>Forecast</x:v>
      </x:c>
      <x:c r="R332" s="9" t="n">
        <x:v>2026</x:v>
      </x:c>
      <x:c r="S332" s="9" t="str">
        <x:v>2026-12</x:v>
      </x:c>
    </x:row>
    <x:row r="333" ht="17" customHeight="1">
      <x:c r="A333" s="9" t="str">
        <x:v>2026-12-01</x:v>
      </x:c>
      <x:c r="B333" s="9" t="str">
        <x:v>Shared Services</x:v>
      </x:c>
      <x:c r="C333" s="107" t="n">
        <x:v>0</x:v>
      </x:c>
      <x:c r="D333" s="107" t="n">
        <x:v>1.085625</x:v>
      </x:c>
      <x:c r="E333" s="107" t="n">
        <x:v>0.45303552</x:v>
      </x:c>
      <x:c r="F333" s="107" t="n">
        <x:v>35.41704514</x:v>
      </x:c>
      <x:c r="G333" s="107" t="n">
        <x:v>0</x:v>
      </x:c>
      <x:c r="H333" s="107" t="n">
        <x:v>6.27574432</x:v>
      </x:c>
      <x:c r="I333" s="107" t="n">
        <x:v>0</x:v>
      </x:c>
      <x:c r="J333" s="107" t="n">
        <x:v>-35.41704514</x:v>
      </x:c>
      <x:c r="K333" s="107" t="n">
        <x:v>-36.50267014</x:v>
      </x:c>
      <x:c r="L333" s="107" t="n">
        <x:v>-36.95570566000001</x:v>
      </x:c>
      <x:c r="M333" s="107" t="n">
        <x:v>-43.23144998</x:v>
      </x:c>
      <x:c r="N333" s="108"/>
      <x:c r="O333" s="108"/>
      <x:c r="P333" s="108"/>
      <x:c r="Q333" s="9" t="str">
        <x:v>Forecast</x:v>
      </x:c>
      <x:c r="R333" s="9" t="n">
        <x:v>2026</x:v>
      </x:c>
      <x:c r="S333" s="9" t="str">
        <x:v>2026-12</x:v>
      </x:c>
    </x:row>
    <x:row r="334" ht="17" customHeight="1">
      <x:c r="A334" s="9" t="str">
        <x:v>2026-12-01</x:v>
      </x:c>
      <x:c r="B334" s="9" t="str">
        <x:v>Subscription Services</x:v>
      </x:c>
      <x:c r="C334" s="107" t="n">
        <x:v>2.44747015</x:v>
      </x:c>
      <x:c r="D334" s="107" t="n">
        <x:v>0.19479167</x:v>
      </x:c>
      <x:c r="E334" s="107" t="n">
        <x:v>0</x:v>
      </x:c>
      <x:c r="F334" s="107" t="n">
        <x:v>3.49068623</x:v>
      </x:c>
      <x:c r="G334" s="107" t="n">
        <x:v>9.71375182</x:v>
      </x:c>
      <x:c r="H334" s="107" t="n">
        <x:v>0</x:v>
      </x:c>
      <x:c r="I334" s="107" t="n">
        <x:v>7.26628167</x:v>
      </x:c>
      <x:c r="J334" s="107" t="n">
        <x:v>3.77559544</x:v>
      </x:c>
      <x:c r="K334" s="107" t="n">
        <x:v>3.58080377</x:v>
      </x:c>
      <x:c r="L334" s="107" t="n">
        <x:v>3.58080377</x:v>
      </x:c>
      <x:c r="M334" s="107" t="n">
        <x:v>3.58080377</x:v>
      </x:c>
      <x:c r="N334" s="108" t="n">
        <x:v>0.7480406957730983</x:v>
      </x:c>
      <x:c r="O334" s="108" t="n">
        <x:v>0.38868559851676343</x:v>
      </x:c>
      <x:c r="P334" s="108" t="n">
        <x:v>0.3686324127230996</x:v>
      </x:c>
      <x:c r="Q334" s="9" t="str">
        <x:v>Forecast</x:v>
      </x:c>
      <x:c r="R334" s="9" t="n">
        <x:v>2026</x:v>
      </x:c>
      <x:c r="S334" s="9" t="str">
        <x:v>2026-12</x:v>
      </x:c>
    </x:row>
    <x:row r="335" ht="17" customHeight="1">
      <x:c r="A335" s="9" t="str">
        <x:v>2026-12-01</x:v>
      </x:c>
      <x:c r="B335" s="9" t="str">
        <x:v>Wholesale</x:v>
      </x:c>
      <x:c r="C335" s="107" t="n">
        <x:v>21.56782262</x:v>
      </x:c>
      <x:c r="D335" s="107" t="n">
        <x:v>0</x:v>
      </x:c>
      <x:c r="E335" s="107" t="n">
        <x:v>0</x:v>
      </x:c>
      <x:c r="F335" s="107" t="n">
        <x:v>4.641658810000001</x:v>
      </x:c>
      <x:c r="G335" s="107" t="n">
        <x:v>35.773654089999994</x:v>
      </x:c>
      <x:c r="H335" s="107" t="n">
        <x:v>0</x:v>
      </x:c>
      <x:c r="I335" s="107" t="n">
        <x:v>14.205831469999994</x:v>
      </x:c>
      <x:c r="J335" s="107" t="n">
        <x:v>9.564172659999995</x:v>
      </x:c>
      <x:c r="K335" s="107" t="n">
        <x:v>9.564172659999995</x:v>
      </x:c>
      <x:c r="L335" s="107" t="n">
        <x:v>9.564172659999995</x:v>
      </x:c>
      <x:c r="M335" s="107" t="n">
        <x:v>9.564172659999995</x:v>
      </x:c>
      <x:c r="N335" s="108" t="n">
        <x:v>0.39710317079325225</x:v>
      </x:c>
      <x:c r="O335" s="108" t="n">
        <x:v>0.26735241068575993</x:v>
      </x:c>
      <x:c r="P335" s="108" t="n">
        <x:v>0.26735241068575993</x:v>
      </x:c>
      <x:c r="Q335" s="9" t="str">
        <x:v>Forecast</x:v>
      </x:c>
      <x:c r="R335" s="9" t="n">
        <x:v>2026</x:v>
      </x:c>
      <x:c r="S335" s="9" t="str">
        <x:v>2026-12</x:v>
      </x:c>
    </x:row>
    <x:row r="336" ht="17" customHeight="1">
      <x:c r="A336" s="9" t="str">
        <x:v>2027-01-01</x:v>
      </x:c>
      <x:c r="B336" s="9" t="str">
        <x:v>Digital Commerce</x:v>
      </x:c>
      <x:c r="C336" s="107" t="n">
        <x:v>28.05115368</x:v>
      </x:c>
      <x:c r="D336" s="107" t="n">
        <x:v>0</x:v>
      </x:c>
      <x:c r="E336" s="107" t="n">
        <x:v>0</x:v>
      </x:c>
      <x:c r="F336" s="107" t="n">
        <x:v>11.00127466</x:v>
      </x:c>
      <x:c r="G336" s="107" t="n">
        <x:v>61.59698629</x:v>
      </x:c>
      <x:c r="H336" s="107" t="n">
        <x:v>0</x:v>
      </x:c>
      <x:c r="I336" s="107" t="n">
        <x:v>33.54583261</x:v>
      </x:c>
      <x:c r="J336" s="107" t="n">
        <x:v>22.544557949999998</x:v>
      </x:c>
      <x:c r="K336" s="107" t="n">
        <x:v>22.544557949999998</x:v>
      </x:c>
      <x:c r="L336" s="107" t="n">
        <x:v>22.544557949999998</x:v>
      </x:c>
      <x:c r="M336" s="107" t="n">
        <x:v>22.544557949999998</x:v>
      </x:c>
      <x:c r="N336" s="108" t="n">
        <x:v>0.5446018487343758</x:v>
      </x:c>
      <x:c r="O336" s="108" t="n">
        <x:v>0.36600098978641116</x:v>
      </x:c>
      <x:c r="P336" s="108" t="n">
        <x:v>0.36600098978641116</x:v>
      </x:c>
      <x:c r="Q336" s="9" t="str">
        <x:v>Forecast</x:v>
      </x:c>
      <x:c r="R336" s="9" t="n">
        <x:v>2027</x:v>
      </x:c>
      <x:c r="S336" s="9" t="str">
        <x:v>2027-01</x:v>
      </x:c>
    </x:row>
    <x:row r="337" ht="17" customHeight="1">
      <x:c r="A337" s="9" t="str">
        <x:v>2027-01-01</x:v>
      </x:c>
      <x:c r="B337" s="9" t="str">
        <x:v>Retail Stores</x:v>
      </x:c>
      <x:c r="C337" s="107" t="n">
        <x:v>17.093046330000004</x:v>
      </x:c>
      <x:c r="D337" s="107" t="n">
        <x:v>0.24166667</x:v>
      </x:c>
      <x:c r="E337" s="107" t="n">
        <x:v>0</x:v>
      </x:c>
      <x:c r="F337" s="107" t="n">
        <x:v>8.34152549</x:v>
      </x:c>
      <x:c r="G337" s="107" t="n">
        <x:v>33.91609521</x:v>
      </x:c>
      <x:c r="H337" s="107" t="n">
        <x:v>0</x:v>
      </x:c>
      <x:c r="I337" s="107" t="n">
        <x:v>16.823048879999998</x:v>
      </x:c>
      <x:c r="J337" s="107" t="n">
        <x:v>8.48152339</x:v>
      </x:c>
      <x:c r="K337" s="107" t="n">
        <x:v>8.239856719999999</x:v>
      </x:c>
      <x:c r="L337" s="107" t="n">
        <x:v>8.239856719999999</x:v>
      </x:c>
      <x:c r="M337" s="107" t="n">
        <x:v>8.239856719999999</x:v>
      </x:c>
      <x:c r="N337" s="108" t="n">
        <x:v>0.4960196265470974</x:v>
      </x:c>
      <x:c r="O337" s="108" t="n">
        <x:v>0.25007369915329347</x:v>
      </x:c>
      <x:c r="P337" s="108" t="n">
        <x:v>0.242948271874485</x:v>
      </x:c>
      <x:c r="Q337" s="9" t="str">
        <x:v>Forecast</x:v>
      </x:c>
      <x:c r="R337" s="9" t="n">
        <x:v>2027</x:v>
      </x:c>
      <x:c r="S337" s="9" t="str">
        <x:v>2027-01</x:v>
      </x:c>
    </x:row>
    <x:row r="338" ht="17" customHeight="1">
      <x:c r="A338" s="9" t="str">
        <x:v>2027-01-01</x:v>
      </x:c>
      <x:c r="B338" s="9" t="str">
        <x:v>Shared Services</x:v>
      </x:c>
      <x:c r="C338" s="107" t="n">
        <x:v>0</x:v>
      </x:c>
      <x:c r="D338" s="107" t="n">
        <x:v>1.33006944</x:v>
      </x:c>
      <x:c r="E338" s="107" t="n">
        <x:v>0.45303552</x:v>
      </x:c>
      <x:c r="F338" s="107" t="n">
        <x:v>35.61018454</x:v>
      </x:c>
      <x:c r="G338" s="107" t="n">
        <x:v>0</x:v>
      </x:c>
      <x:c r="H338" s="107" t="n">
        <x:v>1.56808229</x:v>
      </x:c>
      <x:c r="I338" s="107" t="n">
        <x:v>0</x:v>
      </x:c>
      <x:c r="J338" s="107" t="n">
        <x:v>-35.61018454</x:v>
      </x:c>
      <x:c r="K338" s="107" t="n">
        <x:v>-36.940253979999994</x:v>
      </x:c>
      <x:c r="L338" s="107" t="n">
        <x:v>-37.3932895</x:v>
      </x:c>
      <x:c r="M338" s="107" t="n">
        <x:v>-38.96137179</x:v>
      </x:c>
      <x:c r="N338" s="108"/>
      <x:c r="O338" s="108"/>
      <x:c r="P338" s="108"/>
      <x:c r="Q338" s="9" t="str">
        <x:v>Forecast</x:v>
      </x:c>
      <x:c r="R338" s="9" t="n">
        <x:v>2027</x:v>
      </x:c>
      <x:c r="S338" s="9" t="str">
        <x:v>2027-01</x:v>
      </x:c>
    </x:row>
    <x:row r="339" ht="17" customHeight="1">
      <x:c r="A339" s="9" t="str">
        <x:v>2027-01-01</x:v>
      </x:c>
      <x:c r="B339" s="9" t="str">
        <x:v>Subscription Services</x:v>
      </x:c>
      <x:c r="C339" s="107" t="n">
        <x:v>2.36067558</x:v>
      </x:c>
      <x:c r="D339" s="107" t="n">
        <x:v>0.19479167</x:v>
      </x:c>
      <x:c r="E339" s="107" t="n">
        <x:v>0</x:v>
      </x:c>
      <x:c r="F339" s="107" t="n">
        <x:v>3.4802215</x:v>
      </x:c>
      <x:c r="G339" s="107" t="n">
        <x:v>9.41659286</x:v>
      </x:c>
      <x:c r="H339" s="107" t="n">
        <x:v>0</x:v>
      </x:c>
      <x:c r="I339" s="107" t="n">
        <x:v>7.055917279999999</x:v>
      </x:c>
      <x:c r="J339" s="107" t="n">
        <x:v>3.5756957799999993</x:v>
      </x:c>
      <x:c r="K339" s="107" t="n">
        <x:v>3.3809041099999995</x:v>
      </x:c>
      <x:c r="L339" s="107" t="n">
        <x:v>3.3809041099999995</x:v>
      </x:c>
      <x:c r="M339" s="107" t="n">
        <x:v>3.3809041099999995</x:v>
      </x:c>
      <x:c r="N339" s="108" t="n">
        <x:v>0.7493068230625403</x:v>
      </x:c>
      <x:c r="O339" s="108" t="n">
        <x:v>0.3797228820616122</x:v>
      </x:c>
      <x:c r="P339" s="108" t="n">
        <x:v>0.35903687886533514</x:v>
      </x:c>
      <x:c r="Q339" s="9" t="str">
        <x:v>Forecast</x:v>
      </x:c>
      <x:c r="R339" s="9" t="n">
        <x:v>2027</x:v>
      </x:c>
      <x:c r="S339" s="9" t="str">
        <x:v>2027-01</x:v>
      </x:c>
    </x:row>
    <x:row r="340" ht="17" customHeight="1">
      <x:c r="A340" s="9" t="str">
        <x:v>2027-01-01</x:v>
      </x:c>
      <x:c r="B340" s="9" t="str">
        <x:v>Wholesale</x:v>
      </x:c>
      <x:c r="C340" s="107" t="n">
        <x:v>21.18749174</x:v>
      </x:c>
      <x:c r="D340" s="107" t="n">
        <x:v>0</x:v>
      </x:c>
      <x:c r="E340" s="107" t="n">
        <x:v>0</x:v>
      </x:c>
      <x:c r="F340" s="107" t="n">
        <x:v>4.63251232</x:v>
      </x:c>
      <x:c r="G340" s="107" t="n">
        <x:v>35.320303960000004</x:v>
      </x:c>
      <x:c r="H340" s="107" t="n">
        <x:v>0</x:v>
      </x:c>
      <x:c r="I340" s="107" t="n">
        <x:v>14.132812220000002</x:v>
      </x:c>
      <x:c r="J340" s="107" t="n">
        <x:v>9.500299900000002</x:v>
      </x:c>
      <x:c r="K340" s="107" t="n">
        <x:v>9.500299900000002</x:v>
      </x:c>
      <x:c r="L340" s="107" t="n">
        <x:v>9.500299900000002</x:v>
      </x:c>
      <x:c r="M340" s="107" t="n">
        <x:v>9.500299900000002</x:v>
      </x:c>
      <x:c r="N340" s="108" t="n">
        <x:v>0.40013280282087366</x:v>
      </x:c>
      <x:c r="O340" s="108" t="n">
        <x:v>0.26897559858938436</x:v>
      </x:c>
      <x:c r="P340" s="108" t="n">
        <x:v>0.26897559858938436</x:v>
      </x:c>
      <x:c r="Q340" s="9" t="str">
        <x:v>Forecast</x:v>
      </x:c>
      <x:c r="R340" s="9" t="n">
        <x:v>2027</x:v>
      </x:c>
      <x:c r="S340" s="9" t="str">
        <x:v>2027-01</x:v>
      </x:c>
    </x:row>
    <x:row r="341" ht="17" customHeight="1">
      <x:c r="A341" s="9" t="str">
        <x:v>2027-02-01</x:v>
      </x:c>
      <x:c r="B341" s="9" t="str">
        <x:v>Digital Commerce</x:v>
      </x:c>
      <x:c r="C341" s="107" t="n">
        <x:v>28.76812544</x:v>
      </x:c>
      <x:c r="D341" s="107" t="n">
        <x:v>0</x:v>
      </x:c>
      <x:c r="E341" s="107" t="n">
        <x:v>0</x:v>
      </x:c>
      <x:c r="F341" s="107" t="n">
        <x:v>11.48212239</x:v>
      </x:c>
      <x:c r="G341" s="107" t="n">
        <x:v>63.17137072</x:v>
      </x:c>
      <x:c r="H341" s="107" t="n">
        <x:v>0</x:v>
      </x:c>
      <x:c r="I341" s="107" t="n">
        <x:v>34.40324528</x:v>
      </x:c>
      <x:c r="J341" s="107" t="n">
        <x:v>22.92112289</x:v>
      </x:c>
      <x:c r="K341" s="107" t="n">
        <x:v>22.92112289</x:v>
      </x:c>
      <x:c r="L341" s="107" t="n">
        <x:v>22.92112289</x:v>
      </x:c>
      <x:c r="M341" s="107" t="n">
        <x:v>22.92112289</x:v>
      </x:c>
      <x:c r="N341" s="108" t="n">
        <x:v>0.5446018487154335</x:v>
      </x:c>
      <x:c r="O341" s="108" t="n">
        <x:v>0.36284035994082353</x:v>
      </x:c>
      <x:c r="P341" s="108" t="n">
        <x:v>0.36284035994082353</x:v>
      </x:c>
      <x:c r="Q341" s="9" t="str">
        <x:v>Forecast</x:v>
      </x:c>
      <x:c r="R341" s="9" t="n">
        <x:v>2027</x:v>
      </x:c>
      <x:c r="S341" s="9" t="str">
        <x:v>2027-02</x:v>
      </x:c>
    </x:row>
    <x:row r="342" ht="17" customHeight="1">
      <x:c r="A342" s="9" t="str">
        <x:v>2027-02-01</x:v>
      </x:c>
      <x:c r="B342" s="9" t="str">
        <x:v>Retail Stores</x:v>
      </x:c>
      <x:c r="C342" s="107" t="n">
        <x:v>17.512716670000003</x:v>
      </x:c>
      <x:c r="D342" s="107" t="n">
        <x:v>0.24166667</x:v>
      </x:c>
      <x:c r="E342" s="107" t="n">
        <x:v>0</x:v>
      </x:c>
      <x:c r="F342" s="107" t="n">
        <x:v>8.59455258</x:v>
      </x:c>
      <x:c r="G342" s="107" t="n">
        <x:v>34.7488069</x:v>
      </x:c>
      <x:c r="H342" s="107" t="n">
        <x:v>0</x:v>
      </x:c>
      <x:c r="I342" s="107" t="n">
        <x:v>17.236090229999995</x:v>
      </x:c>
      <x:c r="J342" s="107" t="n">
        <x:v>8.641537649999997</x:v>
      </x:c>
      <x:c r="K342" s="107" t="n">
        <x:v>8.399870979999998</x:v>
      </x:c>
      <x:c r="L342" s="107" t="n">
        <x:v>8.399870979999998</x:v>
      </x:c>
      <x:c r="M342" s="107" t="n">
        <x:v>8.399870979999998</x:v>
      </x:c>
      <x:c r="N342" s="108" t="n">
        <x:v>0.49601962679184813</x:v>
      </x:c>
      <x:c r="O342" s="108" t="n">
        <x:v>0.248685880780557</x:v>
      </x:c>
      <x:c r="P342" s="108" t="n">
        <x:v>0.24173120545327262</x:v>
      </x:c>
      <x:c r="Q342" s="9" t="str">
        <x:v>Forecast</x:v>
      </x:c>
      <x:c r="R342" s="9" t="n">
        <x:v>2027</x:v>
      </x:c>
      <x:c r="S342" s="9" t="str">
        <x:v>2027-02</x:v>
      </x:c>
    </x:row>
    <x:row r="343" ht="17" customHeight="1">
      <x:c r="A343" s="9" t="str">
        <x:v>2027-02-01</x:v>
      </x:c>
      <x:c r="B343" s="9" t="str">
        <x:v>Shared Services</x:v>
      </x:c>
      <x:c r="C343" s="107" t="n">
        <x:v>0</x:v>
      </x:c>
      <x:c r="D343" s="107" t="n">
        <x:v>1.33006944</x:v>
      </x:c>
      <x:c r="E343" s="107" t="n">
        <x:v>0.45303552</x:v>
      </x:c>
      <x:c r="F343" s="107" t="n">
        <x:v>36.05170986</x:v>
      </x:c>
      <x:c r="G343" s="107" t="n">
        <x:v>0</x:v>
      </x:c>
      <x:c r="H343" s="107" t="n">
        <x:v>1.72388777</x:v>
      </x:c>
      <x:c r="I343" s="107" t="n">
        <x:v>0</x:v>
      </x:c>
      <x:c r="J343" s="107" t="n">
        <x:v>-36.05170986</x:v>
      </x:c>
      <x:c r="K343" s="107" t="n">
        <x:v>-37.3817793</x:v>
      </x:c>
      <x:c r="L343" s="107" t="n">
        <x:v>-37.83481482</x:v>
      </x:c>
      <x:c r="M343" s="107" t="n">
        <x:v>-39.55870259</x:v>
      </x:c>
      <x:c r="N343" s="108"/>
      <x:c r="O343" s="108"/>
      <x:c r="P343" s="108"/>
      <x:c r="Q343" s="9" t="str">
        <x:v>Forecast</x:v>
      </x:c>
      <x:c r="R343" s="9" t="n">
        <x:v>2027</x:v>
      </x:c>
      <x:c r="S343" s="9" t="str">
        <x:v>2027-02</x:v>
      </x:c>
    </x:row>
    <x:row r="344" ht="17" customHeight="1">
      <x:c r="A344" s="9" t="str">
        <x:v>2027-02-01</x:v>
      </x:c>
      <x:c r="B344" s="9" t="str">
        <x:v>Subscription Services</x:v>
      </x:c>
      <x:c r="C344" s="107" t="n">
        <x:v>2.36992296</x:v>
      </x:c>
      <x:c r="D344" s="107" t="n">
        <x:v>0.19479167</x:v>
      </x:c>
      <x:c r="E344" s="107" t="n">
        <x:v>0</x:v>
      </x:c>
      <x:c r="F344" s="107" t="n">
        <x:v>3.49121194</x:v>
      </x:c>
      <x:c r="G344" s="107" t="n">
        <x:v>9.45348007</x:v>
      </x:c>
      <x:c r="H344" s="107" t="n">
        <x:v>0</x:v>
      </x:c>
      <x:c r="I344" s="107" t="n">
        <x:v>7.08355711</x:v>
      </x:c>
      <x:c r="J344" s="107" t="n">
        <x:v>3.59234517</x:v>
      </x:c>
      <x:c r="K344" s="107" t="n">
        <x:v>3.3975535000000003</x:v>
      </x:c>
      <x:c r="L344" s="107" t="n">
        <x:v>3.3975535000000003</x:v>
      </x:c>
      <x:c r="M344" s="107" t="n">
        <x:v>3.3975535000000003</x:v>
      </x:c>
      <x:c r="N344" s="108" t="n">
        <x:v>0.7493068222018264</x:v>
      </x:c>
      <x:c r="O344" s="108" t="n">
        <x:v>0.380002405823023</x:v>
      </x:c>
      <x:c r="P344" s="108" t="n">
        <x:v>0.3593971188220848</x:v>
      </x:c>
      <x:c r="Q344" s="9" t="str">
        <x:v>Forecast</x:v>
      </x:c>
      <x:c r="R344" s="9" t="n">
        <x:v>2027</x:v>
      </x:c>
      <x:c r="S344" s="9" t="str">
        <x:v>2027-02</x:v>
      </x:c>
    </x:row>
    <x:row r="345" ht="17" customHeight="1">
      <x:c r="A345" s="9" t="str">
        <x:v>2027-02-01</x:v>
      </x:c>
      <x:c r="B345" s="9" t="str">
        <x:v>Wholesale</x:v>
      </x:c>
      <x:c r="C345" s="107" t="n">
        <x:v>22.406870039999998</x:v>
      </x:c>
      <x:c r="D345" s="107" t="n">
        <x:v>0</x:v>
      </x:c>
      <x:c r="E345" s="107" t="n">
        <x:v>0</x:v>
      </x:c>
      <x:c r="F345" s="107" t="n">
        <x:v>4.9343625</x:v>
      </x:c>
      <x:c r="G345" s="107" t="n">
        <x:v>37.353051060000006</x:v>
      </x:c>
      <x:c r="H345" s="107" t="n">
        <x:v>0</x:v>
      </x:c>
      <x:c r="I345" s="107" t="n">
        <x:v>14.946181020000003</x:v>
      </x:c>
      <x:c r="J345" s="107" t="n">
        <x:v>10.011818520000004</x:v>
      </x:c>
      <x:c r="K345" s="107" t="n">
        <x:v>10.011818520000004</x:v>
      </x:c>
      <x:c r="L345" s="107" t="n">
        <x:v>10.011818520000004</x:v>
      </x:c>
      <x:c r="M345" s="107" t="n">
        <x:v>10.011818520000004</x:v>
      </x:c>
      <x:c r="N345" s="108" t="n">
        <x:v>0.4001328029668054</x:v>
      </x:c>
      <x:c r="O345" s="108" t="n">
        <x:v>0.2680321482686401</x:v>
      </x:c>
      <x:c r="P345" s="108" t="n">
        <x:v>0.2680321482686401</x:v>
      </x:c>
      <x:c r="Q345" s="9" t="str">
        <x:v>Forecast</x:v>
      </x:c>
      <x:c r="R345" s="9" t="n">
        <x:v>2027</x:v>
      </x:c>
      <x:c r="S345" s="9" t="str">
        <x:v>2027-02</x:v>
      </x:c>
    </x:row>
    <x:row r="346" ht="17" customHeight="1">
      <x:c r="A346" s="9" t="str">
        <x:v>2027-03-01</x:v>
      </x:c>
      <x:c r="B346" s="9" t="str">
        <x:v>Digital Commerce</x:v>
      </x:c>
      <x:c r="C346" s="107" t="n">
        <x:v>30.59031581</x:v>
      </x:c>
      <x:c r="D346" s="107" t="n">
        <x:v>0</x:v>
      </x:c>
      <x:c r="E346" s="107" t="n">
        <x:v>0</x:v>
      </x:c>
      <x:c r="F346" s="107" t="n">
        <x:v>11.75601865</x:v>
      </x:c>
      <x:c r="G346" s="107" t="n">
        <x:v>67.1726833</x:v>
      </x:c>
      <x:c r="H346" s="107" t="n">
        <x:v>0</x:v>
      </x:c>
      <x:c r="I346" s="107" t="n">
        <x:v>36.582367489999996</x:v>
      </x:c>
      <x:c r="J346" s="107" t="n">
        <x:v>24.826348839999998</x:v>
      </x:c>
      <x:c r="K346" s="107" t="n">
        <x:v>24.826348839999998</x:v>
      </x:c>
      <x:c r="L346" s="107" t="n">
        <x:v>24.826348839999998</x:v>
      </x:c>
      <x:c r="M346" s="107" t="n">
        <x:v>24.826348839999998</x:v>
      </x:c>
      <x:c r="N346" s="108" t="n">
        <x:v>0.5446018484421628</x:v>
      </x:c>
      <x:c r="O346" s="108" t="n">
        <x:v>0.3695899526467182</x:v>
      </x:c>
      <x:c r="P346" s="108" t="n">
        <x:v>0.3695899526467182</x:v>
      </x:c>
      <x:c r="Q346" s="9" t="str">
        <x:v>Forecast</x:v>
      </x:c>
      <x:c r="R346" s="9" t="n">
        <x:v>2027</x:v>
      </x:c>
      <x:c r="S346" s="9" t="str">
        <x:v>2027-03</x:v>
      </x:c>
    </x:row>
    <x:row r="347" ht="17" customHeight="1">
      <x:c r="A347" s="9" t="str">
        <x:v>2027-03-01</x:v>
      </x:c>
      <x:c r="B347" s="9" t="str">
        <x:v>Retail Stores</x:v>
      </x:c>
      <x:c r="C347" s="107" t="n">
        <x:v>19.655051699999998</x:v>
      </x:c>
      <x:c r="D347" s="107" t="n">
        <x:v>0.24166667</x:v>
      </x:c>
      <x:c r="E347" s="107" t="n">
        <x:v>0</x:v>
      </x:c>
      <x:c r="F347" s="107" t="n">
        <x:v>8.76723314</x:v>
      </x:c>
      <x:c r="G347" s="107" t="n">
        <x:v>38.999637189999994</x:v>
      </x:c>
      <x:c r="H347" s="107" t="n">
        <x:v>0</x:v>
      </x:c>
      <x:c r="I347" s="107" t="n">
        <x:v>19.34458549</x:v>
      </x:c>
      <x:c r="J347" s="107" t="n">
        <x:v>10.577352349999998</x:v>
      </x:c>
      <x:c r="K347" s="107" t="n">
        <x:v>10.335685679999997</x:v>
      </x:c>
      <x:c r="L347" s="107" t="n">
        <x:v>10.335685679999997</x:v>
      </x:c>
      <x:c r="M347" s="107" t="n">
        <x:v>10.335685679999997</x:v>
      </x:c>
      <x:c r="N347" s="108" t="n">
        <x:v>0.4960196269456629</x:v>
      </x:c>
      <x:c r="O347" s="108" t="n">
        <x:v>0.2712166859006618</x:v>
      </x:c>
      <x:c r="P347" s="108" t="n">
        <x:v>0.2650200469723908</x:v>
      </x:c>
      <x:c r="Q347" s="9" t="str">
        <x:v>Forecast</x:v>
      </x:c>
      <x:c r="R347" s="9" t="n">
        <x:v>2027</x:v>
      </x:c>
      <x:c r="S347" s="9" t="str">
        <x:v>2027-03</x:v>
      </x:c>
    </x:row>
    <x:row r="348" ht="17" customHeight="1">
      <x:c r="A348" s="9" t="str">
        <x:v>2027-03-01</x:v>
      </x:c>
      <x:c r="B348" s="9" t="str">
        <x:v>Shared Services</x:v>
      </x:c>
      <x:c r="C348" s="107" t="n">
        <x:v>0</x:v>
      </x:c>
      <x:c r="D348" s="107" t="n">
        <x:v>1.33006944</x:v>
      </x:c>
      <x:c r="E348" s="107" t="n">
        <x:v>0.45303552</x:v>
      </x:c>
      <x:c r="F348" s="107" t="n">
        <x:v>36.2479418</x:v>
      </x:c>
      <x:c r="G348" s="107" t="n">
        <x:v>0</x:v>
      </x:c>
      <x:c r="H348" s="107" t="n">
        <x:v>2.9884243500000003</x:v>
      </x:c>
      <x:c r="I348" s="107" t="n">
        <x:v>0</x:v>
      </x:c>
      <x:c r="J348" s="107" t="n">
        <x:v>-36.2479418</x:v>
      </x:c>
      <x:c r="K348" s="107" t="n">
        <x:v>-37.578011239999995</x:v>
      </x:c>
      <x:c r="L348" s="107" t="n">
        <x:v>-38.031046759999995</x:v>
      </x:c>
      <x:c r="M348" s="107" t="n">
        <x:v>-41.01947111</x:v>
      </x:c>
      <x:c r="N348" s="108"/>
      <x:c r="O348" s="108"/>
      <x:c r="P348" s="108"/>
      <x:c r="Q348" s="9" t="str">
        <x:v>Forecast</x:v>
      </x:c>
      <x:c r="R348" s="9" t="n">
        <x:v>2027</x:v>
      </x:c>
      <x:c r="S348" s="9" t="str">
        <x:v>2027-03</x:v>
      </x:c>
    </x:row>
    <x:row r="349" ht="17" customHeight="1">
      <x:c r="A349" s="9" t="str">
        <x:v>2027-03-01</x:v>
      </x:c>
      <x:c r="B349" s="9" t="str">
        <x:v>Subscription Services</x:v>
      </x:c>
      <x:c r="C349" s="107" t="n">
        <x:v>2.41896287</x:v>
      </x:c>
      <x:c r="D349" s="107" t="n">
        <x:v>0.42083334</x:v>
      </x:c>
      <x:c r="E349" s="107" t="n">
        <x:v>0</x:v>
      </x:c>
      <x:c r="F349" s="107" t="n">
        <x:v>3.5124336499999997</x:v>
      </x:c>
      <x:c r="G349" s="107" t="n">
        <x:v>9.649097320000001</x:v>
      </x:c>
      <x:c r="H349" s="107" t="n">
        <x:v>0</x:v>
      </x:c>
      <x:c r="I349" s="107" t="n">
        <x:v>7.23013445</x:v>
      </x:c>
      <x:c r="J349" s="107" t="n">
        <x:v>3.7177008000000002</x:v>
      </x:c>
      <x:c r="K349" s="107" t="n">
        <x:v>3.2968674600000005</x:v>
      </x:c>
      <x:c r="L349" s="107" t="n">
        <x:v>3.2968674600000005</x:v>
      </x:c>
      <x:c r="M349" s="107" t="n">
        <x:v>3.2968674600000005</x:v>
      </x:c>
      <x:c r="N349" s="108" t="n">
        <x:v>0.7493068222054164</x:v>
      </x:c>
      <x:c r="O349" s="108" t="n">
        <x:v>0.38529000969802635</x:v>
      </x:c>
      <x:c r="P349" s="108" t="n">
        <x:v>0.3416762574429087</x:v>
      </x:c>
      <x:c r="Q349" s="9" t="str">
        <x:v>Forecast</x:v>
      </x:c>
      <x:c r="R349" s="9" t="n">
        <x:v>2027</x:v>
      </x:c>
      <x:c r="S349" s="9" t="str">
        <x:v>2027-03</x:v>
      </x:c>
    </x:row>
    <x:row r="350" ht="17" customHeight="1">
      <x:c r="A350" s="9" t="str">
        <x:v>2027-03-01</x:v>
      </x:c>
      <x:c r="B350" s="9" t="str">
        <x:v>Wholesale</x:v>
      </x:c>
      <x:c r="C350" s="107" t="n">
        <x:v>24.863530469999997</x:v>
      </x:c>
      <x:c r="D350" s="107" t="n">
        <x:v>0</x:v>
      </x:c>
      <x:c r="E350" s="107" t="n">
        <x:v>0</x:v>
      </x:c>
      <x:c r="F350" s="107" t="n">
        <x:v>5.0590189500000005</x:v>
      </x:c>
      <x:c r="G350" s="107" t="n">
        <x:v>41.44839159000001</x:v>
      </x:c>
      <x:c r="H350" s="107" t="n">
        <x:v>0</x:v>
      </x:c>
      <x:c r="I350" s="107" t="n">
        <x:v>16.584861120000006</x:v>
      </x:c>
      <x:c r="J350" s="107" t="n">
        <x:v>11.525842170000006</x:v>
      </x:c>
      <x:c r="K350" s="107" t="n">
        <x:v>11.525842170000006</x:v>
      </x:c>
      <x:c r="L350" s="107" t="n">
        <x:v>11.525842170000006</x:v>
      </x:c>
      <x:c r="M350" s="107" t="n">
        <x:v>11.525842170000006</x:v>
      </x:c>
      <x:c r="N350" s="108" t="n">
        <x:v>0.4001328033197151</x:v>
      </x:c>
      <x:c r="O350" s="108" t="n">
        <x:v>0.2780769464835102</x:v>
      </x:c>
      <x:c r="P350" s="108" t="n">
        <x:v>0.2780769464835102</x:v>
      </x:c>
      <x:c r="Q350" s="9" t="str">
        <x:v>Forecast</x:v>
      </x:c>
      <x:c r="R350" s="9" t="n">
        <x:v>2027</x:v>
      </x:c>
      <x:c r="S350" s="9" t="str">
        <x:v>2027-03</x:v>
      </x:c>
    </x:row>
    <x:row r="351" ht="17" customHeight="1">
      <x:c r="A351" s="9" t="str">
        <x:v>2027-04-01</x:v>
      </x:c>
      <x:c r="B351" s="9" t="str">
        <x:v>Digital Commerce</x:v>
      </x:c>
      <x:c r="C351" s="107" t="n">
        <x:v>31.50105642</x:v>
      </x:c>
      <x:c r="D351" s="107" t="n">
        <x:v>0</x:v>
      </x:c>
      <x:c r="E351" s="107" t="n">
        <x:v>0</x:v>
      </x:c>
      <x:c r="F351" s="107" t="n">
        <x:v>12.83207615</x:v>
      </x:c>
      <x:c r="G351" s="107" t="n">
        <x:v>69.17256101999999</x:v>
      </x:c>
      <x:c r="H351" s="107" t="n">
        <x:v>0</x:v>
      </x:c>
      <x:c r="I351" s="107" t="n">
        <x:v>37.67150459999999</x:v>
      </x:c>
      <x:c r="J351" s="107" t="n">
        <x:v>24.839428449999996</x:v>
      </x:c>
      <x:c r="K351" s="107" t="n">
        <x:v>24.839428449999996</x:v>
      </x:c>
      <x:c r="L351" s="107" t="n">
        <x:v>24.839428449999996</x:v>
      </x:c>
      <x:c r="M351" s="107" t="n">
        <x:v>24.839428449999996</x:v>
      </x:c>
      <x:c r="N351" s="108" t="n">
        <x:v>0.5446018485437883</x:v>
      </x:c>
      <x:c r="O351" s="108" t="n">
        <x:v>0.3590936649406131</x:v>
      </x:c>
      <x:c r="P351" s="108" t="n">
        <x:v>0.3590936649406131</x:v>
      </x:c>
      <x:c r="Q351" s="9" t="str">
        <x:v>Forecast</x:v>
      </x:c>
      <x:c r="R351" s="9" t="n">
        <x:v>2027</x:v>
      </x:c>
      <x:c r="S351" s="9" t="str">
        <x:v>2027-04</x:v>
      </x:c>
    </x:row>
    <x:row r="352" ht="17" customHeight="1">
      <x:c r="A352" s="9" t="str">
        <x:v>2027-04-01</x:v>
      </x:c>
      <x:c r="B352" s="9" t="str">
        <x:v>Retail Stores</x:v>
      </x:c>
      <x:c r="C352" s="107" t="n">
        <x:v>20.450627810000004</x:v>
      </x:c>
      <x:c r="D352" s="107" t="n">
        <x:v>0.24166667</x:v>
      </x:c>
      <x:c r="E352" s="107" t="n">
        <x:v>0</x:v>
      </x:c>
      <x:c r="F352" s="107" t="n">
        <x:v>9.66930884</x:v>
      </x:c>
      <x:c r="G352" s="107" t="n">
        <x:v>40.57822269</x:v>
      </x:c>
      <x:c r="H352" s="107" t="n">
        <x:v>0</x:v>
      </x:c>
      <x:c r="I352" s="107" t="n">
        <x:v>20.127594879999997</x:v>
      </x:c>
      <x:c r="J352" s="107" t="n">
        <x:v>10.458286039999996</x:v>
      </x:c>
      <x:c r="K352" s="107" t="n">
        <x:v>10.216619369999995</x:v>
      </x:c>
      <x:c r="L352" s="107" t="n">
        <x:v>10.216619369999995</x:v>
      </x:c>
      <x:c r="M352" s="107" t="n">
        <x:v>10.216619369999995</x:v>
      </x:c>
      <x:c r="N352" s="108" t="n">
        <x:v>0.49601962692565615</x:v>
      </x:c>
      <x:c r="O352" s="108" t="n">
        <x:v>0.2577314960267422</x:v>
      </x:c>
      <x:c r="P352" s="108" t="n">
        <x:v>0.25177592049929176</x:v>
      </x:c>
      <x:c r="Q352" s="9" t="str">
        <x:v>Forecast</x:v>
      </x:c>
      <x:c r="R352" s="9" t="n">
        <x:v>2027</x:v>
      </x:c>
      <x:c r="S352" s="9" t="str">
        <x:v>2027-04</x:v>
      </x:c>
    </x:row>
    <x:row r="353" ht="17" customHeight="1">
      <x:c r="A353" s="9" t="str">
        <x:v>2027-04-01</x:v>
      </x:c>
      <x:c r="B353" s="9" t="str">
        <x:v>Shared Services</x:v>
      </x:c>
      <x:c r="C353" s="107" t="n">
        <x:v>0</x:v>
      </x:c>
      <x:c r="D353" s="107" t="n">
        <x:v>1.33006944</x:v>
      </x:c>
      <x:c r="E353" s="107" t="n">
        <x:v>0.45303552</x:v>
      </x:c>
      <x:c r="F353" s="107" t="n">
        <x:v>38.162214490000004</x:v>
      </x:c>
      <x:c r="G353" s="107" t="n">
        <x:v>0</x:v>
      </x:c>
      <x:c r="H353" s="107" t="n">
        <x:v>2.46105988</x:v>
      </x:c>
      <x:c r="I353" s="107" t="n">
        <x:v>0</x:v>
      </x:c>
      <x:c r="J353" s="107" t="n">
        <x:v>-38.162214490000004</x:v>
      </x:c>
      <x:c r="K353" s="107" t="n">
        <x:v>-39.49228393</x:v>
      </x:c>
      <x:c r="L353" s="107" t="n">
        <x:v>-39.94531945</x:v>
      </x:c>
      <x:c r="M353" s="107" t="n">
        <x:v>-42.40637933000001</x:v>
      </x:c>
      <x:c r="N353" s="108"/>
      <x:c r="O353" s="108"/>
      <x:c r="P353" s="108"/>
      <x:c r="Q353" s="9" t="str">
        <x:v>Forecast</x:v>
      </x:c>
      <x:c r="R353" s="9" t="n">
        <x:v>2027</x:v>
      </x:c>
      <x:c r="S353" s="9" t="str">
        <x:v>2027-04</x:v>
      </x:c>
    </x:row>
    <x:row r="354" ht="17" customHeight="1">
      <x:c r="A354" s="9" t="str">
        <x:v>2027-04-01</x:v>
      </x:c>
      <x:c r="B354" s="9" t="str">
        <x:v>Subscription Services</x:v>
      </x:c>
      <x:c r="C354" s="107" t="n">
        <x:v>2.5154356799999995</x:v>
      </x:c>
      <x:c r="D354" s="107" t="n">
        <x:v>0.42083334</x:v>
      </x:c>
      <x:c r="E354" s="107" t="n">
        <x:v>0</x:v>
      </x:c>
      <x:c r="F354" s="107" t="n">
        <x:v>3.8151248300000002</x:v>
      </x:c>
      <x:c r="G354" s="107" t="n">
        <x:v>10.03392157</x:v>
      </x:c>
      <x:c r="H354" s="107" t="n">
        <x:v>0</x:v>
      </x:c>
      <x:c r="I354" s="107" t="n">
        <x:v>7.518485890000001</x:v>
      </x:c>
      <x:c r="J354" s="107" t="n">
        <x:v>3.7033610600000006</x:v>
      </x:c>
      <x:c r="K354" s="107" t="n">
        <x:v>3.2825277200000005</x:v>
      </x:c>
      <x:c r="L354" s="107" t="n">
        <x:v>3.2825277200000005</x:v>
      </x:c>
      <x:c r="M354" s="107" t="n">
        <x:v>3.2825277200000005</x:v>
      </x:c>
      <x:c r="N354" s="108" t="n">
        <x:v>0.7493068226165137</x:v>
      </x:c>
      <x:c r="O354" s="108" t="n">
        <x:v>0.36908411473660746</x:v>
      </x:c>
      <x:c r="P354" s="108" t="n">
        <x:v>0.32714305140816446</x:v>
      </x:c>
      <x:c r="Q354" s="9" t="str">
        <x:v>Forecast</x:v>
      </x:c>
      <x:c r="R354" s="9" t="n">
        <x:v>2027</x:v>
      </x:c>
      <x:c r="S354" s="9" t="str">
        <x:v>2027-04</x:v>
      </x:c>
    </x:row>
    <x:row r="355" ht="17" customHeight="1">
      <x:c r="A355" s="9" t="str">
        <x:v>2027-04-01</x:v>
      </x:c>
      <x:c r="B355" s="9" t="str">
        <x:v>Wholesale</x:v>
      </x:c>
      <x:c r="C355" s="107" t="n">
        <x:v>25.551063690000003</x:v>
      </x:c>
      <x:c r="D355" s="107" t="n">
        <x:v>0</x:v>
      </x:c>
      <x:c r="E355" s="107" t="n">
        <x:v>0</x:v>
      </x:c>
      <x:c r="F355" s="107" t="n">
        <x:v>5.59248684</x:v>
      </x:c>
      <x:c r="G355" s="107" t="n">
        <x:v>42.59453396</x:v>
      </x:c>
      <x:c r="H355" s="107" t="n">
        <x:v>0</x:v>
      </x:c>
      <x:c r="I355" s="107" t="n">
        <x:v>17.04347027</x:v>
      </x:c>
      <x:c r="J355" s="107" t="n">
        <x:v>11.450983429999999</x:v>
      </x:c>
      <x:c r="K355" s="107" t="n">
        <x:v>11.450983429999999</x:v>
      </x:c>
      <x:c r="L355" s="107" t="n">
        <x:v>11.450983429999999</x:v>
      </x:c>
      <x:c r="M355" s="107" t="n">
        <x:v>11.450983429999999</x:v>
      </x:c>
      <x:c r="N355" s="108" t="n">
        <x:v>0.4001328030964093</x:v>
      </x:c>
      <x:c r="O355" s="108" t="n">
        <x:v>0.26883692261437764</x:v>
      </x:c>
      <x:c r="P355" s="108" t="n">
        <x:v>0.26883692261437764</x:v>
      </x:c>
      <x:c r="Q355" s="9" t="str">
        <x:v>Forecast</x:v>
      </x:c>
      <x:c r="R355" s="9" t="n">
        <x:v>2027</x:v>
      </x:c>
      <x:c r="S355" s="9" t="str">
        <x:v>2027-04</x:v>
      </x:c>
    </x:row>
    <x:row r="356" ht="17" customHeight="1">
      <x:c r="A356" s="9" t="str">
        <x:v>2027-05-01</x:v>
      </x:c>
      <x:c r="B356" s="9" t="str">
        <x:v>Digital Commerce</x:v>
      </x:c>
      <x:c r="C356" s="107" t="n">
        <x:v>32.36835779</x:v>
      </x:c>
      <x:c r="D356" s="107" t="n">
        <x:v>0</x:v>
      </x:c>
      <x:c r="E356" s="107" t="n">
        <x:v>0</x:v>
      </x:c>
      <x:c r="F356" s="107" t="n">
        <x:v>12.96700093</x:v>
      </x:c>
      <x:c r="G356" s="107" t="n">
        <x:v>71.07705137</x:v>
      </x:c>
      <x:c r="H356" s="107" t="n">
        <x:v>0</x:v>
      </x:c>
      <x:c r="I356" s="107" t="n">
        <x:v>38.70869358000001</x:v>
      </x:c>
      <x:c r="J356" s="107" t="n">
        <x:v>25.741692650000005</x:v>
      </x:c>
      <x:c r="K356" s="107" t="n">
        <x:v>25.741692650000005</x:v>
      </x:c>
      <x:c r="L356" s="107" t="n">
        <x:v>25.741692650000005</x:v>
      </x:c>
      <x:c r="M356" s="107" t="n">
        <x:v>25.741692650000005</x:v>
      </x:c>
      <x:c r="N356" s="108" t="n">
        <x:v>0.5446018487528037</x:v>
      </x:c>
      <x:c r="O356" s="108" t="n">
        <x:v>0.3621660177769415</x:v>
      </x:c>
      <x:c r="P356" s="108" t="n">
        <x:v>0.3621660177769415</x:v>
      </x:c>
      <x:c r="Q356" s="9" t="str">
        <x:v>Forecast</x:v>
      </x:c>
      <x:c r="R356" s="9" t="n">
        <x:v>2027</x:v>
      </x:c>
      <x:c r="S356" s="9" t="str">
        <x:v>2027-05</x:v>
      </x:c>
    </x:row>
    <x:row r="357" ht="17" customHeight="1">
      <x:c r="A357" s="9" t="str">
        <x:v>2027-05-01</x:v>
      </x:c>
      <x:c r="B357" s="9" t="str">
        <x:v>Retail Stores</x:v>
      </x:c>
      <x:c r="C357" s="107" t="n">
        <x:v>21.13062323</x:v>
      </x:c>
      <x:c r="D357" s="107" t="n">
        <x:v>0.24166667</x:v>
      </x:c>
      <x:c r="E357" s="107" t="n">
        <x:v>0</x:v>
      </x:c>
      <x:c r="F357" s="107" t="n">
        <x:v>9.73399118</x:v>
      </x:c>
      <x:c r="G357" s="107" t="n">
        <x:v>41.92747247</x:v>
      </x:c>
      <x:c r="H357" s="107" t="n">
        <x:v>0</x:v>
      </x:c>
      <x:c r="I357" s="107" t="n">
        <x:v>20.796849239999997</x:v>
      </x:c>
      <x:c r="J357" s="107" t="n">
        <x:v>11.062858059999998</x:v>
      </x:c>
      <x:c r="K357" s="107" t="n">
        <x:v>10.82119139</x:v>
      </x:c>
      <x:c r="L357" s="107" t="n">
        <x:v>10.82119139</x:v>
      </x:c>
      <x:c r="M357" s="107" t="n">
        <x:v>10.82119139</x:v>
      </x:c>
      <x:c r="N357" s="108" t="n">
        <x:v>0.4960196266274002</x:v>
      </x:c>
      <x:c r="O357" s="108" t="n">
        <x:v>0.26385702281280393</x:v>
      </x:c>
      <x:c r="P357" s="108" t="n">
        <x:v>0.258093101074547</x:v>
      </x:c>
      <x:c r="Q357" s="9" t="str">
        <x:v>Forecast</x:v>
      </x:c>
      <x:c r="R357" s="9" t="n">
        <x:v>2027</x:v>
      </x:c>
      <x:c r="S357" s="9" t="str">
        <x:v>2027-05</x:v>
      </x:c>
    </x:row>
    <x:row r="358" ht="17" customHeight="1">
      <x:c r="A358" s="9" t="str">
        <x:v>2027-05-01</x:v>
      </x:c>
      <x:c r="B358" s="9" t="str">
        <x:v>Shared Services</x:v>
      </x:c>
      <x:c r="C358" s="107" t="n">
        <x:v>0</x:v>
      </x:c>
      <x:c r="D358" s="107" t="n">
        <x:v>1.33006944</x:v>
      </x:c>
      <x:c r="E358" s="107" t="n">
        <x:v>0.45303552</x:v>
      </x:c>
      <x:c r="F358" s="107" t="n">
        <x:v>38.361588450000006</x:v>
      </x:c>
      <x:c r="G358" s="107" t="n">
        <x:v>0</x:v>
      </x:c>
      <x:c r="H358" s="107" t="n">
        <x:v>2.61179275</x:v>
      </x:c>
      <x:c r="I358" s="107" t="n">
        <x:v>0</x:v>
      </x:c>
      <x:c r="J358" s="107" t="n">
        <x:v>-38.361588450000006</x:v>
      </x:c>
      <x:c r="K358" s="107" t="n">
        <x:v>-39.69165789</x:v>
      </x:c>
      <x:c r="L358" s="107" t="n">
        <x:v>-40.14469341</x:v>
      </x:c>
      <x:c r="M358" s="107" t="n">
        <x:v>-42.75648616</x:v>
      </x:c>
      <x:c r="N358" s="108"/>
      <x:c r="O358" s="108"/>
      <x:c r="P358" s="108"/>
      <x:c r="Q358" s="9" t="str">
        <x:v>Forecast</x:v>
      </x:c>
      <x:c r="R358" s="9" t="n">
        <x:v>2027</x:v>
      </x:c>
      <x:c r="S358" s="9" t="str">
        <x:v>2027-05</x:v>
      </x:c>
    </x:row>
    <x:row r="359" ht="17" customHeight="1">
      <x:c r="A359" s="9" t="str">
        <x:v>2027-05-01</x:v>
      </x:c>
      <x:c r="B359" s="9" t="str">
        <x:v>Subscription Services</x:v>
      </x:c>
      <x:c r="C359" s="107" t="n">
        <x:v>2.57762879</x:v>
      </x:c>
      <x:c r="D359" s="107" t="n">
        <x:v>0.42083334</x:v>
      </x:c>
      <x:c r="E359" s="107" t="n">
        <x:v>0</x:v>
      </x:c>
      <x:c r="F359" s="107" t="n">
        <x:v>3.83984499</x:v>
      </x:c>
      <x:c r="G359" s="107" t="n">
        <x:v>10.28200615</x:v>
      </x:c>
      <x:c r="H359" s="107" t="n">
        <x:v>0</x:v>
      </x:c>
      <x:c r="I359" s="107" t="n">
        <x:v>7.7043773600000005</x:v>
      </x:c>
      <x:c r="J359" s="107" t="n">
        <x:v>3.86453237</x:v>
      </x:c>
      <x:c r="K359" s="107" t="n">
        <x:v>3.4436990300000003</x:v>
      </x:c>
      <x:c r="L359" s="107" t="n">
        <x:v>3.4436990300000003</x:v>
      </x:c>
      <x:c r="M359" s="107" t="n">
        <x:v>3.4436990300000003</x:v>
      </x:c>
      <x:c r="N359" s="108" t="n">
        <x:v>0.7493068227740751</x:v>
      </x:c>
      <x:c r="O359" s="108" t="n">
        <x:v>0.3758539251603151</x:v>
      </x:c>
      <x:c r="P359" s="108" t="n">
        <x:v>0.3349248171768503</x:v>
      </x:c>
      <x:c r="Q359" s="9" t="str">
        <x:v>Forecast</x:v>
      </x:c>
      <x:c r="R359" s="9" t="n">
        <x:v>2027</x:v>
      </x:c>
      <x:c r="S359" s="9" t="str">
        <x:v>2027-05</x:v>
      </x:c>
    </x:row>
    <x:row r="360" ht="17" customHeight="1">
      <x:c r="A360" s="9" t="str">
        <x:v>2027-05-01</x:v>
      </x:c>
      <x:c r="B360" s="9" t="str">
        <x:v>Wholesale</x:v>
      </x:c>
      <x:c r="C360" s="107" t="n">
        <x:v>24.15728961</x:v>
      </x:c>
      <x:c r="D360" s="107" t="n">
        <x:v>0</x:v>
      </x:c>
      <x:c r="E360" s="107" t="n">
        <x:v>0</x:v>
      </x:c>
      <x:c r="F360" s="107" t="n">
        <x:v>5.52849195</x:v>
      </x:c>
      <x:c r="G360" s="107" t="n">
        <x:v>40.27106288</x:v>
      </x:c>
      <x:c r="H360" s="107" t="n">
        <x:v>0</x:v>
      </x:c>
      <x:c r="I360" s="107" t="n">
        <x:v>16.113773270000003</x:v>
      </x:c>
      <x:c r="J360" s="107" t="n">
        <x:v>10.585281320000004</x:v>
      </x:c>
      <x:c r="K360" s="107" t="n">
        <x:v>10.585281320000004</x:v>
      </x:c>
      <x:c r="L360" s="107" t="n">
        <x:v>10.585281320000004</x:v>
      </x:c>
      <x:c r="M360" s="107" t="n">
        <x:v>10.585281320000004</x:v>
      </x:c>
      <x:c r="N360" s="108" t="n">
        <x:v>0.40013280300090265</x:v>
      </x:c>
      <x:c r="O360" s="108" t="n">
        <x:v>0.262850805590657</x:v>
      </x:c>
      <x:c r="P360" s="108" t="n">
        <x:v>0.262850805590657</x:v>
      </x:c>
      <x:c r="Q360" s="9" t="str">
        <x:v>Forecast</x:v>
      </x:c>
      <x:c r="R360" s="9" t="n">
        <x:v>2027</x:v>
      </x:c>
      <x:c r="S360" s="9" t="str">
        <x:v>2027-05</x:v>
      </x:c>
    </x:row>
    <x:row r="361" ht="17" customHeight="1">
      <x:c r="A361" s="9" t="str">
        <x:v>2027-06-01</x:v>
      </x:c>
      <x:c r="B361" s="9" t="str">
        <x:v>Digital Commerce</x:v>
      </x:c>
      <x:c r="C361" s="107" t="n">
        <x:v>33.274783549999995</x:v>
      </x:c>
      <x:c r="D361" s="107" t="n">
        <x:v>0</x:v>
      </x:c>
      <x:c r="E361" s="107" t="n">
        <x:v>0</x:v>
      </x:c>
      <x:c r="F361" s="107" t="n">
        <x:v>13.107693710000001</x:v>
      </x:c>
      <x:c r="G361" s="107" t="n">
        <x:v>73.06745414</x:v>
      </x:c>
      <x:c r="H361" s="107" t="n">
        <x:v>0</x:v>
      </x:c>
      <x:c r="I361" s="107" t="n">
        <x:v>39.79267059</x:v>
      </x:c>
      <x:c r="J361" s="107" t="n">
        <x:v>26.684976880000004</x:v>
      </x:c>
      <x:c r="K361" s="107" t="n">
        <x:v>26.684976880000004</x:v>
      </x:c>
      <x:c r="L361" s="107" t="n">
        <x:v>26.684976880000004</x:v>
      </x:c>
      <x:c r="M361" s="107" t="n">
        <x:v>26.684976880000004</x:v>
      </x:c>
      <x:c r="N361" s="108" t="n">
        <x:v>0.5446018485022859</x:v>
      </x:c>
      <x:c r="O361" s="108" t="n">
        <x:v>0.3652101635958272</x:v>
      </x:c>
      <x:c r="P361" s="108" t="n">
        <x:v>0.3652101635958272</x:v>
      </x:c>
      <x:c r="Q361" s="9" t="str">
        <x:v>Forecast</x:v>
      </x:c>
      <x:c r="R361" s="9" t="n">
        <x:v>2027</x:v>
      </x:c>
      <x:c r="S361" s="9" t="str">
        <x:v>2027-06</x:v>
      </x:c>
    </x:row>
    <x:row r="362" ht="17" customHeight="1">
      <x:c r="A362" s="9" t="str">
        <x:v>2027-06-01</x:v>
      </x:c>
      <x:c r="B362" s="9" t="str">
        <x:v>Retail Stores</x:v>
      </x:c>
      <x:c r="C362" s="107" t="n">
        <x:v>22.30875486</x:v>
      </x:c>
      <x:c r="D362" s="107" t="n">
        <x:v>0.24166667</x:v>
      </x:c>
      <x:c r="E362" s="107" t="n">
        <x:v>0</x:v>
      </x:c>
      <x:c r="F362" s="107" t="n">
        <x:v>9.83565396</x:v>
      </x:c>
      <x:c r="G362" s="107" t="n">
        <x:v>44.26512629</x:v>
      </x:c>
      <x:c r="H362" s="107" t="n">
        <x:v>0</x:v>
      </x:c>
      <x:c r="I362" s="107" t="n">
        <x:v>21.95637143</x:v>
      </x:c>
      <x:c r="J362" s="107" t="n">
        <x:v>12.120717469999999</x:v>
      </x:c>
      <x:c r="K362" s="107" t="n">
        <x:v>11.879050799999998</x:v>
      </x:c>
      <x:c r="L362" s="107" t="n">
        <x:v>11.879050799999998</x:v>
      </x:c>
      <x:c r="M362" s="107" t="n">
        <x:v>11.879050799999998</x:v>
      </x:c>
      <x:c r="N362" s="108" t="n">
        <x:v>0.4960196269667076</x:v>
      </x:c>
      <x:c r="O362" s="108" t="n">
        <x:v>0.2738209169582378</x:v>
      </x:c>
      <x:c r="P362" s="108" t="n">
        <x:v>0.26836138955472977</x:v>
      </x:c>
      <x:c r="Q362" s="9" t="str">
        <x:v>Forecast</x:v>
      </x:c>
      <x:c r="R362" s="9" t="n">
        <x:v>2027</x:v>
      </x:c>
      <x:c r="S362" s="9" t="str">
        <x:v>2027-06</x:v>
      </x:c>
    </x:row>
    <x:row r="363" ht="17" customHeight="1">
      <x:c r="A363" s="9" t="str">
        <x:v>2027-06-01</x:v>
      </x:c>
      <x:c r="B363" s="9" t="str">
        <x:v>Shared Services</x:v>
      </x:c>
      <x:c r="C363" s="107" t="n">
        <x:v>0</x:v>
      </x:c>
      <x:c r="D363" s="107" t="n">
        <x:v>1.16027777</x:v>
      </x:c>
      <x:c r="E363" s="107" t="n">
        <x:v>0.45303552</x:v>
      </x:c>
      <x:c r="F363" s="107" t="n">
        <x:v>38.56255226</x:v>
      </x:c>
      <x:c r="G363" s="107" t="n">
        <x:v>0</x:v>
      </x:c>
      <x:c r="H363" s="107" t="n">
        <x:v>2.93787768</x:v>
      </x:c>
      <x:c r="I363" s="107" t="n">
        <x:v>0</x:v>
      </x:c>
      <x:c r="J363" s="107" t="n">
        <x:v>-38.56255226</x:v>
      </x:c>
      <x:c r="K363" s="107" t="n">
        <x:v>-39.722830030000004</x:v>
      </x:c>
      <x:c r="L363" s="107" t="n">
        <x:v>-40.175865550000005</x:v>
      </x:c>
      <x:c r="M363" s="107" t="n">
        <x:v>-43.113743230000004</x:v>
      </x:c>
      <x:c r="N363" s="108"/>
      <x:c r="O363" s="108"/>
      <x:c r="P363" s="108"/>
      <x:c r="Q363" s="9" t="str">
        <x:v>Forecast</x:v>
      </x:c>
      <x:c r="R363" s="9" t="n">
        <x:v>2027</x:v>
      </x:c>
      <x:c r="S363" s="9" t="str">
        <x:v>2027-06</x:v>
      </x:c>
    </x:row>
    <x:row r="364" ht="17" customHeight="1">
      <x:c r="A364" s="9" t="str">
        <x:v>2027-06-01</x:v>
      </x:c>
      <x:c r="B364" s="9" t="str">
        <x:v>Subscription Services</x:v>
      </x:c>
      <x:c r="C364" s="107" t="n">
        <x:v>2.64811252</x:v>
      </x:c>
      <x:c r="D364" s="107" t="n">
        <x:v>0.42083334</x:v>
      </x:c>
      <x:c r="E364" s="107" t="n">
        <x:v>0</x:v>
      </x:c>
      <x:c r="F364" s="107" t="n">
        <x:v>3.86675291</x:v>
      </x:c>
      <x:c r="G364" s="107" t="n">
        <x:v>10.56316154</x:v>
      </x:c>
      <x:c r="H364" s="107" t="n">
        <x:v>0</x:v>
      </x:c>
      <x:c r="I364" s="107" t="n">
        <x:v>7.91504902</x:v>
      </x:c>
      <x:c r="J364" s="107" t="n">
        <x:v>4.048296109999999</x:v>
      </x:c>
      <x:c r="K364" s="107" t="n">
        <x:v>3.6274627699999997</x:v>
      </x:c>
      <x:c r="L364" s="107" t="n">
        <x:v>3.6274627699999997</x:v>
      </x:c>
      <x:c r="M364" s="107" t="n">
        <x:v>3.6274627699999997</x:v>
      </x:c>
      <x:c r="N364" s="108" t="n">
        <x:v>0.7493068235326826</x:v>
      </x:c>
      <x:c r="O364" s="108" t="n">
        <x:v>0.3832466345109023</x:v>
      </x:c>
      <x:c r="P364" s="108" t="n">
        <x:v>0.34340692000815504</x:v>
      </x:c>
      <x:c r="Q364" s="9" t="str">
        <x:v>Forecast</x:v>
      </x:c>
      <x:c r="R364" s="9" t="n">
        <x:v>2027</x:v>
      </x:c>
      <x:c r="S364" s="9" t="str">
        <x:v>2027-06</x:v>
      </x:c>
    </x:row>
    <x:row r="365" ht="17" customHeight="1">
      <x:c r="A365" s="9" t="str">
        <x:v>2027-06-01</x:v>
      </x:c>
      <x:c r="B365" s="9" t="str">
        <x:v>Wholesale</x:v>
      </x:c>
      <x:c r="C365" s="107" t="n">
        <x:v>22.78995635</x:v>
      </x:c>
      <x:c r="D365" s="107" t="n">
        <x:v>0</x:v>
      </x:c>
      <x:c r="E365" s="107" t="n">
        <x:v>0</x:v>
      </x:c>
      <x:c r="F365" s="107" t="n">
        <x:v>5.465827439999999</x:v>
      </x:c>
      <x:c r="G365" s="107" t="n">
        <x:v>37.991669599999994</x:v>
      </x:c>
      <x:c r="H365" s="107" t="n">
        <x:v>0</x:v>
      </x:c>
      <x:c r="I365" s="107" t="n">
        <x:v>15.201713249999992</x:v>
      </x:c>
      <x:c r="J365" s="107" t="n">
        <x:v>9.735885809999994</x:v>
      </x:c>
      <x:c r="K365" s="107" t="n">
        <x:v>9.735885809999994</x:v>
      </x:c>
      <x:c r="L365" s="107" t="n">
        <x:v>9.735885809999994</x:v>
      </x:c>
      <x:c r="M365" s="107" t="n">
        <x:v>9.735885809999994</x:v>
      </x:c>
      <x:c r="N365" s="108" t="n">
        <x:v>0.400132803060595</x:v>
      </x:c>
      <x:c r="O365" s="108" t="n">
        <x:v>0.25626369971379187</x:v>
      </x:c>
      <x:c r="P365" s="108" t="n">
        <x:v>0.25626369971379187</x:v>
      </x:c>
      <x:c r="Q365" s="9" t="str">
        <x:v>Forecast</x:v>
      </x:c>
      <x:c r="R365" s="9" t="n">
        <x:v>2027</x:v>
      </x:c>
      <x:c r="S365" s="9" t="str">
        <x:v>2027-06</x:v>
      </x:c>
    </x:row>
  </x:sheetData>
  <x:mergeCells>
    <x:mergeCell ref="A1:S2"/>
    <x:mergeCell ref="A3:S3"/>
  </x:mergeCell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27" hidden="0" customWidth="1"/>
    <x:col min="4" max="4" width="13" hidden="0" customWidth="1"/>
    <x:col min="5" max="5" width="13" hidden="0" customWidth="1"/>
    <x:col min="6" max="6" width="13" hidden="0" customWidth="1"/>
    <x:col min="7" max="7" width="20" hidden="0" customWidth="1"/>
    <x:col min="8" max="8" width="20" hidden="0" customWidth="1"/>
  </x:cols>
  <x:sheetData>
    <x:row r="1" ht="25" customHeight="1">
      <x:c r="A1" s="3" t="str">
        <x:v>Headcount Data</x:v>
      </x:c>
      <x:c r="B1" s="3"/>
      <x:c r="C1" s="3"/>
      <x:c r="D1" s="3"/>
      <x:c r="E1" s="3"/>
      <x:c r="F1" s="3"/>
      <x:c r="G1" s="3"/>
      <x:c r="H1" s="3"/>
    </x:row>
    <x:row r="2" ht="25" customHeight="1">
      <x:c r="A2" s="3"/>
      <x:c r="B2" s="3"/>
      <x:c r="C2" s="3"/>
      <x:c r="D2" s="3"/>
      <x:c r="E2" s="3"/>
      <x:c r="F2" s="3"/>
      <x:c r="G2" s="3"/>
      <x:c r="H2" s="3"/>
    </x:row>
    <x:row r="3" ht="25" customHeight="1">
      <x:c r="A3" s="6" t="str">
        <x:v>Monthly FTE, hires, exits and payroll</x:v>
      </x:c>
      <x:c r="B3" s="6"/>
      <x:c r="C3" s="6"/>
      <x:c r="D3" s="6"/>
      <x:c r="E3" s="6"/>
      <x:c r="F3" s="6"/>
      <x:c r="G3" s="6"/>
      <x:c r="H3" s="6"/>
    </x:row>
    <x:row r="5" ht="17" customHeight="1">
      <x:c r="A5" s="13" t="str">
        <x:v>Month</x:v>
      </x:c>
      <x:c r="B5" s="13" t="str">
        <x:v>Version</x:v>
      </x:c>
      <x:c r="C5" s="13" t="str">
        <x:v>Department</x:v>
      </x:c>
      <x:c r="D5" s="13" t="str">
        <x:v>FTE</x:v>
      </x:c>
      <x:c r="E5" s="13" t="str">
        <x:v>Hires</x:v>
      </x:c>
      <x:c r="F5" s="13" t="str">
        <x:v>Exits</x:v>
      </x:c>
      <x:c r="G5" s="13" t="str">
        <x:v>PayrollCostTRY</x:v>
      </x:c>
      <x:c r="H5" s="13" t="str">
        <x:v>BenefitsCostTRY</x:v>
      </x:c>
    </x:row>
    <x:row r="6" ht="17" customHeight="1">
      <x:c r="A6" s="9" t="str">
        <x:v>2023-01-01</x:v>
      </x:c>
      <x:c r="B6" s="9" t="str">
        <x:v>Actual</x:v>
      </x:c>
      <x:c r="C6" s="9" t="str">
        <x:v>Customer Success</x:v>
      </x:c>
      <x:c r="D6" s="278" t="n">
        <x:v>13</x:v>
      </x:c>
      <x:c r="E6" s="278" t="n">
        <x:v>0</x:v>
      </x:c>
      <x:c r="F6" s="278" t="n">
        <x:v>0</x:v>
      </x:c>
      <x:c r="G6" s="107" t="n">
        <x:v>1.0673884599999999</x:v>
      </x:c>
      <x:c r="H6" s="107" t="n">
        <x:v>0.19746687</x:v>
      </x:c>
    </x:row>
    <x:row r="7" ht="17" customHeight="1">
      <x:c r="A7" s="9" t="str">
        <x:v>2023-01-01</x:v>
      </x:c>
      <x:c r="B7" s="9" t="str">
        <x:v>Actual</x:v>
      </x:c>
      <x:c r="C7" s="9" t="str">
        <x:v>Finance &amp; Corporate</x:v>
      </x:c>
      <x:c r="D7" s="278" t="n">
        <x:v>18</x:v>
      </x:c>
      <x:c r="E7" s="278" t="n">
        <x:v>0</x:v>
      </x:c>
      <x:c r="F7" s="278" t="n">
        <x:v>0</x:v>
      </x:c>
      <x:c r="G7" s="107" t="n">
        <x:v>1.58431309</x:v>
      </x:c>
      <x:c r="H7" s="107" t="n">
        <x:v>0.29309791999999996</x:v>
      </x:c>
    </x:row>
    <x:row r="8" ht="17" customHeight="1">
      <x:c r="A8" s="9" t="str">
        <x:v>2023-01-01</x:v>
      </x:c>
      <x:c r="B8" s="9" t="str">
        <x:v>Actual</x:v>
      </x:c>
      <x:c r="C8" s="9" t="str">
        <x:v>Marketing</x:v>
      </x:c>
      <x:c r="D8" s="278" t="n">
        <x:v>15</x:v>
      </x:c>
      <x:c r="E8" s="278" t="n">
        <x:v>0</x:v>
      </x:c>
      <x:c r="F8" s="278" t="n">
        <x:v>0</x:v>
      </x:c>
      <x:c r="G8" s="107" t="n">
        <x:v>1.19878015</x:v>
      </x:c>
      <x:c r="H8" s="107" t="n">
        <x:v>0.22177433</x:v>
      </x:c>
    </x:row>
    <x:row r="9" ht="17" customHeight="1">
      <x:c r="A9" s="9" t="str">
        <x:v>2023-01-01</x:v>
      </x:c>
      <x:c r="B9" s="9" t="str">
        <x:v>Actual</x:v>
      </x:c>
      <x:c r="C9" s="9" t="str">
        <x:v>Operations</x:v>
      </x:c>
      <x:c r="D9" s="278" t="n">
        <x:v>26</x:v>
      </x:c>
      <x:c r="E9" s="278" t="n">
        <x:v>0</x:v>
      </x:c>
      <x:c r="F9" s="278" t="n">
        <x:v>0</x:v>
      </x:c>
      <x:c r="G9" s="107" t="n">
        <x:v>1.7954561599999999</x:v>
      </x:c>
      <x:c r="H9" s="107" t="n">
        <x:v>0.33215939</x:v>
      </x:c>
    </x:row>
    <x:row r="10" ht="17" customHeight="1">
      <x:c r="A10" s="9" t="str">
        <x:v>2023-01-01</x:v>
      </x:c>
      <x:c r="B10" s="9" t="str">
        <x:v>Actual</x:v>
      </x:c>
      <x:c r="C10" s="9" t="str">
        <x:v>Sales</x:v>
      </x:c>
      <x:c r="D10" s="278" t="n">
        <x:v>97</x:v>
      </x:c>
      <x:c r="E10" s="278" t="n">
        <x:v>0</x:v>
      </x:c>
      <x:c r="F10" s="278" t="n">
        <x:v>0</x:v>
      </x:c>
      <x:c r="G10" s="107" t="n">
        <x:v>7.3459644299999995</x:v>
      </x:c>
      <x:c r="H10" s="107" t="n">
        <x:v>1.35900343</x:v>
      </x:c>
    </x:row>
    <x:row r="11" ht="17" customHeight="1">
      <x:c r="A11" s="9" t="str">
        <x:v>2023-01-01</x:v>
      </x:c>
      <x:c r="B11" s="9" t="str">
        <x:v>Actual</x:v>
      </x:c>
      <x:c r="C11" s="9" t="str">
        <x:v>Technology</x:v>
      </x:c>
      <x:c r="D11" s="278" t="n">
        <x:v>23</x:v>
      </x:c>
      <x:c r="E11" s="278" t="n">
        <x:v>0</x:v>
      </x:c>
      <x:c r="F11" s="278" t="n">
        <x:v>0</x:v>
      </x:c>
      <x:c r="G11" s="107" t="n">
        <x:v>2.1435781</x:v>
      </x:c>
      <x:c r="H11" s="107" t="n">
        <x:v>0.39656195</x:v>
      </x:c>
    </x:row>
    <x:row r="12" ht="17" customHeight="1">
      <x:c r="A12" s="9" t="str">
        <x:v>2023-02-01</x:v>
      </x:c>
      <x:c r="B12" s="9" t="str">
        <x:v>Actual</x:v>
      </x:c>
      <x:c r="C12" s="9" t="str">
        <x:v>Customer Success</x:v>
      </x:c>
      <x:c r="D12" s="278" t="n">
        <x:v>13</x:v>
      </x:c>
      <x:c r="E12" s="278" t="n">
        <x:v>0</x:v>
      </x:c>
      <x:c r="F12" s="278" t="n">
        <x:v>0</x:v>
      </x:c>
      <x:c r="G12" s="107" t="n">
        <x:v>1.0358150400000001</x:v>
      </x:c>
      <x:c r="H12" s="107" t="n">
        <x:v>0.19162578</x:v>
      </x:c>
    </x:row>
    <x:row r="13" ht="17" customHeight="1">
      <x:c r="A13" s="9" t="str">
        <x:v>2023-02-01</x:v>
      </x:c>
      <x:c r="B13" s="9" t="str">
        <x:v>Actual</x:v>
      </x:c>
      <x:c r="C13" s="9" t="str">
        <x:v>Finance &amp; Corporate</x:v>
      </x:c>
      <x:c r="D13" s="278" t="n">
        <x:v>18</x:v>
      </x:c>
      <x:c r="E13" s="278" t="n">
        <x:v>0</x:v>
      </x:c>
      <x:c r="F13" s="278" t="n">
        <x:v>0</x:v>
      </x:c>
      <x:c r="G13" s="107" t="n">
        <x:v>1.5866265</x:v>
      </x:c>
      <x:c r="H13" s="107" t="n">
        <x:v>0.2935259</x:v>
      </x:c>
    </x:row>
    <x:row r="14" ht="17" customHeight="1">
      <x:c r="A14" s="9" t="str">
        <x:v>2023-02-01</x:v>
      </x:c>
      <x:c r="B14" s="9" t="str">
        <x:v>Actual</x:v>
      </x:c>
      <x:c r="C14" s="9" t="str">
        <x:v>Marketing</x:v>
      </x:c>
      <x:c r="D14" s="278" t="n">
        <x:v>15</x:v>
      </x:c>
      <x:c r="E14" s="278" t="n">
        <x:v>0</x:v>
      </x:c>
      <x:c r="F14" s="278" t="n">
        <x:v>0</x:v>
      </x:c>
      <x:c r="G14" s="107" t="n">
        <x:v>1.19695419</x:v>
      </x:c>
      <x:c r="H14" s="107" t="n">
        <x:v>0.22143652</x:v>
      </x:c>
    </x:row>
    <x:row r="15" ht="17" customHeight="1">
      <x:c r="A15" s="9" t="str">
        <x:v>2023-02-01</x:v>
      </x:c>
      <x:c r="B15" s="9" t="str">
        <x:v>Actual</x:v>
      </x:c>
      <x:c r="C15" s="9" t="str">
        <x:v>Operations</x:v>
      </x:c>
      <x:c r="D15" s="278" t="n">
        <x:v>26</x:v>
      </x:c>
      <x:c r="E15" s="278" t="n">
        <x:v>0</x:v>
      </x:c>
      <x:c r="F15" s="278" t="n">
        <x:v>0</x:v>
      </x:c>
      <x:c r="G15" s="107" t="n">
        <x:v>1.79430403</x:v>
      </x:c>
      <x:c r="H15" s="107" t="n">
        <x:v>0.33194625</x:v>
      </x:c>
    </x:row>
    <x:row r="16" ht="17" customHeight="1">
      <x:c r="A16" s="9" t="str">
        <x:v>2023-02-01</x:v>
      </x:c>
      <x:c r="B16" s="9" t="str">
        <x:v>Actual</x:v>
      </x:c>
      <x:c r="C16" s="9" t="str">
        <x:v>Sales</x:v>
      </x:c>
      <x:c r="D16" s="278" t="n">
        <x:v>97</x:v>
      </x:c>
      <x:c r="E16" s="278" t="n">
        <x:v>0</x:v>
      </x:c>
      <x:c r="F16" s="278" t="n">
        <x:v>0</x:v>
      </x:c>
      <x:c r="G16" s="107" t="n">
        <x:v>7.319808869999999</x:v>
      </x:c>
      <x:c r="H16" s="107" t="n">
        <x:v>1.3541646399999998</x:v>
      </x:c>
    </x:row>
    <x:row r="17" ht="17" customHeight="1">
      <x:c r="A17" s="9" t="str">
        <x:v>2023-02-01</x:v>
      </x:c>
      <x:c r="B17" s="9" t="str">
        <x:v>Actual</x:v>
      </x:c>
      <x:c r="C17" s="9" t="str">
        <x:v>Technology</x:v>
      </x:c>
      <x:c r="D17" s="278" t="n">
        <x:v>23</x:v>
      </x:c>
      <x:c r="E17" s="278" t="n">
        <x:v>0</x:v>
      </x:c>
      <x:c r="F17" s="278" t="n">
        <x:v>0</x:v>
      </x:c>
      <x:c r="G17" s="107" t="n">
        <x:v>2.2421180499999998</x:v>
      </x:c>
      <x:c r="H17" s="107" t="n">
        <x:v>0.41479184</x:v>
      </x:c>
    </x:row>
    <x:row r="18" ht="17" customHeight="1">
      <x:c r="A18" s="9" t="str">
        <x:v>2023-03-01</x:v>
      </x:c>
      <x:c r="B18" s="9" t="str">
        <x:v>Actual</x:v>
      </x:c>
      <x:c r="C18" s="9" t="str">
        <x:v>Customer Success</x:v>
      </x:c>
      <x:c r="D18" s="278" t="n">
        <x:v>13</x:v>
      </x:c>
      <x:c r="E18" s="278" t="n">
        <x:v>0</x:v>
      </x:c>
      <x:c r="F18" s="278" t="n">
        <x:v>0</x:v>
      </x:c>
      <x:c r="G18" s="107" t="n">
        <x:v>1.0228034</x:v>
      </x:c>
      <x:c r="H18" s="107" t="n">
        <x:v>0.18921863</x:v>
      </x:c>
    </x:row>
    <x:row r="19" ht="17" customHeight="1">
      <x:c r="A19" s="9" t="str">
        <x:v>2023-03-01</x:v>
      </x:c>
      <x:c r="B19" s="9" t="str">
        <x:v>Actual</x:v>
      </x:c>
      <x:c r="C19" s="9" t="str">
        <x:v>Finance &amp; Corporate</x:v>
      </x:c>
      <x:c r="D19" s="278" t="n">
        <x:v>18</x:v>
      </x:c>
      <x:c r="E19" s="278" t="n">
        <x:v>0</x:v>
      </x:c>
      <x:c r="F19" s="278" t="n">
        <x:v>0</x:v>
      </x:c>
      <x:c r="G19" s="107" t="n">
        <x:v>1.55813571</x:v>
      </x:c>
      <x:c r="H19" s="107" t="n">
        <x:v>0.28825511</x:v>
      </x:c>
    </x:row>
    <x:row r="20" ht="17" customHeight="1">
      <x:c r="A20" s="9" t="str">
        <x:v>2023-03-01</x:v>
      </x:c>
      <x:c r="B20" s="9" t="str">
        <x:v>Actual</x:v>
      </x:c>
      <x:c r="C20" s="9" t="str">
        <x:v>Marketing</x:v>
      </x:c>
      <x:c r="D20" s="278" t="n">
        <x:v>15</x:v>
      </x:c>
      <x:c r="E20" s="278" t="n">
        <x:v>0</x:v>
      </x:c>
      <x:c r="F20" s="278" t="n">
        <x:v>0</x:v>
      </x:c>
      <x:c r="G20" s="107" t="n">
        <x:v>1.21729241</x:v>
      </x:c>
      <x:c r="H20" s="107" t="n">
        <x:v>0.2251991</x:v>
      </x:c>
    </x:row>
    <x:row r="21" ht="17" customHeight="1">
      <x:c r="A21" s="9" t="str">
        <x:v>2023-03-01</x:v>
      </x:c>
      <x:c r="B21" s="9" t="str">
        <x:v>Actual</x:v>
      </x:c>
      <x:c r="C21" s="9" t="str">
        <x:v>Operations</x:v>
      </x:c>
      <x:c r="D21" s="278" t="n">
        <x:v>26</x:v>
      </x:c>
      <x:c r="E21" s="278" t="n">
        <x:v>0</x:v>
      </x:c>
      <x:c r="F21" s="278" t="n">
        <x:v>0</x:v>
      </x:c>
      <x:c r="G21" s="107" t="n">
        <x:v>1.7703714099999999</x:v>
      </x:c>
      <x:c r="H21" s="107" t="n">
        <x:v>0.32751871000000005</x:v>
      </x:c>
    </x:row>
    <x:row r="22" ht="17" customHeight="1">
      <x:c r="A22" s="9" t="str">
        <x:v>2023-03-01</x:v>
      </x:c>
      <x:c r="B22" s="9" t="str">
        <x:v>Actual</x:v>
      </x:c>
      <x:c r="C22" s="9" t="str">
        <x:v>Sales</x:v>
      </x:c>
      <x:c r="D22" s="278" t="n">
        <x:v>97</x:v>
      </x:c>
      <x:c r="E22" s="278" t="n">
        <x:v>0</x:v>
      </x:c>
      <x:c r="F22" s="278" t="n">
        <x:v>0</x:v>
      </x:c>
      <x:c r="G22" s="107" t="n">
        <x:v>7.30907022</x:v>
      </x:c>
      <x:c r="H22" s="107" t="n">
        <x:v>1.35217798</x:v>
      </x:c>
    </x:row>
    <x:row r="23" ht="17" customHeight="1">
      <x:c r="A23" s="9" t="str">
        <x:v>2023-03-01</x:v>
      </x:c>
      <x:c r="B23" s="9" t="str">
        <x:v>Actual</x:v>
      </x:c>
      <x:c r="C23" s="9" t="str">
        <x:v>Technology</x:v>
      </x:c>
      <x:c r="D23" s="278" t="n">
        <x:v>23</x:v>
      </x:c>
      <x:c r="E23" s="278" t="n">
        <x:v>0</x:v>
      </x:c>
      <x:c r="F23" s="278" t="n">
        <x:v>0</x:v>
      </x:c>
      <x:c r="G23" s="107" t="n">
        <x:v>2.20463523</x:v>
      </x:c>
      <x:c r="H23" s="107" t="n">
        <x:v>0.40785752000000003</x:v>
      </x:c>
    </x:row>
    <x:row r="24" ht="17" customHeight="1">
      <x:c r="A24" s="9" t="str">
        <x:v>2023-04-01</x:v>
      </x:c>
      <x:c r="B24" s="9" t="str">
        <x:v>Actual</x:v>
      </x:c>
      <x:c r="C24" s="9" t="str">
        <x:v>Customer Success</x:v>
      </x:c>
      <x:c r="D24" s="278" t="n">
        <x:v>13</x:v>
      </x:c>
      <x:c r="E24" s="278" t="n">
        <x:v>0</x:v>
      </x:c>
      <x:c r="F24" s="278" t="n">
        <x:v>0</x:v>
      </x:c>
      <x:c r="G24" s="107" t="n">
        <x:v>1.10460975</x:v>
      </x:c>
      <x:c r="H24" s="107" t="n">
        <x:v>0.2043528</x:v>
      </x:c>
    </x:row>
    <x:row r="25" ht="17" customHeight="1">
      <x:c r="A25" s="9" t="str">
        <x:v>2023-04-01</x:v>
      </x:c>
      <x:c r="B25" s="9" t="str">
        <x:v>Actual</x:v>
      </x:c>
      <x:c r="C25" s="9" t="str">
        <x:v>Finance &amp; Corporate</x:v>
      </x:c>
      <x:c r="D25" s="278" t="n">
        <x:v>18</x:v>
      </x:c>
      <x:c r="E25" s="278" t="n">
        <x:v>0</x:v>
      </x:c>
      <x:c r="F25" s="278" t="n">
        <x:v>0</x:v>
      </x:c>
      <x:c r="G25" s="107" t="n">
        <x:v>1.6702287900000001</x:v>
      </x:c>
      <x:c r="H25" s="107" t="n">
        <x:v>0.30899233000000004</x:v>
      </x:c>
    </x:row>
    <x:row r="26" ht="17" customHeight="1">
      <x:c r="A26" s="9" t="str">
        <x:v>2023-04-01</x:v>
      </x:c>
      <x:c r="B26" s="9" t="str">
        <x:v>Actual</x:v>
      </x:c>
      <x:c r="C26" s="9" t="str">
        <x:v>Marketing</x:v>
      </x:c>
      <x:c r="D26" s="278" t="n">
        <x:v>15</x:v>
      </x:c>
      <x:c r="E26" s="278" t="n">
        <x:v>0</x:v>
      </x:c>
      <x:c r="F26" s="278" t="n">
        <x:v>0</x:v>
      </x:c>
      <x:c r="G26" s="107" t="n">
        <x:v>1.28766742</x:v>
      </x:c>
      <x:c r="H26" s="107" t="n">
        <x:v>0.23821847</x:v>
      </x:c>
    </x:row>
    <x:row r="27" ht="17" customHeight="1">
      <x:c r="A27" s="9" t="str">
        <x:v>2023-04-01</x:v>
      </x:c>
      <x:c r="B27" s="9" t="str">
        <x:v>Actual</x:v>
      </x:c>
      <x:c r="C27" s="9" t="str">
        <x:v>Operations</x:v>
      </x:c>
      <x:c r="D27" s="278" t="n">
        <x:v>26</x:v>
      </x:c>
      <x:c r="E27" s="278" t="n">
        <x:v>0</x:v>
      </x:c>
      <x:c r="F27" s="278" t="n">
        <x:v>0</x:v>
      </x:c>
      <x:c r="G27" s="107" t="n">
        <x:v>1.9055661799999999</x:v>
      </x:c>
      <x:c r="H27" s="107" t="n">
        <x:v>0.35252974</x:v>
      </x:c>
    </x:row>
    <x:row r="28" ht="17" customHeight="1">
      <x:c r="A28" s="9" t="str">
        <x:v>2023-04-01</x:v>
      </x:c>
      <x:c r="B28" s="9" t="str">
        <x:v>Actual</x:v>
      </x:c>
      <x:c r="C28" s="9" t="str">
        <x:v>Sales</x:v>
      </x:c>
      <x:c r="D28" s="278" t="n">
        <x:v>96</x:v>
      </x:c>
      <x:c r="E28" s="278" t="n">
        <x:v>0</x:v>
      </x:c>
      <x:c r="F28" s="278" t="n">
        <x:v>1</x:v>
      </x:c>
      <x:c r="G28" s="107" t="n">
        <x:v>7.67336954</x:v>
      </x:c>
      <x:c r="H28" s="107" t="n">
        <x:v>1.41957336</x:v>
      </x:c>
    </x:row>
    <x:row r="29" ht="17" customHeight="1">
      <x:c r="A29" s="9" t="str">
        <x:v>2023-04-01</x:v>
      </x:c>
      <x:c r="B29" s="9" t="str">
        <x:v>Actual</x:v>
      </x:c>
      <x:c r="C29" s="9" t="str">
        <x:v>Technology</x:v>
      </x:c>
      <x:c r="D29" s="278" t="n">
        <x:v>23</x:v>
      </x:c>
      <x:c r="E29" s="278" t="n">
        <x:v>0</x:v>
      </x:c>
      <x:c r="F29" s="278" t="n">
        <x:v>0</x:v>
      </x:c>
      <x:c r="G29" s="107" t="n">
        <x:v>2.3756877999999997</x:v>
      </x:c>
      <x:c r="H29" s="107" t="n">
        <x:v>0.43950224</x:v>
      </x:c>
    </x:row>
    <x:row r="30" ht="17" customHeight="1">
      <x:c r="A30" s="9" t="str">
        <x:v>2023-05-01</x:v>
      </x:c>
      <x:c r="B30" s="9" t="str">
        <x:v>Actual</x:v>
      </x:c>
      <x:c r="C30" s="9" t="str">
        <x:v>Customer Success</x:v>
      </x:c>
      <x:c r="D30" s="278" t="n">
        <x:v>13</x:v>
      </x:c>
      <x:c r="E30" s="278" t="n">
        <x:v>0</x:v>
      </x:c>
      <x:c r="F30" s="278" t="n">
        <x:v>0</x:v>
      </x:c>
      <x:c r="G30" s="107" t="n">
        <x:v>1.09076996</x:v>
      </x:c>
      <x:c r="H30" s="107" t="n">
        <x:v>0.20179244</x:v>
      </x:c>
    </x:row>
    <x:row r="31" ht="17" customHeight="1">
      <x:c r="A31" s="9" t="str">
        <x:v>2023-05-01</x:v>
      </x:c>
      <x:c r="B31" s="9" t="str">
        <x:v>Actual</x:v>
      </x:c>
      <x:c r="C31" s="9" t="str">
        <x:v>Finance &amp; Corporate</x:v>
      </x:c>
      <x:c r="D31" s="278" t="n">
        <x:v>18</x:v>
      </x:c>
      <x:c r="E31" s="278" t="n">
        <x:v>0</x:v>
      </x:c>
      <x:c r="F31" s="278" t="n">
        <x:v>0</x:v>
      </x:c>
      <x:c r="G31" s="107" t="n">
        <x:v>1.7003863000000001</x:v>
      </x:c>
      <x:c r="H31" s="107" t="n">
        <x:v>0.31457146999999996</x:v>
      </x:c>
    </x:row>
    <x:row r="32" ht="17" customHeight="1">
      <x:c r="A32" s="9" t="str">
        <x:v>2023-05-01</x:v>
      </x:c>
      <x:c r="B32" s="9" t="str">
        <x:v>Actual</x:v>
      </x:c>
      <x:c r="C32" s="9" t="str">
        <x:v>Marketing</x:v>
      </x:c>
      <x:c r="D32" s="278" t="n">
        <x:v>15</x:v>
      </x:c>
      <x:c r="E32" s="278" t="n">
        <x:v>0</x:v>
      </x:c>
      <x:c r="F32" s="278" t="n">
        <x:v>0</x:v>
      </x:c>
      <x:c r="G32" s="107" t="n">
        <x:v>1.28050617</x:v>
      </x:c>
      <x:c r="H32" s="107" t="n">
        <x:v>0.23689364000000002</x:v>
      </x:c>
    </x:row>
    <x:row r="33" ht="17" customHeight="1">
      <x:c r="A33" s="9" t="str">
        <x:v>2023-05-01</x:v>
      </x:c>
      <x:c r="B33" s="9" t="str">
        <x:v>Actual</x:v>
      </x:c>
      <x:c r="C33" s="9" t="str">
        <x:v>Operations</x:v>
      </x:c>
      <x:c r="D33" s="278" t="n">
        <x:v>26</x:v>
      </x:c>
      <x:c r="E33" s="278" t="n">
        <x:v>0</x:v>
      </x:c>
      <x:c r="F33" s="278" t="n">
        <x:v>0</x:v>
      </x:c>
      <x:c r="G33" s="107" t="n">
        <x:v>1.9115564299999999</x:v>
      </x:c>
      <x:c r="H33" s="107" t="n">
        <x:v>0.35363794</x:v>
      </x:c>
    </x:row>
    <x:row r="34" ht="17" customHeight="1">
      <x:c r="A34" s="9" t="str">
        <x:v>2023-05-01</x:v>
      </x:c>
      <x:c r="B34" s="9" t="str">
        <x:v>Actual</x:v>
      </x:c>
      <x:c r="C34" s="9" t="str">
        <x:v>Sales</x:v>
      </x:c>
      <x:c r="D34" s="278" t="n">
        <x:v>95</x:v>
      </x:c>
      <x:c r="E34" s="278" t="n">
        <x:v>0</x:v>
      </x:c>
      <x:c r="F34" s="278" t="n">
        <x:v>1</x:v>
      </x:c>
      <x:c r="G34" s="107" t="n">
        <x:v>7.61725545</x:v>
      </x:c>
      <x:c r="H34" s="107" t="n">
        <x:v>1.40919226</x:v>
      </x:c>
    </x:row>
    <x:row r="35" ht="17" customHeight="1">
      <x:c r="A35" s="9" t="str">
        <x:v>2023-05-01</x:v>
      </x:c>
      <x:c r="B35" s="9" t="str">
        <x:v>Actual</x:v>
      </x:c>
      <x:c r="C35" s="9" t="str">
        <x:v>Technology</x:v>
      </x:c>
      <x:c r="D35" s="278" t="n">
        <x:v>23</x:v>
      </x:c>
      <x:c r="E35" s="278" t="n">
        <x:v>0</x:v>
      </x:c>
      <x:c r="F35" s="278" t="n">
        <x:v>0</x:v>
      </x:c>
      <x:c r="G35" s="107" t="n">
        <x:v>2.40634604</x:v>
      </x:c>
      <x:c r="H35" s="107" t="n">
        <x:v>0.44517402</x:v>
      </x:c>
    </x:row>
    <x:row r="36" ht="17" customHeight="1">
      <x:c r="A36" s="9" t="str">
        <x:v>2023-06-01</x:v>
      </x:c>
      <x:c r="B36" s="9" t="str">
        <x:v>Actual</x:v>
      </x:c>
      <x:c r="C36" s="9" t="str">
        <x:v>Customer Success</x:v>
      </x:c>
      <x:c r="D36" s="278" t="n">
        <x:v>14</x:v>
      </x:c>
      <x:c r="E36" s="278" t="n">
        <x:v>1</x:v>
      </x:c>
      <x:c r="F36" s="278" t="n">
        <x:v>0</x:v>
      </x:c>
      <x:c r="G36" s="107" t="n">
        <x:v>1.19291621</x:v>
      </x:c>
      <x:c r="H36" s="107" t="n">
        <x:v>0.2206895</x:v>
      </x:c>
    </x:row>
    <x:row r="37" ht="17" customHeight="1">
      <x:c r="A37" s="9" t="str">
        <x:v>2023-06-01</x:v>
      </x:c>
      <x:c r="B37" s="9" t="str">
        <x:v>Actual</x:v>
      </x:c>
      <x:c r="C37" s="9" t="str">
        <x:v>Finance &amp; Corporate</x:v>
      </x:c>
      <x:c r="D37" s="278" t="n">
        <x:v>18</x:v>
      </x:c>
      <x:c r="E37" s="278" t="n">
        <x:v>0</x:v>
      </x:c>
      <x:c r="F37" s="278" t="n">
        <x:v>0</x:v>
      </x:c>
      <x:c r="G37" s="107" t="n">
        <x:v>1.69247751</x:v>
      </x:c>
      <x:c r="H37" s="107" t="n">
        <x:v>0.31310834000000004</x:v>
      </x:c>
    </x:row>
    <x:row r="38" ht="17" customHeight="1">
      <x:c r="A38" s="9" t="str">
        <x:v>2023-06-01</x:v>
      </x:c>
      <x:c r="B38" s="9" t="str">
        <x:v>Actual</x:v>
      </x:c>
      <x:c r="C38" s="9" t="str">
        <x:v>Marketing</x:v>
      </x:c>
      <x:c r="D38" s="278" t="n">
        <x:v>15</x:v>
      </x:c>
      <x:c r="E38" s="278" t="n">
        <x:v>0</x:v>
      </x:c>
      <x:c r="F38" s="278" t="n">
        <x:v>0</x:v>
      </x:c>
      <x:c r="G38" s="107" t="n">
        <x:v>1.28215039</x:v>
      </x:c>
      <x:c r="H38" s="107" t="n">
        <x:v>0.23719782</x:v>
      </x:c>
    </x:row>
    <x:row r="39" ht="17" customHeight="1">
      <x:c r="A39" s="9" t="str">
        <x:v>2023-06-01</x:v>
      </x:c>
      <x:c r="B39" s="9" t="str">
        <x:v>Actual</x:v>
      </x:c>
      <x:c r="C39" s="9" t="str">
        <x:v>Operations</x:v>
      </x:c>
      <x:c r="D39" s="278" t="n">
        <x:v>26</x:v>
      </x:c>
      <x:c r="E39" s="278" t="n">
        <x:v>0</x:v>
      </x:c>
      <x:c r="F39" s="278" t="n">
        <x:v>0</x:v>
      </x:c>
      <x:c r="G39" s="107" t="n">
        <x:v>1.8936431999999999</x:v>
      </x:c>
      <x:c r="H39" s="107" t="n">
        <x:v>0.35032399</x:v>
      </x:c>
    </x:row>
    <x:row r="40" ht="17" customHeight="1">
      <x:c r="A40" s="9" t="str">
        <x:v>2023-06-01</x:v>
      </x:c>
      <x:c r="B40" s="9" t="str">
        <x:v>Actual</x:v>
      </x:c>
      <x:c r="C40" s="9" t="str">
        <x:v>Sales</x:v>
      </x:c>
      <x:c r="D40" s="278" t="n">
        <x:v>96</x:v>
      </x:c>
      <x:c r="E40" s="278" t="n">
        <x:v>1</x:v>
      </x:c>
      <x:c r="F40" s="278" t="n">
        <x:v>0</x:v>
      </x:c>
      <x:c r="G40" s="107" t="n">
        <x:v>7.68801722</x:v>
      </x:c>
      <x:c r="H40" s="107" t="n">
        <x:v>1.42228319</x:v>
      </x:c>
    </x:row>
    <x:row r="41" ht="17" customHeight="1">
      <x:c r="A41" s="9" t="str">
        <x:v>2023-06-01</x:v>
      </x:c>
      <x:c r="B41" s="9" t="str">
        <x:v>Actual</x:v>
      </x:c>
      <x:c r="C41" s="9" t="str">
        <x:v>Technology</x:v>
      </x:c>
      <x:c r="D41" s="278" t="n">
        <x:v>23</x:v>
      </x:c>
      <x:c r="E41" s="278" t="n">
        <x:v>0</x:v>
      </x:c>
      <x:c r="F41" s="278" t="n">
        <x:v>0</x:v>
      </x:c>
      <x:c r="G41" s="107" t="n">
        <x:v>2.31548197</x:v>
      </x:c>
      <x:c r="H41" s="107" t="n">
        <x:v>0.42836416</x:v>
      </x:c>
    </x:row>
    <x:row r="42" ht="17" customHeight="1">
      <x:c r="A42" s="9" t="str">
        <x:v>2023-07-01</x:v>
      </x:c>
      <x:c r="B42" s="9" t="str">
        <x:v>Actual</x:v>
      </x:c>
      <x:c r="C42" s="9" t="str">
        <x:v>Customer Success</x:v>
      </x:c>
      <x:c r="D42" s="278" t="n">
        <x:v>14</x:v>
      </x:c>
      <x:c r="E42" s="278" t="n">
        <x:v>0</x:v>
      </x:c>
      <x:c r="F42" s="278" t="n">
        <x:v>0</x:v>
      </x:c>
      <x:c r="G42" s="107" t="n">
        <x:v>1.1837811999999999</x:v>
      </x:c>
      <x:c r="H42" s="107" t="n">
        <x:v>0.21899952</x:v>
      </x:c>
    </x:row>
    <x:row r="43" ht="17" customHeight="1">
      <x:c r="A43" s="9" t="str">
        <x:v>2023-07-01</x:v>
      </x:c>
      <x:c r="B43" s="9" t="str">
        <x:v>Actual</x:v>
      </x:c>
      <x:c r="C43" s="9" t="str">
        <x:v>Finance &amp; Corporate</x:v>
      </x:c>
      <x:c r="D43" s="278" t="n">
        <x:v>18</x:v>
      </x:c>
      <x:c r="E43" s="278" t="n">
        <x:v>0</x:v>
      </x:c>
      <x:c r="F43" s="278" t="n">
        <x:v>0</x:v>
      </x:c>
      <x:c r="G43" s="107" t="n">
        <x:v>1.6909018999999998</x:v>
      </x:c>
      <x:c r="H43" s="107" t="n">
        <x:v>0.31281685</x:v>
      </x:c>
    </x:row>
    <x:row r="44" ht="17" customHeight="1">
      <x:c r="A44" s="9" t="str">
        <x:v>2023-07-01</x:v>
      </x:c>
      <x:c r="B44" s="9" t="str">
        <x:v>Actual</x:v>
      </x:c>
      <x:c r="C44" s="9" t="str">
        <x:v>Marketing</x:v>
      </x:c>
      <x:c r="D44" s="278" t="n">
        <x:v>16</x:v>
      </x:c>
      <x:c r="E44" s="278" t="n">
        <x:v>1</x:v>
      </x:c>
      <x:c r="F44" s="278" t="n">
        <x:v>0</x:v>
      </x:c>
      <x:c r="G44" s="107" t="n">
        <x:v>1.37278244</x:v>
      </x:c>
      <x:c r="H44" s="107" t="n">
        <x:v>0.25396475</x:v>
      </x:c>
    </x:row>
    <x:row r="45" ht="17" customHeight="1">
      <x:c r="A45" s="9" t="str">
        <x:v>2023-07-01</x:v>
      </x:c>
      <x:c r="B45" s="9" t="str">
        <x:v>Actual</x:v>
      </x:c>
      <x:c r="C45" s="9" t="str">
        <x:v>Operations</x:v>
      </x:c>
      <x:c r="D45" s="278" t="n">
        <x:v>27</x:v>
      </x:c>
      <x:c r="E45" s="278" t="n">
        <x:v>1</x:v>
      </x:c>
      <x:c r="F45" s="278" t="n">
        <x:v>0</x:v>
      </x:c>
      <x:c r="G45" s="107" t="n">
        <x:v>1.9791583799999999</x:v>
      </x:c>
      <x:c r="H45" s="107" t="n">
        <x:v>0.3661443</x:v>
      </x:c>
    </x:row>
    <x:row r="46" ht="17" customHeight="1">
      <x:c r="A46" s="9" t="str">
        <x:v>2023-07-01</x:v>
      </x:c>
      <x:c r="B46" s="9" t="str">
        <x:v>Actual</x:v>
      </x:c>
      <x:c r="C46" s="9" t="str">
        <x:v>Sales</x:v>
      </x:c>
      <x:c r="D46" s="278" t="n">
        <x:v>99</x:v>
      </x:c>
      <x:c r="E46" s="278" t="n">
        <x:v>3</x:v>
      </x:c>
      <x:c r="F46" s="278" t="n">
        <x:v>0</x:v>
      </x:c>
      <x:c r="G46" s="107" t="n">
        <x:v>7.9220805</x:v>
      </x:c>
      <x:c r="H46" s="107" t="n">
        <x:v>1.4655848999999999</x:v>
      </x:c>
    </x:row>
    <x:row r="47" ht="17" customHeight="1">
      <x:c r="A47" s="9" t="str">
        <x:v>2023-07-01</x:v>
      </x:c>
      <x:c r="B47" s="9" t="str">
        <x:v>Actual</x:v>
      </x:c>
      <x:c r="C47" s="9" t="str">
        <x:v>Technology</x:v>
      </x:c>
      <x:c r="D47" s="278" t="n">
        <x:v>24</x:v>
      </x:c>
      <x:c r="E47" s="278" t="n">
        <x:v>1</x:v>
      </x:c>
      <x:c r="F47" s="278" t="n">
        <x:v>0</x:v>
      </x:c>
      <x:c r="G47" s="107" t="n">
        <x:v>2.4107681899999998</x:v>
      </x:c>
      <x:c r="H47" s="107" t="n">
        <x:v>0.44599212</x:v>
      </x:c>
    </x:row>
    <x:row r="48" ht="17" customHeight="1">
      <x:c r="A48" s="9" t="str">
        <x:v>2023-08-01</x:v>
      </x:c>
      <x:c r="B48" s="9" t="str">
        <x:v>Actual</x:v>
      </x:c>
      <x:c r="C48" s="9" t="str">
        <x:v>Customer Success</x:v>
      </x:c>
      <x:c r="D48" s="278" t="n">
        <x:v>14</x:v>
      </x:c>
      <x:c r="E48" s="278" t="n">
        <x:v>0</x:v>
      </x:c>
      <x:c r="F48" s="278" t="n">
        <x:v>0</x:v>
      </x:c>
      <x:c r="G48" s="107" t="n">
        <x:v>1.17681081</x:v>
      </x:c>
      <x:c r="H48" s="107" t="n">
        <x:v>0.21771</x:v>
      </x:c>
    </x:row>
    <x:row r="49" ht="17" customHeight="1">
      <x:c r="A49" s="9" t="str">
        <x:v>2023-08-01</x:v>
      </x:c>
      <x:c r="B49" s="9" t="str">
        <x:v>Actual</x:v>
      </x:c>
      <x:c r="C49" s="9" t="str">
        <x:v>Finance &amp; Corporate</x:v>
      </x:c>
      <x:c r="D49" s="278" t="n">
        <x:v>18</x:v>
      </x:c>
      <x:c r="E49" s="278" t="n">
        <x:v>0</x:v>
      </x:c>
      <x:c r="F49" s="278" t="n">
        <x:v>0</x:v>
      </x:c>
      <x:c r="G49" s="107" t="n">
        <x:v>1.7121490400000001</x:v>
      </x:c>
      <x:c r="H49" s="107" t="n">
        <x:v>0.31674757000000003</x:v>
      </x:c>
    </x:row>
    <x:row r="50" ht="17" customHeight="1">
      <x:c r="A50" s="9" t="str">
        <x:v>2023-08-01</x:v>
      </x:c>
      <x:c r="B50" s="9" t="str">
        <x:v>Actual</x:v>
      </x:c>
      <x:c r="C50" s="9" t="str">
        <x:v>Marketing</x:v>
      </x:c>
      <x:c r="D50" s="278" t="n">
        <x:v>16</x:v>
      </x:c>
      <x:c r="E50" s="278" t="n">
        <x:v>0</x:v>
      </x:c>
      <x:c r="F50" s="278" t="n">
        <x:v>0</x:v>
      </x:c>
      <x:c r="G50" s="107" t="n">
        <x:v>1.37951652</x:v>
      </x:c>
      <x:c r="H50" s="107" t="n">
        <x:v>0.25521056</x:v>
      </x:c>
    </x:row>
    <x:row r="51" ht="17" customHeight="1">
      <x:c r="A51" s="9" t="str">
        <x:v>2023-08-01</x:v>
      </x:c>
      <x:c r="B51" s="9" t="str">
        <x:v>Actual</x:v>
      </x:c>
      <x:c r="C51" s="9" t="str">
        <x:v>Operations</x:v>
      </x:c>
      <x:c r="D51" s="278" t="n">
        <x:v>27</x:v>
      </x:c>
      <x:c r="E51" s="278" t="n">
        <x:v>0</x:v>
      </x:c>
      <x:c r="F51" s="278" t="n">
        <x:v>0</x:v>
      </x:c>
      <x:c r="G51" s="107" t="n">
        <x:v>1.93773072</x:v>
      </x:c>
      <x:c r="H51" s="107" t="n">
        <x:v>0.35848018</x:v>
      </x:c>
    </x:row>
    <x:row r="52" ht="17" customHeight="1">
      <x:c r="A52" s="9" t="str">
        <x:v>2023-08-01</x:v>
      </x:c>
      <x:c r="B52" s="9" t="str">
        <x:v>Actual</x:v>
      </x:c>
      <x:c r="C52" s="9" t="str">
        <x:v>Sales</x:v>
      </x:c>
      <x:c r="D52" s="278" t="n">
        <x:v>98</x:v>
      </x:c>
      <x:c r="E52" s="278" t="n">
        <x:v>0</x:v>
      </x:c>
      <x:c r="F52" s="278" t="n">
        <x:v>1</x:v>
      </x:c>
      <x:c r="G52" s="107" t="n">
        <x:v>7.97467112</x:v>
      </x:c>
      <x:c r="H52" s="107" t="n">
        <x:v>1.47531416</x:v>
      </x:c>
    </x:row>
    <x:row r="53" ht="17" customHeight="1">
      <x:c r="A53" s="9" t="str">
        <x:v>2023-08-01</x:v>
      </x:c>
      <x:c r="B53" s="9" t="str">
        <x:v>Actual</x:v>
      </x:c>
      <x:c r="C53" s="9" t="str">
        <x:v>Technology</x:v>
      </x:c>
      <x:c r="D53" s="278" t="n">
        <x:v>24</x:v>
      </x:c>
      <x:c r="E53" s="278" t="n">
        <x:v>0</x:v>
      </x:c>
      <x:c r="F53" s="278" t="n">
        <x:v>0</x:v>
      </x:c>
      <x:c r="G53" s="107" t="n">
        <x:v>2.4536232200000003</x:v>
      </x:c>
      <x:c r="H53" s="107" t="n">
        <x:v>0.45392029</x:v>
      </x:c>
    </x:row>
    <x:row r="54" ht="17" customHeight="1">
      <x:c r="A54" s="9" t="str">
        <x:v>2023-09-01</x:v>
      </x:c>
      <x:c r="B54" s="9" t="str">
        <x:v>Actual</x:v>
      </x:c>
      <x:c r="C54" s="9" t="str">
        <x:v>Customer Success</x:v>
      </x:c>
      <x:c r="D54" s="278" t="n">
        <x:v>14</x:v>
      </x:c>
      <x:c r="E54" s="278" t="n">
        <x:v>0</x:v>
      </x:c>
      <x:c r="F54" s="278" t="n">
        <x:v>0</x:v>
      </x:c>
      <x:c r="G54" s="107" t="n">
        <x:v>1.14608866</x:v>
      </x:c>
      <x:c r="H54" s="107" t="n">
        <x:v>0.2120264</x:v>
      </x:c>
    </x:row>
    <x:row r="55" ht="17" customHeight="1">
      <x:c r="A55" s="9" t="str">
        <x:v>2023-09-01</x:v>
      </x:c>
      <x:c r="B55" s="9" t="str">
        <x:v>Actual</x:v>
      </x:c>
      <x:c r="C55" s="9" t="str">
        <x:v>Finance &amp; Corporate</x:v>
      </x:c>
      <x:c r="D55" s="278" t="n">
        <x:v>18</x:v>
      </x:c>
      <x:c r="E55" s="278" t="n">
        <x:v>0</x:v>
      </x:c>
      <x:c r="F55" s="278" t="n">
        <x:v>0</x:v>
      </x:c>
      <x:c r="G55" s="107" t="n">
        <x:v>1.64833902</x:v>
      </x:c>
      <x:c r="H55" s="107" t="n">
        <x:v>0.30494271999999994</x:v>
      </x:c>
    </x:row>
    <x:row r="56" ht="17" customHeight="1">
      <x:c r="A56" s="9" t="str">
        <x:v>2023-09-01</x:v>
      </x:c>
      <x:c r="B56" s="9" t="str">
        <x:v>Actual</x:v>
      </x:c>
      <x:c r="C56" s="9" t="str">
        <x:v>Marketing</x:v>
      </x:c>
      <x:c r="D56" s="278" t="n">
        <x:v>16</x:v>
      </x:c>
      <x:c r="E56" s="278" t="n">
        <x:v>0</x:v>
      </x:c>
      <x:c r="F56" s="278" t="n">
        <x:v>0</x:v>
      </x:c>
      <x:c r="G56" s="107" t="n">
        <x:v>1.38283297</x:v>
      </x:c>
      <x:c r="H56" s="107" t="n">
        <x:v>0.2558241</x:v>
      </x:c>
    </x:row>
    <x:row r="57" ht="17" customHeight="1">
      <x:c r="A57" s="9" t="str">
        <x:v>2023-09-01</x:v>
      </x:c>
      <x:c r="B57" s="9" t="str">
        <x:v>Actual</x:v>
      </x:c>
      <x:c r="C57" s="9" t="str">
        <x:v>Operations</x:v>
      </x:c>
      <x:c r="D57" s="278" t="n">
        <x:v>28</x:v>
      </x:c>
      <x:c r="E57" s="278" t="n">
        <x:v>1</x:v>
      </x:c>
      <x:c r="F57" s="278" t="n">
        <x:v>0</x:v>
      </x:c>
      <x:c r="G57" s="107" t="n">
        <x:v>2.05954675</x:v>
      </x:c>
      <x:c r="H57" s="107" t="n">
        <x:v>0.38101615</x:v>
      </x:c>
    </x:row>
    <x:row r="58" ht="17" customHeight="1">
      <x:c r="A58" s="9" t="str">
        <x:v>2023-09-01</x:v>
      </x:c>
      <x:c r="B58" s="9" t="str">
        <x:v>Actual</x:v>
      </x:c>
      <x:c r="C58" s="9" t="str">
        <x:v>Sales</x:v>
      </x:c>
      <x:c r="D58" s="278" t="n">
        <x:v>97</x:v>
      </x:c>
      <x:c r="E58" s="278" t="n">
        <x:v>1</x:v>
      </x:c>
      <x:c r="F58" s="278" t="n">
        <x:v>2</x:v>
      </x:c>
      <x:c r="G58" s="107" t="n">
        <x:v>7.81755757</x:v>
      </x:c>
      <x:c r="H58" s="107" t="n">
        <x:v>1.44624815</x:v>
      </x:c>
    </x:row>
    <x:row r="59" ht="17" customHeight="1">
      <x:c r="A59" s="9" t="str">
        <x:v>2023-09-01</x:v>
      </x:c>
      <x:c r="B59" s="9" t="str">
        <x:v>Actual</x:v>
      </x:c>
      <x:c r="C59" s="9" t="str">
        <x:v>Technology</x:v>
      </x:c>
      <x:c r="D59" s="278" t="n">
        <x:v>24</x:v>
      </x:c>
      <x:c r="E59" s="278" t="n">
        <x:v>0</x:v>
      </x:c>
      <x:c r="F59" s="278" t="n">
        <x:v>0</x:v>
      </x:c>
      <x:c r="G59" s="107" t="n">
        <x:v>2.43515221</x:v>
      </x:c>
      <x:c r="H59" s="107" t="n">
        <x:v>0.45050315999999996</x:v>
      </x:c>
    </x:row>
    <x:row r="60" ht="17" customHeight="1">
      <x:c r="A60" s="9" t="str">
        <x:v>2023-10-01</x:v>
      </x:c>
      <x:c r="B60" s="9" t="str">
        <x:v>Actual</x:v>
      </x:c>
      <x:c r="C60" s="9" t="str">
        <x:v>Customer Success</x:v>
      </x:c>
      <x:c r="D60" s="278" t="n">
        <x:v>14</x:v>
      </x:c>
      <x:c r="E60" s="278" t="n">
        <x:v>0</x:v>
      </x:c>
      <x:c r="F60" s="278" t="n">
        <x:v>0</x:v>
      </x:c>
      <x:c r="G60" s="107" t="n">
        <x:v>1.19230528</x:v>
      </x:c>
      <x:c r="H60" s="107" t="n">
        <x:v>0.22057648000000002</x:v>
      </x:c>
    </x:row>
    <x:row r="61" ht="17" customHeight="1">
      <x:c r="A61" s="9" t="str">
        <x:v>2023-10-01</x:v>
      </x:c>
      <x:c r="B61" s="9" t="str">
        <x:v>Actual</x:v>
      </x:c>
      <x:c r="C61" s="9" t="str">
        <x:v>Finance &amp; Corporate</x:v>
      </x:c>
      <x:c r="D61" s="278" t="n">
        <x:v>18</x:v>
      </x:c>
      <x:c r="E61" s="278" t="n">
        <x:v>0</x:v>
      </x:c>
      <x:c r="F61" s="278" t="n">
        <x:v>0</x:v>
      </x:c>
      <x:c r="G61" s="107" t="n">
        <x:v>1.659245</x:v>
      </x:c>
      <x:c r="H61" s="107" t="n">
        <x:v>0.30696032</x:v>
      </x:c>
    </x:row>
    <x:row r="62" ht="17" customHeight="1">
      <x:c r="A62" s="9" t="str">
        <x:v>2023-10-01</x:v>
      </x:c>
      <x:c r="B62" s="9" t="str">
        <x:v>Actual</x:v>
      </x:c>
      <x:c r="C62" s="9" t="str">
        <x:v>Marketing</x:v>
      </x:c>
      <x:c r="D62" s="278" t="n">
        <x:v>16</x:v>
      </x:c>
      <x:c r="E62" s="278" t="n">
        <x:v>0</x:v>
      </x:c>
      <x:c r="F62" s="278" t="n">
        <x:v>0</x:v>
      </x:c>
      <x:c r="G62" s="107" t="n">
        <x:v>1.3465423600000002</x:v>
      </x:c>
      <x:c r="H62" s="107" t="n">
        <x:v>0.24911033999999999</x:v>
      </x:c>
    </x:row>
    <x:row r="63" ht="17" customHeight="1">
      <x:c r="A63" s="9" t="str">
        <x:v>2023-10-01</x:v>
      </x:c>
      <x:c r="B63" s="9" t="str">
        <x:v>Actual</x:v>
      </x:c>
      <x:c r="C63" s="9" t="str">
        <x:v>Operations</x:v>
      </x:c>
      <x:c r="D63" s="278" t="n">
        <x:v>28</x:v>
      </x:c>
      <x:c r="E63" s="278" t="n">
        <x:v>0</x:v>
      </x:c>
      <x:c r="F63" s="278" t="n">
        <x:v>0</x:v>
      </x:c>
      <x:c r="G63" s="107" t="n">
        <x:v>2.05446196</x:v>
      </x:c>
      <x:c r="H63" s="107" t="n">
        <x:v>0.38007546000000003</x:v>
      </x:c>
    </x:row>
    <x:row r="64" ht="17" customHeight="1">
      <x:c r="A64" s="9" t="str">
        <x:v>2023-10-01</x:v>
      </x:c>
      <x:c r="B64" s="9" t="str">
        <x:v>Actual</x:v>
      </x:c>
      <x:c r="C64" s="9" t="str">
        <x:v>Sales</x:v>
      </x:c>
      <x:c r="D64" s="278" t="n">
        <x:v>98</x:v>
      </x:c>
      <x:c r="E64" s="278" t="n">
        <x:v>1</x:v>
      </x:c>
      <x:c r="F64" s="278" t="n">
        <x:v>0</x:v>
      </x:c>
      <x:c r="G64" s="107" t="n">
        <x:v>7.870486280000001</x:v>
      </x:c>
      <x:c r="H64" s="107" t="n">
        <x:v>1.45603998</x:v>
      </x:c>
    </x:row>
    <x:row r="65" ht="17" customHeight="1">
      <x:c r="A65" s="9" t="str">
        <x:v>2023-10-01</x:v>
      </x:c>
      <x:c r="B65" s="9" t="str">
        <x:v>Actual</x:v>
      </x:c>
      <x:c r="C65" s="9" t="str">
        <x:v>Technology</x:v>
      </x:c>
      <x:c r="D65" s="278" t="n">
        <x:v>23</x:v>
      </x:c>
      <x:c r="E65" s="278" t="n">
        <x:v>0</x:v>
      </x:c>
      <x:c r="F65" s="278" t="n">
        <x:v>1</x:v>
      </x:c>
      <x:c r="G65" s="107" t="n">
        <x:v>2.34836065</x:v>
      </x:c>
      <x:c r="H65" s="107" t="n">
        <x:v>0.43444671999999995</x:v>
      </x:c>
    </x:row>
    <x:row r="66" ht="17" customHeight="1">
      <x:c r="A66" s="9" t="str">
        <x:v>2023-11-01</x:v>
      </x:c>
      <x:c r="B66" s="9" t="str">
        <x:v>Actual</x:v>
      </x:c>
      <x:c r="C66" s="9" t="str">
        <x:v>Customer Success</x:v>
      </x:c>
      <x:c r="D66" s="278" t="n">
        <x:v>14</x:v>
      </x:c>
      <x:c r="E66" s="278" t="n">
        <x:v>0</x:v>
      </x:c>
      <x:c r="F66" s="278" t="n">
        <x:v>0</x:v>
      </x:c>
      <x:c r="G66" s="107" t="n">
        <x:v>1.1839165900000002</x:v>
      </x:c>
      <x:c r="H66" s="107" t="n">
        <x:v>0.21902457</x:v>
      </x:c>
    </x:row>
    <x:row r="67" ht="17" customHeight="1">
      <x:c r="A67" s="9" t="str">
        <x:v>2023-11-01</x:v>
      </x:c>
      <x:c r="B67" s="9" t="str">
        <x:v>Actual</x:v>
      </x:c>
      <x:c r="C67" s="9" t="str">
        <x:v>Finance &amp; Corporate</x:v>
      </x:c>
      <x:c r="D67" s="278" t="n">
        <x:v>18</x:v>
      </x:c>
      <x:c r="E67" s="278" t="n">
        <x:v>0</x:v>
      </x:c>
      <x:c r="F67" s="278" t="n">
        <x:v>0</x:v>
      </x:c>
      <x:c r="G67" s="107" t="n">
        <x:v>1.66527551</x:v>
      </x:c>
      <x:c r="H67" s="107" t="n">
        <x:v>0.30807597</x:v>
      </x:c>
    </x:row>
    <x:row r="68" ht="17" customHeight="1">
      <x:c r="A68" s="9" t="str">
        <x:v>2023-11-01</x:v>
      </x:c>
      <x:c r="B68" s="9" t="str">
        <x:v>Actual</x:v>
      </x:c>
      <x:c r="C68" s="9" t="str">
        <x:v>Marketing</x:v>
      </x:c>
      <x:c r="D68" s="278" t="n">
        <x:v>16</x:v>
      </x:c>
      <x:c r="E68" s="278" t="n">
        <x:v>0</x:v>
      </x:c>
      <x:c r="F68" s="278" t="n">
        <x:v>0</x:v>
      </x:c>
      <x:c r="G68" s="107" t="n">
        <x:v>1.3513745700000002</x:v>
      </x:c>
      <x:c r="H68" s="107" t="n">
        <x:v>0.25000429</x:v>
      </x:c>
    </x:row>
    <x:row r="69" ht="17" customHeight="1">
      <x:c r="A69" s="9" t="str">
        <x:v>2023-11-01</x:v>
      </x:c>
      <x:c r="B69" s="9" t="str">
        <x:v>Actual</x:v>
      </x:c>
      <x:c r="C69" s="9" t="str">
        <x:v>Operations</x:v>
      </x:c>
      <x:c r="D69" s="278" t="n">
        <x:v>28</x:v>
      </x:c>
      <x:c r="E69" s="278" t="n">
        <x:v>0</x:v>
      </x:c>
      <x:c r="F69" s="278" t="n">
        <x:v>0</x:v>
      </x:c>
      <x:c r="G69" s="107" t="n">
        <x:v>2.13109687</x:v>
      </x:c>
      <x:c r="H69" s="107" t="n">
        <x:v>0.39425292</x:v>
      </x:c>
    </x:row>
    <x:row r="70" ht="17" customHeight="1">
      <x:c r="A70" s="9" t="str">
        <x:v>2023-11-01</x:v>
      </x:c>
      <x:c r="B70" s="9" t="str">
        <x:v>Actual</x:v>
      </x:c>
      <x:c r="C70" s="9" t="str">
        <x:v>Sales</x:v>
      </x:c>
      <x:c r="D70" s="278" t="n">
        <x:v>97</x:v>
      </x:c>
      <x:c r="E70" s="278" t="n">
        <x:v>1</x:v>
      </x:c>
      <x:c r="F70" s="278" t="n">
        <x:v>2</x:v>
      </x:c>
      <x:c r="G70" s="107" t="n">
        <x:v>7.96669678</x:v>
      </x:c>
      <x:c r="H70" s="107" t="n">
        <x:v>1.4738388999999998</x:v>
      </x:c>
    </x:row>
    <x:row r="71" ht="17" customHeight="1">
      <x:c r="A71" s="9" t="str">
        <x:v>2023-11-01</x:v>
      </x:c>
      <x:c r="B71" s="9" t="str">
        <x:v>Actual</x:v>
      </x:c>
      <x:c r="C71" s="9" t="str">
        <x:v>Technology</x:v>
      </x:c>
      <x:c r="D71" s="278" t="n">
        <x:v>23</x:v>
      </x:c>
      <x:c r="E71" s="278" t="n">
        <x:v>0</x:v>
      </x:c>
      <x:c r="F71" s="278" t="n">
        <x:v>0</x:v>
      </x:c>
      <x:c r="G71" s="107" t="n">
        <x:v>2.30667759</x:v>
      </x:c>
      <x:c r="H71" s="107" t="n">
        <x:v>0.42673534999999996</x:v>
      </x:c>
    </x:row>
    <x:row r="72" ht="17" customHeight="1">
      <x:c r="A72" s="9" t="str">
        <x:v>2023-12-01</x:v>
      </x:c>
      <x:c r="B72" s="9" t="str">
        <x:v>Actual</x:v>
      </x:c>
      <x:c r="C72" s="9" t="str">
        <x:v>Customer Success</x:v>
      </x:c>
      <x:c r="D72" s="278" t="n">
        <x:v>14</x:v>
      </x:c>
      <x:c r="E72" s="278" t="n">
        <x:v>0</x:v>
      </x:c>
      <x:c r="F72" s="278" t="n">
        <x:v>0</x:v>
      </x:c>
      <x:c r="G72" s="107" t="n">
        <x:v>1.1697179</x:v>
      </x:c>
      <x:c r="H72" s="107" t="n">
        <x:v>0.21639781</x:v>
      </x:c>
    </x:row>
    <x:row r="73" ht="17" customHeight="1">
      <x:c r="A73" s="9" t="str">
        <x:v>2023-12-01</x:v>
      </x:c>
      <x:c r="B73" s="9" t="str">
        <x:v>Actual</x:v>
      </x:c>
      <x:c r="C73" s="9" t="str">
        <x:v>Finance &amp; Corporate</x:v>
      </x:c>
      <x:c r="D73" s="278" t="n">
        <x:v>17</x:v>
      </x:c>
      <x:c r="E73" s="278" t="n">
        <x:v>0</x:v>
      </x:c>
      <x:c r="F73" s="278" t="n">
        <x:v>1</x:v>
      </x:c>
      <x:c r="G73" s="107" t="n">
        <x:v>1.5821726999999999</x:v>
      </x:c>
      <x:c r="H73" s="107" t="n">
        <x:v>0.29270195</x:v>
      </x:c>
    </x:row>
    <x:row r="74" ht="17" customHeight="1">
      <x:c r="A74" s="9" t="str">
        <x:v>2023-12-01</x:v>
      </x:c>
      <x:c r="B74" s="9" t="str">
        <x:v>Actual</x:v>
      </x:c>
      <x:c r="C74" s="9" t="str">
        <x:v>Marketing</x:v>
      </x:c>
      <x:c r="D74" s="278" t="n">
        <x:v>16</x:v>
      </x:c>
      <x:c r="E74" s="278" t="n">
        <x:v>0</x:v>
      </x:c>
      <x:c r="F74" s="278" t="n">
        <x:v>0</x:v>
      </x:c>
      <x:c r="G74" s="107" t="n">
        <x:v>1.3672651599999999</x:v>
      </x:c>
      <x:c r="H74" s="107" t="n">
        <x:v>0.25294405999999997</x:v>
      </x:c>
    </x:row>
    <x:row r="75" ht="17" customHeight="1">
      <x:c r="A75" s="9" t="str">
        <x:v>2023-12-01</x:v>
      </x:c>
      <x:c r="B75" s="9" t="str">
        <x:v>Actual</x:v>
      </x:c>
      <x:c r="C75" s="9" t="str">
        <x:v>Operations</x:v>
      </x:c>
      <x:c r="D75" s="278" t="n">
        <x:v>28</x:v>
      </x:c>
      <x:c r="E75" s="278" t="n">
        <x:v>0</x:v>
      </x:c>
      <x:c r="F75" s="278" t="n">
        <x:v>0</x:v>
      </x:c>
      <x:c r="G75" s="107" t="n">
        <x:v>2.07031842</x:v>
      </x:c>
      <x:c r="H75" s="107" t="n">
        <x:v>0.38300891</x:v>
      </x:c>
    </x:row>
    <x:row r="76" ht="17" customHeight="1">
      <x:c r="A76" s="9" t="str">
        <x:v>2023-12-01</x:v>
      </x:c>
      <x:c r="B76" s="9" t="str">
        <x:v>Actual</x:v>
      </x:c>
      <x:c r="C76" s="9" t="str">
        <x:v>Sales</x:v>
      </x:c>
      <x:c r="D76" s="278" t="n">
        <x:v>99</x:v>
      </x:c>
      <x:c r="E76" s="278" t="n">
        <x:v>2</x:v>
      </x:c>
      <x:c r="F76" s="278" t="n">
        <x:v>0</x:v>
      </x:c>
      <x:c r="G76" s="107" t="n">
        <x:v>8.15765848</x:v>
      </x:c>
      <x:c r="H76" s="107" t="n">
        <x:v>1.50916683</x:v>
      </x:c>
    </x:row>
    <x:row r="77" ht="17" customHeight="1">
      <x:c r="A77" s="9" t="str">
        <x:v>2023-12-01</x:v>
      </x:c>
      <x:c r="B77" s="9" t="str">
        <x:v>Actual</x:v>
      </x:c>
      <x:c r="C77" s="9" t="str">
        <x:v>Technology</x:v>
      </x:c>
      <x:c r="D77" s="278" t="n">
        <x:v>24</x:v>
      </x:c>
      <x:c r="E77" s="278" t="n">
        <x:v>1</x:v>
      </x:c>
      <x:c r="F77" s="278" t="n">
        <x:v>0</x:v>
      </x:c>
      <x:c r="G77" s="107" t="n">
        <x:v>2.4381407999999998</x:v>
      </x:c>
      <x:c r="H77" s="107" t="n">
        <x:v>0.45105605</x:v>
      </x:c>
    </x:row>
    <x:row r="78" ht="17" customHeight="1">
      <x:c r="A78" s="9" t="str">
        <x:v>2024-01-01</x:v>
      </x:c>
      <x:c r="B78" s="9" t="str">
        <x:v>Actual</x:v>
      </x:c>
      <x:c r="C78" s="9" t="str">
        <x:v>Customer Success</x:v>
      </x:c>
      <x:c r="D78" s="278" t="n">
        <x:v>14</x:v>
      </x:c>
      <x:c r="E78" s="278" t="n">
        <x:v>0</x:v>
      </x:c>
      <x:c r="F78" s="278" t="n">
        <x:v>0</x:v>
      </x:c>
      <x:c r="G78" s="107" t="n">
        <x:v>1.2179774399999999</x:v>
      </x:c>
      <x:c r="H78" s="107" t="n">
        <x:v>0.22532582999999998</x:v>
      </x:c>
    </x:row>
    <x:row r="79" ht="17" customHeight="1">
      <x:c r="A79" s="9" t="str">
        <x:v>2024-01-01</x:v>
      </x:c>
      <x:c r="B79" s="9" t="str">
        <x:v>Actual</x:v>
      </x:c>
      <x:c r="C79" s="9" t="str">
        <x:v>Finance &amp; Corporate</x:v>
      </x:c>
      <x:c r="D79" s="278" t="n">
        <x:v>18</x:v>
      </x:c>
      <x:c r="E79" s="278" t="n">
        <x:v>1</x:v>
      </x:c>
      <x:c r="F79" s="278" t="n">
        <x:v>0</x:v>
      </x:c>
      <x:c r="G79" s="107" t="n">
        <x:v>1.6984848700000001</x:v>
      </x:c>
      <x:c r="H79" s="107" t="n">
        <x:v>0.3142197</x:v>
      </x:c>
    </x:row>
    <x:row r="80" ht="17" customHeight="1">
      <x:c r="A80" s="9" t="str">
        <x:v>2024-01-01</x:v>
      </x:c>
      <x:c r="B80" s="9" t="str">
        <x:v>Actual</x:v>
      </x:c>
      <x:c r="C80" s="9" t="str">
        <x:v>Marketing</x:v>
      </x:c>
      <x:c r="D80" s="278" t="n">
        <x:v>16</x:v>
      </x:c>
      <x:c r="E80" s="278" t="n">
        <x:v>0</x:v>
      </x:c>
      <x:c r="F80" s="278" t="n">
        <x:v>0</x:v>
      </x:c>
      <x:c r="G80" s="107" t="n">
        <x:v>1.35903523</x:v>
      </x:c>
      <x:c r="H80" s="107" t="n">
        <x:v>0.25142152</x:v>
      </x:c>
    </x:row>
    <x:row r="81" ht="17" customHeight="1">
      <x:c r="A81" s="9" t="str">
        <x:v>2024-01-01</x:v>
      </x:c>
      <x:c r="B81" s="9" t="str">
        <x:v>Actual</x:v>
      </x:c>
      <x:c r="C81" s="9" t="str">
        <x:v>Operations</x:v>
      </x:c>
      <x:c r="D81" s="278" t="n">
        <x:v>28</x:v>
      </x:c>
      <x:c r="E81" s="278" t="n">
        <x:v>0</x:v>
      </x:c>
      <x:c r="F81" s="278" t="n">
        <x:v>0</x:v>
      </x:c>
      <x:c r="G81" s="107" t="n">
        <x:v>2.02453698</x:v>
      </x:c>
      <x:c r="H81" s="107" t="n">
        <x:v>0.37453934</x:v>
      </x:c>
    </x:row>
    <x:row r="82" ht="17" customHeight="1">
      <x:c r="A82" s="9" t="str">
        <x:v>2024-01-01</x:v>
      </x:c>
      <x:c r="B82" s="9" t="str">
        <x:v>Actual</x:v>
      </x:c>
      <x:c r="C82" s="9" t="str">
        <x:v>Sales</x:v>
      </x:c>
      <x:c r="D82" s="278" t="n">
        <x:v>103</x:v>
      </x:c>
      <x:c r="E82" s="278" t="n">
        <x:v>4</x:v>
      </x:c>
      <x:c r="F82" s="278" t="n">
        <x:v>0</x:v>
      </x:c>
      <x:c r="G82" s="107" t="n">
        <x:v>8.27448023</x:v>
      </x:c>
      <x:c r="H82" s="107" t="n">
        <x:v>1.53077886</x:v>
      </x:c>
    </x:row>
    <x:row r="83" ht="17" customHeight="1">
      <x:c r="A83" s="9" t="str">
        <x:v>2024-01-01</x:v>
      </x:c>
      <x:c r="B83" s="9" t="str">
        <x:v>Actual</x:v>
      </x:c>
      <x:c r="C83" s="9" t="str">
        <x:v>Technology</x:v>
      </x:c>
      <x:c r="D83" s="278" t="n">
        <x:v>24</x:v>
      </x:c>
      <x:c r="E83" s="278" t="n">
        <x:v>0</x:v>
      </x:c>
      <x:c r="F83" s="278" t="n">
        <x:v>0</x:v>
      </x:c>
      <x:c r="G83" s="107" t="n">
        <x:v>2.3943553300000002</x:v>
      </x:c>
      <x:c r="H83" s="107" t="n">
        <x:v>0.44295574</x:v>
      </x:c>
    </x:row>
    <x:row r="84" ht="17" customHeight="1">
      <x:c r="A84" s="9" t="str">
        <x:v>2024-02-01</x:v>
      </x:c>
      <x:c r="B84" s="9" t="str">
        <x:v>Actual</x:v>
      </x:c>
      <x:c r="C84" s="9" t="str">
        <x:v>Customer Success</x:v>
      </x:c>
      <x:c r="D84" s="278" t="n">
        <x:v>14</x:v>
      </x:c>
      <x:c r="E84" s="278" t="n">
        <x:v>0</x:v>
      </x:c>
      <x:c r="F84" s="278" t="n">
        <x:v>0</x:v>
      </x:c>
      <x:c r="G84" s="107" t="n">
        <x:v>1.1635131699999999</x:v>
      </x:c>
      <x:c r="H84" s="107" t="n">
        <x:v>0.21524994</x:v>
      </x:c>
    </x:row>
    <x:row r="85" ht="17" customHeight="1">
      <x:c r="A85" s="9" t="str">
        <x:v>2024-02-01</x:v>
      </x:c>
      <x:c r="B85" s="9" t="str">
        <x:v>Actual</x:v>
      </x:c>
      <x:c r="C85" s="9" t="str">
        <x:v>Finance &amp; Corporate</x:v>
      </x:c>
      <x:c r="D85" s="278" t="n">
        <x:v>18</x:v>
      </x:c>
      <x:c r="E85" s="278" t="n">
        <x:v>0</x:v>
      </x:c>
      <x:c r="F85" s="278" t="n">
        <x:v>0</x:v>
      </x:c>
      <x:c r="G85" s="107" t="n">
        <x:v>1.68903064</x:v>
      </x:c>
      <x:c r="H85" s="107" t="n">
        <x:v>0.31247067</x:v>
      </x:c>
    </x:row>
    <x:row r="86" ht="17" customHeight="1">
      <x:c r="A86" s="9" t="str">
        <x:v>2024-02-01</x:v>
      </x:c>
      <x:c r="B86" s="9" t="str">
        <x:v>Actual</x:v>
      </x:c>
      <x:c r="C86" s="9" t="str">
        <x:v>Marketing</x:v>
      </x:c>
      <x:c r="D86" s="278" t="n">
        <x:v>15</x:v>
      </x:c>
      <x:c r="E86" s="278" t="n">
        <x:v>0</x:v>
      </x:c>
      <x:c r="F86" s="278" t="n">
        <x:v>1</x:v>
      </x:c>
      <x:c r="G86" s="107" t="n">
        <x:v>1.3063425800000001</x:v>
      </x:c>
      <x:c r="H86" s="107" t="n">
        <x:v>0.24167338</x:v>
      </x:c>
    </x:row>
    <x:row r="87" ht="17" customHeight="1">
      <x:c r="A87" s="9" t="str">
        <x:v>2024-02-01</x:v>
      </x:c>
      <x:c r="B87" s="9" t="str">
        <x:v>Actual</x:v>
      </x:c>
      <x:c r="C87" s="9" t="str">
        <x:v>Operations</x:v>
      </x:c>
      <x:c r="D87" s="278" t="n">
        <x:v>28</x:v>
      </x:c>
      <x:c r="E87" s="278" t="n">
        <x:v>0</x:v>
      </x:c>
      <x:c r="F87" s="278" t="n">
        <x:v>0</x:v>
      </x:c>
      <x:c r="G87" s="107" t="n">
        <x:v>2.09839471</x:v>
      </x:c>
      <x:c r="H87" s="107" t="n">
        <x:v>0.38820302</x:v>
      </x:c>
    </x:row>
    <x:row r="88" ht="17" customHeight="1">
      <x:c r="A88" s="9" t="str">
        <x:v>2024-02-01</x:v>
      </x:c>
      <x:c r="B88" s="9" t="str">
        <x:v>Actual</x:v>
      </x:c>
      <x:c r="C88" s="9" t="str">
        <x:v>Sales</x:v>
      </x:c>
      <x:c r="D88" s="278" t="n">
        <x:v>105</x:v>
      </x:c>
      <x:c r="E88" s="278" t="n">
        <x:v>2</x:v>
      </x:c>
      <x:c r="F88" s="278" t="n">
        <x:v>0</x:v>
      </x:c>
      <x:c r="G88" s="107" t="n">
        <x:v>8.39325472</x:v>
      </x:c>
      <x:c r="H88" s="107" t="n">
        <x:v>1.55275211</x:v>
      </x:c>
    </x:row>
    <x:row r="89" ht="17" customHeight="1">
      <x:c r="A89" s="9" t="str">
        <x:v>2024-02-01</x:v>
      </x:c>
      <x:c r="B89" s="9" t="str">
        <x:v>Actual</x:v>
      </x:c>
      <x:c r="C89" s="9" t="str">
        <x:v>Technology</x:v>
      </x:c>
      <x:c r="D89" s="278" t="n">
        <x:v>24</x:v>
      </x:c>
      <x:c r="E89" s="278" t="n">
        <x:v>0</x:v>
      </x:c>
      <x:c r="F89" s="278" t="n">
        <x:v>0</x:v>
      </x:c>
      <x:c r="G89" s="107" t="n">
        <x:v>2.43936425</x:v>
      </x:c>
      <x:c r="H89" s="107" t="n">
        <x:v>0.45128239000000003</x:v>
      </x:c>
    </x:row>
    <x:row r="90" ht="17" customHeight="1">
      <x:c r="A90" s="9" t="str">
        <x:v>2024-03-01</x:v>
      </x:c>
      <x:c r="B90" s="9" t="str">
        <x:v>Actual</x:v>
      </x:c>
      <x:c r="C90" s="9" t="str">
        <x:v>Customer Success</x:v>
      </x:c>
      <x:c r="D90" s="278" t="n">
        <x:v>14</x:v>
      </x:c>
      <x:c r="E90" s="278" t="n">
        <x:v>0</x:v>
      </x:c>
      <x:c r="F90" s="278" t="n">
        <x:v>0</x:v>
      </x:c>
      <x:c r="G90" s="107" t="n">
        <x:v>1.19855063</x:v>
      </x:c>
      <x:c r="H90" s="107" t="n">
        <x:v>0.22173187</x:v>
      </x:c>
    </x:row>
    <x:row r="91" ht="17" customHeight="1">
      <x:c r="A91" s="9" t="str">
        <x:v>2024-03-01</x:v>
      </x:c>
      <x:c r="B91" s="9" t="str">
        <x:v>Actual</x:v>
      </x:c>
      <x:c r="C91" s="9" t="str">
        <x:v>Finance &amp; Corporate</x:v>
      </x:c>
      <x:c r="D91" s="278" t="n">
        <x:v>18</x:v>
      </x:c>
      <x:c r="E91" s="278" t="n">
        <x:v>0</x:v>
      </x:c>
      <x:c r="F91" s="278" t="n">
        <x:v>0</x:v>
      </x:c>
      <x:c r="G91" s="107" t="n">
        <x:v>1.68397654</x:v>
      </x:c>
      <x:c r="H91" s="107" t="n">
        <x:v>0.31153566</x:v>
      </x:c>
    </x:row>
    <x:row r="92" ht="17" customHeight="1">
      <x:c r="A92" s="9" t="str">
        <x:v>2024-03-01</x:v>
      </x:c>
      <x:c r="B92" s="9" t="str">
        <x:v>Actual</x:v>
      </x:c>
      <x:c r="C92" s="9" t="str">
        <x:v>Marketing</x:v>
      </x:c>
      <x:c r="D92" s="278" t="n">
        <x:v>15</x:v>
      </x:c>
      <x:c r="E92" s="278" t="n">
        <x:v>0</x:v>
      </x:c>
      <x:c r="F92" s="278" t="n">
        <x:v>0</x:v>
      </x:c>
      <x:c r="G92" s="107" t="n">
        <x:v>1.2994681000000001</x:v>
      </x:c>
      <x:c r="H92" s="107" t="n">
        <x:v>0.2404016</x:v>
      </x:c>
    </x:row>
    <x:row r="93" ht="17" customHeight="1">
      <x:c r="A93" s="9" t="str">
        <x:v>2024-03-01</x:v>
      </x:c>
      <x:c r="B93" s="9" t="str">
        <x:v>Actual</x:v>
      </x:c>
      <x:c r="C93" s="9" t="str">
        <x:v>Operations</x:v>
      </x:c>
      <x:c r="D93" s="278" t="n">
        <x:v>28</x:v>
      </x:c>
      <x:c r="E93" s="278" t="n">
        <x:v>0</x:v>
      </x:c>
      <x:c r="F93" s="278" t="n">
        <x:v>0</x:v>
      </x:c>
      <x:c r="G93" s="107" t="n">
        <x:v>2.02974349</x:v>
      </x:c>
      <x:c r="H93" s="107" t="n">
        <x:v>0.37550255</x:v>
      </x:c>
    </x:row>
    <x:row r="94" ht="17" customHeight="1">
      <x:c r="A94" s="9" t="str">
        <x:v>2024-03-01</x:v>
      </x:c>
      <x:c r="B94" s="9" t="str">
        <x:v>Actual</x:v>
      </x:c>
      <x:c r="C94" s="9" t="str">
        <x:v>Sales</x:v>
      </x:c>
      <x:c r="D94" s="278" t="n">
        <x:v>104</x:v>
      </x:c>
      <x:c r="E94" s="278" t="n">
        <x:v>0</x:v>
      </x:c>
      <x:c r="F94" s="278" t="n">
        <x:v>1</x:v>
      </x:c>
      <x:c r="G94" s="107" t="n">
        <x:v>8.348858139999999</x:v>
      </x:c>
      <x:c r="H94" s="107" t="n">
        <x:v>1.54453875</x:v>
      </x:c>
    </x:row>
    <x:row r="95" ht="17" customHeight="1">
      <x:c r="A95" s="9" t="str">
        <x:v>2024-03-01</x:v>
      </x:c>
      <x:c r="B95" s="9" t="str">
        <x:v>Actual</x:v>
      </x:c>
      <x:c r="C95" s="9" t="str">
        <x:v>Technology</x:v>
      </x:c>
      <x:c r="D95" s="278" t="n">
        <x:v>24</x:v>
      </x:c>
      <x:c r="E95" s="278" t="n">
        <x:v>0</x:v>
      </x:c>
      <x:c r="F95" s="278" t="n">
        <x:v>0</x:v>
      </x:c>
      <x:c r="G95" s="107" t="n">
        <x:v>2.4279126200000003</x:v>
      </x:c>
      <x:c r="H95" s="107" t="n">
        <x:v>0.44916383000000004</x:v>
      </x:c>
    </x:row>
    <x:row r="96" ht="17" customHeight="1">
      <x:c r="A96" s="9" t="str">
        <x:v>2024-04-01</x:v>
      </x:c>
      <x:c r="B96" s="9" t="str">
        <x:v>Actual</x:v>
      </x:c>
      <x:c r="C96" s="9" t="str">
        <x:v>Customer Success</x:v>
      </x:c>
      <x:c r="D96" s="278" t="n">
        <x:v>15</x:v>
      </x:c>
      <x:c r="E96" s="278" t="n">
        <x:v>1</x:v>
      </x:c>
      <x:c r="F96" s="278" t="n">
        <x:v>0</x:v>
      </x:c>
      <x:c r="G96" s="107" t="n">
        <x:v>1.3388619099999999</x:v>
      </x:c>
      <x:c r="H96" s="107" t="n">
        <x:v>0.24768945</x:v>
      </x:c>
    </x:row>
    <x:row r="97" ht="17" customHeight="1">
      <x:c r="A97" s="9" t="str">
        <x:v>2024-04-01</x:v>
      </x:c>
      <x:c r="B97" s="9" t="str">
        <x:v>Actual</x:v>
      </x:c>
      <x:c r="C97" s="9" t="str">
        <x:v>Finance &amp; Corporate</x:v>
      </x:c>
      <x:c r="D97" s="278" t="n">
        <x:v>18</x:v>
      </x:c>
      <x:c r="E97" s="278" t="n">
        <x:v>0</x:v>
      </x:c>
      <x:c r="F97" s="278" t="n">
        <x:v>0</x:v>
      </x:c>
      <x:c r="G97" s="107" t="n">
        <x:v>1.7499806</x:v>
      </x:c>
      <x:c r="H97" s="107" t="n">
        <x:v>0.32374641</x:v>
      </x:c>
    </x:row>
    <x:row r="98" ht="17" customHeight="1">
      <x:c r="A98" s="9" t="str">
        <x:v>2024-04-01</x:v>
      </x:c>
      <x:c r="B98" s="9" t="str">
        <x:v>Actual</x:v>
      </x:c>
      <x:c r="C98" s="9" t="str">
        <x:v>Marketing</x:v>
      </x:c>
      <x:c r="D98" s="278" t="n">
        <x:v>15</x:v>
      </x:c>
      <x:c r="E98" s="278" t="n">
        <x:v>0</x:v>
      </x:c>
      <x:c r="F98" s="278" t="n">
        <x:v>0</x:v>
      </x:c>
      <x:c r="G98" s="107" t="n">
        <x:v>1.36103238</x:v>
      </x:c>
      <x:c r="H98" s="107" t="n">
        <x:v>0.25179099</x:v>
      </x:c>
    </x:row>
    <x:row r="99" ht="17" customHeight="1">
      <x:c r="A99" s="9" t="str">
        <x:v>2024-04-01</x:v>
      </x:c>
      <x:c r="B99" s="9" t="str">
        <x:v>Actual</x:v>
      </x:c>
      <x:c r="C99" s="9" t="str">
        <x:v>Operations</x:v>
      </x:c>
      <x:c r="D99" s="278" t="n">
        <x:v>28</x:v>
      </x:c>
      <x:c r="E99" s="278" t="n">
        <x:v>0</x:v>
      </x:c>
      <x:c r="F99" s="278" t="n">
        <x:v>0</x:v>
      </x:c>
      <x:c r="G99" s="107" t="n">
        <x:v>2.20202356</x:v>
      </x:c>
      <x:c r="H99" s="107" t="n">
        <x:v>0.40737436</x:v>
      </x:c>
    </x:row>
    <x:row r="100" ht="17" customHeight="1">
      <x:c r="A100" s="9" t="str">
        <x:v>2024-04-01</x:v>
      </x:c>
      <x:c r="B100" s="9" t="str">
        <x:v>Actual</x:v>
      </x:c>
      <x:c r="C100" s="9" t="str">
        <x:v>Sales</x:v>
      </x:c>
      <x:c r="D100" s="278" t="n">
        <x:v>104</x:v>
      </x:c>
      <x:c r="E100" s="278" t="n">
        <x:v>0</x:v>
      </x:c>
      <x:c r="F100" s="278" t="n">
        <x:v>0</x:v>
      </x:c>
      <x:c r="G100" s="107" t="n">
        <x:v>8.953859099999999</x:v>
      </x:c>
      <x:c r="H100" s="107" t="n">
        <x:v>1.6564639300000001</x:v>
      </x:c>
    </x:row>
    <x:row r="101" ht="17" customHeight="1">
      <x:c r="A101" s="9" t="str">
        <x:v>2024-04-01</x:v>
      </x:c>
      <x:c r="B101" s="9" t="str">
        <x:v>Actual</x:v>
      </x:c>
      <x:c r="C101" s="9" t="str">
        <x:v>Technology</x:v>
      </x:c>
      <x:c r="D101" s="278" t="n">
        <x:v>24</x:v>
      </x:c>
      <x:c r="E101" s="278" t="n">
        <x:v>0</x:v>
      </x:c>
      <x:c r="F101" s="278" t="n">
        <x:v>0</x:v>
      </x:c>
      <x:c r="G101" s="107" t="n">
        <x:v>2.65691323</x:v>
      </x:c>
      <x:c r="H101" s="107" t="n">
        <x:v>0.49152895</x:v>
      </x:c>
    </x:row>
    <x:row r="102" ht="17" customHeight="1">
      <x:c r="A102" s="9" t="str">
        <x:v>2024-05-01</x:v>
      </x:c>
      <x:c r="B102" s="9" t="str">
        <x:v>Actual</x:v>
      </x:c>
      <x:c r="C102" s="9" t="str">
        <x:v>Customer Success</x:v>
      </x:c>
      <x:c r="D102" s="278" t="n">
        <x:v>15</x:v>
      </x:c>
      <x:c r="E102" s="278" t="n">
        <x:v>0</x:v>
      </x:c>
      <x:c r="F102" s="278" t="n">
        <x:v>0</x:v>
      </x:c>
      <x:c r="G102" s="107" t="n">
        <x:v>1.35011596</x:v>
      </x:c>
      <x:c r="H102" s="107" t="n">
        <x:v>0.24977145</x:v>
      </x:c>
    </x:row>
    <x:row r="103" ht="17" customHeight="1">
      <x:c r="A103" s="9" t="str">
        <x:v>2024-05-01</x:v>
      </x:c>
      <x:c r="B103" s="9" t="str">
        <x:v>Actual</x:v>
      </x:c>
      <x:c r="C103" s="9" t="str">
        <x:v>Finance &amp; Corporate</x:v>
      </x:c>
      <x:c r="D103" s="278" t="n">
        <x:v>19</x:v>
      </x:c>
      <x:c r="E103" s="278" t="n">
        <x:v>1</x:v>
      </x:c>
      <x:c r="F103" s="278" t="n">
        <x:v>0</x:v>
      </x:c>
      <x:c r="G103" s="107" t="n">
        <x:v>1.87456127</x:v>
      </x:c>
      <x:c r="H103" s="107" t="n">
        <x:v>0.34679383</x:v>
      </x:c>
    </x:row>
    <x:row r="104" ht="17" customHeight="1">
      <x:c r="A104" s="9" t="str">
        <x:v>2024-05-01</x:v>
      </x:c>
      <x:c r="B104" s="9" t="str">
        <x:v>Actual</x:v>
      </x:c>
      <x:c r="C104" s="9" t="str">
        <x:v>Marketing</x:v>
      </x:c>
      <x:c r="D104" s="278" t="n">
        <x:v>15</x:v>
      </x:c>
      <x:c r="E104" s="278" t="n">
        <x:v>0</x:v>
      </x:c>
      <x:c r="F104" s="278" t="n">
        <x:v>0</x:v>
      </x:c>
      <x:c r="G104" s="107" t="n">
        <x:v>1.35769302</x:v>
      </x:c>
      <x:c r="H104" s="107" t="n">
        <x:v>0.25117321</x:v>
      </x:c>
    </x:row>
    <x:row r="105" ht="17" customHeight="1">
      <x:c r="A105" s="9" t="str">
        <x:v>2024-05-01</x:v>
      </x:c>
      <x:c r="B105" s="9" t="str">
        <x:v>Actual</x:v>
      </x:c>
      <x:c r="C105" s="9" t="str">
        <x:v>Operations</x:v>
      </x:c>
      <x:c r="D105" s="278" t="n">
        <x:v>28</x:v>
      </x:c>
      <x:c r="E105" s="278" t="n">
        <x:v>0</x:v>
      </x:c>
      <x:c r="F105" s="278" t="n">
        <x:v>0</x:v>
      </x:c>
      <x:c r="G105" s="107" t="n">
        <x:v>2.17848612</x:v>
      </x:c>
      <x:c r="H105" s="107" t="n">
        <x:v>0.40301992999999997</x:v>
      </x:c>
    </x:row>
    <x:row r="106" ht="17" customHeight="1">
      <x:c r="A106" s="9" t="str">
        <x:v>2024-05-01</x:v>
      </x:c>
      <x:c r="B106" s="9" t="str">
        <x:v>Actual</x:v>
      </x:c>
      <x:c r="C106" s="9" t="str">
        <x:v>Sales</x:v>
      </x:c>
      <x:c r="D106" s="278" t="n">
        <x:v>103</x:v>
      </x:c>
      <x:c r="E106" s="278" t="n">
        <x:v>0</x:v>
      </x:c>
      <x:c r="F106" s="278" t="n">
        <x:v>1</x:v>
      </x:c>
      <x:c r="G106" s="107" t="n">
        <x:v>8.7353919</x:v>
      </x:c>
      <x:c r="H106" s="107" t="n">
        <x:v>1.6160475</x:v>
      </x:c>
    </x:row>
    <x:row r="107" ht="17" customHeight="1">
      <x:c r="A107" s="9" t="str">
        <x:v>2024-05-01</x:v>
      </x:c>
      <x:c r="B107" s="9" t="str">
        <x:v>Actual</x:v>
      </x:c>
      <x:c r="C107" s="9" t="str">
        <x:v>Technology</x:v>
      </x:c>
      <x:c r="D107" s="278" t="n">
        <x:v>24</x:v>
      </x:c>
      <x:c r="E107" s="278" t="n">
        <x:v>0</x:v>
      </x:c>
      <x:c r="F107" s="278" t="n">
        <x:v>0</x:v>
      </x:c>
      <x:c r="G107" s="107" t="n">
        <x:v>2.5409848999999998</x:v>
      </x:c>
      <x:c r="H107" s="107" t="n">
        <x:v>0.47008221</x:v>
      </x:c>
    </x:row>
    <x:row r="108" ht="17" customHeight="1">
      <x:c r="A108" s="9" t="str">
        <x:v>2024-06-01</x:v>
      </x:c>
      <x:c r="B108" s="9" t="str">
        <x:v>Actual</x:v>
      </x:c>
      <x:c r="C108" s="9" t="str">
        <x:v>Customer Success</x:v>
      </x:c>
      <x:c r="D108" s="278" t="n">
        <x:v>15</x:v>
      </x:c>
      <x:c r="E108" s="278" t="n">
        <x:v>0</x:v>
      </x:c>
      <x:c r="F108" s="278" t="n">
        <x:v>0</x:v>
      </x:c>
      <x:c r="G108" s="107" t="n">
        <x:v>1.36820483</x:v>
      </x:c>
      <x:c r="H108" s="107" t="n">
        <x:v>0.25311789</x:v>
      </x:c>
    </x:row>
    <x:row r="109" ht="17" customHeight="1">
      <x:c r="A109" s="9" t="str">
        <x:v>2024-06-01</x:v>
      </x:c>
      <x:c r="B109" s="9" t="str">
        <x:v>Actual</x:v>
      </x:c>
      <x:c r="C109" s="9" t="str">
        <x:v>Finance &amp; Corporate</x:v>
      </x:c>
      <x:c r="D109" s="278" t="n">
        <x:v>19</x:v>
      </x:c>
      <x:c r="E109" s="278" t="n">
        <x:v>0</x:v>
      </x:c>
      <x:c r="F109" s="278" t="n">
        <x:v>0</x:v>
      </x:c>
      <x:c r="G109" s="107" t="n">
        <x:v>1.89037367</x:v>
      </x:c>
      <x:c r="H109" s="107" t="n">
        <x:v>0.34971913</x:v>
      </x:c>
    </x:row>
    <x:row r="110" ht="17" customHeight="1">
      <x:c r="A110" s="9" t="str">
        <x:v>2024-06-01</x:v>
      </x:c>
      <x:c r="B110" s="9" t="str">
        <x:v>Actual</x:v>
      </x:c>
      <x:c r="C110" s="9" t="str">
        <x:v>Marketing</x:v>
      </x:c>
      <x:c r="D110" s="278" t="n">
        <x:v>15</x:v>
      </x:c>
      <x:c r="E110" s="278" t="n">
        <x:v>0</x:v>
      </x:c>
      <x:c r="F110" s="278" t="n">
        <x:v>0</x:v>
      </x:c>
      <x:c r="G110" s="107" t="n">
        <x:v>1.36896185</x:v>
      </x:c>
      <x:c r="H110" s="107" t="n">
        <x:v>0.25325794</x:v>
      </x:c>
    </x:row>
    <x:row r="111" ht="17" customHeight="1">
      <x:c r="A111" s="9" t="str">
        <x:v>2024-06-01</x:v>
      </x:c>
      <x:c r="B111" s="9" t="str">
        <x:v>Actual</x:v>
      </x:c>
      <x:c r="C111" s="9" t="str">
        <x:v>Operations</x:v>
      </x:c>
      <x:c r="D111" s="278" t="n">
        <x:v>29</x:v>
      </x:c>
      <x:c r="E111" s="278" t="n">
        <x:v>1</x:v>
      </x:c>
      <x:c r="F111" s="278" t="n">
        <x:v>0</x:v>
      </x:c>
      <x:c r="G111" s="107" t="n">
        <x:v>2.28452703</x:v>
      </x:c>
      <x:c r="H111" s="107" t="n">
        <x:v>0.4226375</x:v>
      </x:c>
    </x:row>
    <x:row r="112" ht="17" customHeight="1">
      <x:c r="A112" s="9" t="str">
        <x:v>2024-06-01</x:v>
      </x:c>
      <x:c r="B112" s="9" t="str">
        <x:v>Actual</x:v>
      </x:c>
      <x:c r="C112" s="9" t="str">
        <x:v>Sales</x:v>
      </x:c>
      <x:c r="D112" s="278" t="n">
        <x:v>105</x:v>
      </x:c>
      <x:c r="E112" s="278" t="n">
        <x:v>2</x:v>
      </x:c>
      <x:c r="F112" s="278" t="n">
        <x:v>0</x:v>
      </x:c>
      <x:c r="G112" s="107" t="n">
        <x:v>8.95649686</x:v>
      </x:c>
      <x:c r="H112" s="107" t="n">
        <x:v>1.65695193</x:v>
      </x:c>
    </x:row>
    <x:row r="113" ht="17" customHeight="1">
      <x:c r="A113" s="9" t="str">
        <x:v>2024-06-01</x:v>
      </x:c>
      <x:c r="B113" s="9" t="str">
        <x:v>Actual</x:v>
      </x:c>
      <x:c r="C113" s="9" t="str">
        <x:v>Technology</x:v>
      </x:c>
      <x:c r="D113" s="278" t="n">
        <x:v>24</x:v>
      </x:c>
      <x:c r="E113" s="278" t="n">
        <x:v>0</x:v>
      </x:c>
      <x:c r="F113" s="278" t="n">
        <x:v>0</x:v>
      </x:c>
      <x:c r="G113" s="107" t="n">
        <x:v>2.59335361</x:v>
      </x:c>
      <x:c r="H113" s="107" t="n">
        <x:v>0.47977042</x:v>
      </x:c>
    </x:row>
    <x:row r="114" ht="17" customHeight="1">
      <x:c r="A114" s="9" t="str">
        <x:v>2024-07-01</x:v>
      </x:c>
      <x:c r="B114" s="9" t="str">
        <x:v>Actual</x:v>
      </x:c>
      <x:c r="C114" s="9" t="str">
        <x:v>Customer Success</x:v>
      </x:c>
      <x:c r="D114" s="278" t="n">
        <x:v>15</x:v>
      </x:c>
      <x:c r="E114" s="278" t="n">
        <x:v>0</x:v>
      </x:c>
      <x:c r="F114" s="278" t="n">
        <x:v>0</x:v>
      </x:c>
      <x:c r="G114" s="107" t="n">
        <x:v>1.3412425</x:v>
      </x:c>
      <x:c r="H114" s="107" t="n">
        <x:v>0.24812985999999998</x:v>
      </x:c>
    </x:row>
    <x:row r="115" ht="17" customHeight="1">
      <x:c r="A115" s="9" t="str">
        <x:v>2024-07-01</x:v>
      </x:c>
      <x:c r="B115" s="9" t="str">
        <x:v>Actual</x:v>
      </x:c>
      <x:c r="C115" s="9" t="str">
        <x:v>Finance &amp; Corporate</x:v>
      </x:c>
      <x:c r="D115" s="278" t="n">
        <x:v>19</x:v>
      </x:c>
      <x:c r="E115" s="278" t="n">
        <x:v>0</x:v>
      </x:c>
      <x:c r="F115" s="278" t="n">
        <x:v>0</x:v>
      </x:c>
      <x:c r="G115" s="107" t="n">
        <x:v>1.8629782</x:v>
      </x:c>
      <x:c r="H115" s="107" t="n">
        <x:v>0.34465096999999995</x:v>
      </x:c>
    </x:row>
    <x:row r="116" ht="17" customHeight="1">
      <x:c r="A116" s="9" t="str">
        <x:v>2024-07-01</x:v>
      </x:c>
      <x:c r="B116" s="9" t="str">
        <x:v>Actual</x:v>
      </x:c>
      <x:c r="C116" s="9" t="str">
        <x:v>Marketing</x:v>
      </x:c>
      <x:c r="D116" s="278" t="n">
        <x:v>15</x:v>
      </x:c>
      <x:c r="E116" s="278" t="n">
        <x:v>0</x:v>
      </x:c>
      <x:c r="F116" s="278" t="n">
        <x:v>0</x:v>
      </x:c>
      <x:c r="G116" s="107" t="n">
        <x:v>1.37635281</x:v>
      </x:c>
      <x:c r="H116" s="107" t="n">
        <x:v>0.25462527</x:v>
      </x:c>
    </x:row>
    <x:row r="117" ht="17" customHeight="1">
      <x:c r="A117" s="9" t="str">
        <x:v>2024-07-01</x:v>
      </x:c>
      <x:c r="B117" s="9" t="str">
        <x:v>Actual</x:v>
      </x:c>
      <x:c r="C117" s="9" t="str">
        <x:v>Operations</x:v>
      </x:c>
      <x:c r="D117" s="278" t="n">
        <x:v>30</x:v>
      </x:c>
      <x:c r="E117" s="278" t="n">
        <x:v>1</x:v>
      </x:c>
      <x:c r="F117" s="278" t="n">
        <x:v>0</x:v>
      </x:c>
      <x:c r="G117" s="107" t="n">
        <x:v>2.3711388199999996</x:v>
      </x:c>
      <x:c r="H117" s="107" t="n">
        <x:v>0.43866067999999997</x:v>
      </x:c>
    </x:row>
    <x:row r="118" ht="17" customHeight="1">
      <x:c r="A118" s="9" t="str">
        <x:v>2024-07-01</x:v>
      </x:c>
      <x:c r="B118" s="9" t="str">
        <x:v>Actual</x:v>
      </x:c>
      <x:c r="C118" s="9" t="str">
        <x:v>Sales</x:v>
      </x:c>
      <x:c r="D118" s="278" t="n">
        <x:v>106</x:v>
      </x:c>
      <x:c r="E118" s="278" t="n">
        <x:v>1</x:v>
      </x:c>
      <x:c r="F118" s="278" t="n">
        <x:v>0</x:v>
      </x:c>
      <x:c r="G118" s="107" t="n">
        <x:v>9.07733297</x:v>
      </x:c>
      <x:c r="H118" s="107" t="n">
        <x:v>1.6793066</x:v>
      </x:c>
    </x:row>
    <x:row r="119" ht="17" customHeight="1">
      <x:c r="A119" s="9" t="str">
        <x:v>2024-07-01</x:v>
      </x:c>
      <x:c r="B119" s="9" t="str">
        <x:v>Actual</x:v>
      </x:c>
      <x:c r="C119" s="9" t="str">
        <x:v>Technology</x:v>
      </x:c>
      <x:c r="D119" s="278" t="n">
        <x:v>24</x:v>
      </x:c>
      <x:c r="E119" s="278" t="n">
        <x:v>0</x:v>
      </x:c>
      <x:c r="F119" s="278" t="n">
        <x:v>0</x:v>
      </x:c>
      <x:c r="G119" s="107" t="n">
        <x:v>2.62491295</x:v>
      </x:c>
      <x:c r="H119" s="107" t="n">
        <x:v>0.4856089</x:v>
      </x:c>
    </x:row>
    <x:row r="120" ht="17" customHeight="1">
      <x:c r="A120" s="9" t="str">
        <x:v>2024-08-01</x:v>
      </x:c>
      <x:c r="B120" s="9" t="str">
        <x:v>Actual</x:v>
      </x:c>
      <x:c r="C120" s="9" t="str">
        <x:v>Customer Success</x:v>
      </x:c>
      <x:c r="D120" s="278" t="n">
        <x:v>15</x:v>
      </x:c>
      <x:c r="E120" s="278" t="n">
        <x:v>0</x:v>
      </x:c>
      <x:c r="F120" s="278" t="n">
        <x:v>0</x:v>
      </x:c>
      <x:c r="G120" s="107" t="n">
        <x:v>1.3477756699999999</x:v>
      </x:c>
      <x:c r="H120" s="107" t="n">
        <x:v>0.2493385</x:v>
      </x:c>
    </x:row>
    <x:row r="121" ht="17" customHeight="1">
      <x:c r="A121" s="9" t="str">
        <x:v>2024-08-01</x:v>
      </x:c>
      <x:c r="B121" s="9" t="str">
        <x:v>Actual</x:v>
      </x:c>
      <x:c r="C121" s="9" t="str">
        <x:v>Finance &amp; Corporate</x:v>
      </x:c>
      <x:c r="D121" s="278" t="n">
        <x:v>19</x:v>
      </x:c>
      <x:c r="E121" s="278" t="n">
        <x:v>0</x:v>
      </x:c>
      <x:c r="F121" s="278" t="n">
        <x:v>0</x:v>
      </x:c>
      <x:c r="G121" s="107" t="n">
        <x:v>1.91096756</x:v>
      </x:c>
      <x:c r="H121" s="107" t="n">
        <x:v>0.353529</x:v>
      </x:c>
    </x:row>
    <x:row r="122" ht="17" customHeight="1">
      <x:c r="A122" s="9" t="str">
        <x:v>2024-08-01</x:v>
      </x:c>
      <x:c r="B122" s="9" t="str">
        <x:v>Actual</x:v>
      </x:c>
      <x:c r="C122" s="9" t="str">
        <x:v>Marketing</x:v>
      </x:c>
      <x:c r="D122" s="278" t="n">
        <x:v>16</x:v>
      </x:c>
      <x:c r="E122" s="278" t="n">
        <x:v>1</x:v>
      </x:c>
      <x:c r="F122" s="278" t="n">
        <x:v>0</x:v>
      </x:c>
      <x:c r="G122" s="107" t="n">
        <x:v>1.46594022</x:v>
      </x:c>
      <x:c r="H122" s="107" t="n">
        <x:v>0.27119894</x:v>
      </x:c>
    </x:row>
    <x:row r="123" ht="17" customHeight="1">
      <x:c r="A123" s="9" t="str">
        <x:v>2024-08-01</x:v>
      </x:c>
      <x:c r="B123" s="9" t="str">
        <x:v>Actual</x:v>
      </x:c>
      <x:c r="C123" s="9" t="str">
        <x:v>Operations</x:v>
      </x:c>
      <x:c r="D123" s="278" t="n">
        <x:v>30</x:v>
      </x:c>
      <x:c r="E123" s="278" t="n">
        <x:v>0</x:v>
      </x:c>
      <x:c r="F123" s="278" t="n">
        <x:v>0</x:v>
      </x:c>
      <x:c r="G123" s="107" t="n">
        <x:v>2.33970964</x:v>
      </x:c>
      <x:c r="H123" s="107" t="n">
        <x:v>0.43284628</x:v>
      </x:c>
    </x:row>
    <x:row r="124" ht="17" customHeight="1">
      <x:c r="A124" s="9" t="str">
        <x:v>2024-08-01</x:v>
      </x:c>
      <x:c r="B124" s="9" t="str">
        <x:v>Actual</x:v>
      </x:c>
      <x:c r="C124" s="9" t="str">
        <x:v>Sales</x:v>
      </x:c>
      <x:c r="D124" s="278" t="n">
        <x:v>109</x:v>
      </x:c>
      <x:c r="E124" s="278" t="n">
        <x:v>3</x:v>
      </x:c>
      <x:c r="F124" s="278" t="n">
        <x:v>0</x:v>
      </x:c>
      <x:c r="G124" s="107" t="n">
        <x:v>9.22459029</x:v>
      </x:c>
      <x:c r="H124" s="107" t="n">
        <x:v>1.7065492</x:v>
      </x:c>
    </x:row>
    <x:row r="125" ht="17" customHeight="1">
      <x:c r="A125" s="9" t="str">
        <x:v>2024-08-01</x:v>
      </x:c>
      <x:c r="B125" s="9" t="str">
        <x:v>Actual</x:v>
      </x:c>
      <x:c r="C125" s="9" t="str">
        <x:v>Technology</x:v>
      </x:c>
      <x:c r="D125" s="278" t="n">
        <x:v>24</x:v>
      </x:c>
      <x:c r="E125" s="278" t="n">
        <x:v>0</x:v>
      </x:c>
      <x:c r="F125" s="278" t="n">
        <x:v>0</x:v>
      </x:c>
      <x:c r="G125" s="107" t="n">
        <x:v>2.58152984</x:v>
      </x:c>
      <x:c r="H125" s="107" t="n">
        <x:v>0.47758302</x:v>
      </x:c>
    </x:row>
    <x:row r="126" ht="17" customHeight="1">
      <x:c r="A126" s="9" t="str">
        <x:v>2024-09-01</x:v>
      </x:c>
      <x:c r="B126" s="9" t="str">
        <x:v>Actual</x:v>
      </x:c>
      <x:c r="C126" s="9" t="str">
        <x:v>Customer Success</x:v>
      </x:c>
      <x:c r="D126" s="278" t="n">
        <x:v>15</x:v>
      </x:c>
      <x:c r="E126" s="278" t="n">
        <x:v>0</x:v>
      </x:c>
      <x:c r="F126" s="278" t="n">
        <x:v>0</x:v>
      </x:c>
      <x:c r="G126" s="107" t="n">
        <x:v>1.35246494</x:v>
      </x:c>
      <x:c r="H126" s="107" t="n">
        <x:v>0.25020601000000003</x:v>
      </x:c>
    </x:row>
    <x:row r="127" ht="17" customHeight="1">
      <x:c r="A127" s="9" t="str">
        <x:v>2024-09-01</x:v>
      </x:c>
      <x:c r="B127" s="9" t="str">
        <x:v>Actual</x:v>
      </x:c>
      <x:c r="C127" s="9" t="str">
        <x:v>Finance &amp; Corporate</x:v>
      </x:c>
      <x:c r="D127" s="278" t="n">
        <x:v>19</x:v>
      </x:c>
      <x:c r="E127" s="278" t="n">
        <x:v>0</x:v>
      </x:c>
      <x:c r="F127" s="278" t="n">
        <x:v>0</x:v>
      </x:c>
      <x:c r="G127" s="107" t="n">
        <x:v>1.89397202</x:v>
      </x:c>
      <x:c r="H127" s="107" t="n">
        <x:v>0.35038482</x:v>
      </x:c>
    </x:row>
    <x:row r="128" ht="17" customHeight="1">
      <x:c r="A128" s="9" t="str">
        <x:v>2024-09-01</x:v>
      </x:c>
      <x:c r="B128" s="9" t="str">
        <x:v>Actual</x:v>
      </x:c>
      <x:c r="C128" s="9" t="str">
        <x:v>Marketing</x:v>
      </x:c>
      <x:c r="D128" s="278" t="n">
        <x:v>17</x:v>
      </x:c>
      <x:c r="E128" s="278" t="n">
        <x:v>1</x:v>
      </x:c>
      <x:c r="F128" s="278" t="n">
        <x:v>0</x:v>
      </x:c>
      <x:c r="G128" s="107" t="n">
        <x:v>1.56233412</x:v>
      </x:c>
      <x:c r="H128" s="107" t="n">
        <x:v>0.28903181</x:v>
      </x:c>
    </x:row>
    <x:row r="129" ht="17" customHeight="1">
      <x:c r="A129" s="9" t="str">
        <x:v>2024-09-01</x:v>
      </x:c>
      <x:c r="B129" s="9" t="str">
        <x:v>Actual</x:v>
      </x:c>
      <x:c r="C129" s="9" t="str">
        <x:v>Operations</x:v>
      </x:c>
      <x:c r="D129" s="278" t="n">
        <x:v>29</x:v>
      </x:c>
      <x:c r="E129" s="278" t="n">
        <x:v>0</x:v>
      </x:c>
      <x:c r="F129" s="278" t="n">
        <x:v>1</x:v>
      </x:c>
      <x:c r="G129" s="107" t="n">
        <x:v>2.22084319</x:v>
      </x:c>
      <x:c r="H129" s="107" t="n">
        <x:v>0.41085599</x:v>
      </x:c>
    </x:row>
    <x:row r="130" ht="17" customHeight="1">
      <x:c r="A130" s="9" t="str">
        <x:v>2024-09-01</x:v>
      </x:c>
      <x:c r="B130" s="9" t="str">
        <x:v>Actual</x:v>
      </x:c>
      <x:c r="C130" s="9" t="str">
        <x:v>Sales</x:v>
      </x:c>
      <x:c r="D130" s="278" t="n">
        <x:v>110</x:v>
      </x:c>
      <x:c r="E130" s="278" t="n">
        <x:v>1</x:v>
      </x:c>
      <x:c r="F130" s="278" t="n">
        <x:v>0</x:v>
      </x:c>
      <x:c r="G130" s="107" t="n">
        <x:v>9.42181684</x:v>
      </x:c>
      <x:c r="H130" s="107" t="n">
        <x:v>1.7430361099999998</x:v>
      </x:c>
    </x:row>
    <x:row r="131" ht="17" customHeight="1">
      <x:c r="A131" s="9" t="str">
        <x:v>2024-09-01</x:v>
      </x:c>
      <x:c r="B131" s="9" t="str">
        <x:v>Actual</x:v>
      </x:c>
      <x:c r="C131" s="9" t="str">
        <x:v>Technology</x:v>
      </x:c>
      <x:c r="D131" s="278" t="n">
        <x:v>24</x:v>
      </x:c>
      <x:c r="E131" s="278" t="n">
        <x:v>0</x:v>
      </x:c>
      <x:c r="F131" s="278" t="n">
        <x:v>0</x:v>
      </x:c>
      <x:c r="G131" s="107" t="n">
        <x:v>2.56741576</x:v>
      </x:c>
      <x:c r="H131" s="107" t="n">
        <x:v>0.47497192</x:v>
      </x:c>
    </x:row>
    <x:row r="132" ht="17" customHeight="1">
      <x:c r="A132" s="9" t="str">
        <x:v>2024-10-01</x:v>
      </x:c>
      <x:c r="B132" s="9" t="str">
        <x:v>Actual</x:v>
      </x:c>
      <x:c r="C132" s="9" t="str">
        <x:v>Customer Success</x:v>
      </x:c>
      <x:c r="D132" s="278" t="n">
        <x:v>15</x:v>
      </x:c>
      <x:c r="E132" s="278" t="n">
        <x:v>0</x:v>
      </x:c>
      <x:c r="F132" s="278" t="n">
        <x:v>0</x:v>
      </x:c>
      <x:c r="G132" s="107" t="n">
        <x:v>1.3522296599999999</x:v>
      </x:c>
      <x:c r="H132" s="107" t="n">
        <x:v>0.25016249</x:v>
      </x:c>
    </x:row>
    <x:row r="133" ht="17" customHeight="1">
      <x:c r="A133" s="9" t="str">
        <x:v>2024-10-01</x:v>
      </x:c>
      <x:c r="B133" s="9" t="str">
        <x:v>Actual</x:v>
      </x:c>
      <x:c r="C133" s="9" t="str">
        <x:v>Finance &amp; Corporate</x:v>
      </x:c>
      <x:c r="D133" s="278" t="n">
        <x:v>19</x:v>
      </x:c>
      <x:c r="E133" s="278" t="n">
        <x:v>0</x:v>
      </x:c>
      <x:c r="F133" s="278" t="n">
        <x:v>0</x:v>
      </x:c>
      <x:c r="G133" s="107" t="n">
        <x:v>1.8506224</x:v>
      </x:c>
      <x:c r="H133" s="107" t="n">
        <x:v>0.34236514</x:v>
      </x:c>
    </x:row>
    <x:row r="134" ht="17" customHeight="1">
      <x:c r="A134" s="9" t="str">
        <x:v>2024-10-01</x:v>
      </x:c>
      <x:c r="B134" s="9" t="str">
        <x:v>Actual</x:v>
      </x:c>
      <x:c r="C134" s="9" t="str">
        <x:v>Marketing</x:v>
      </x:c>
      <x:c r="D134" s="278" t="n">
        <x:v>17</x:v>
      </x:c>
      <x:c r="E134" s="278" t="n">
        <x:v>0</x:v>
      </x:c>
      <x:c r="F134" s="278" t="n">
        <x:v>0</x:v>
      </x:c>
      <x:c r="G134" s="107" t="n">
        <x:v>1.52198457</x:v>
      </x:c>
      <x:c r="H134" s="107" t="n">
        <x:v>0.28156715000000004</x:v>
      </x:c>
    </x:row>
    <x:row r="135" ht="17" customHeight="1">
      <x:c r="A135" s="9" t="str">
        <x:v>2024-10-01</x:v>
      </x:c>
      <x:c r="B135" s="9" t="str">
        <x:v>Actual</x:v>
      </x:c>
      <x:c r="C135" s="9" t="str">
        <x:v>Operations</x:v>
      </x:c>
      <x:c r="D135" s="278" t="n">
        <x:v>29</x:v>
      </x:c>
      <x:c r="E135" s="278" t="n">
        <x:v>0</x:v>
      </x:c>
      <x:c r="F135" s="278" t="n">
        <x:v>0</x:v>
      </x:c>
      <x:c r="G135" s="107" t="n">
        <x:v>2.20799095</x:v>
      </x:c>
      <x:c r="H135" s="107" t="n">
        <x:v>0.40847833</x:v>
      </x:c>
    </x:row>
    <x:row r="136" ht="17" customHeight="1">
      <x:c r="A136" s="9" t="str">
        <x:v>2024-10-01</x:v>
      </x:c>
      <x:c r="B136" s="9" t="str">
        <x:v>Actual</x:v>
      </x:c>
      <x:c r="C136" s="9" t="str">
        <x:v>Sales</x:v>
      </x:c>
      <x:c r="D136" s="278" t="n">
        <x:v>110</x:v>
      </x:c>
      <x:c r="E136" s="278" t="n">
        <x:v>0</x:v>
      </x:c>
      <x:c r="F136" s="278" t="n">
        <x:v>0</x:v>
      </x:c>
      <x:c r="G136" s="107" t="n">
        <x:v>9.43599365</x:v>
      </x:c>
      <x:c r="H136" s="107" t="n">
        <x:v>1.7456588199999998</x:v>
      </x:c>
    </x:row>
    <x:row r="137" ht="17" customHeight="1">
      <x:c r="A137" s="9" t="str">
        <x:v>2024-10-01</x:v>
      </x:c>
      <x:c r="B137" s="9" t="str">
        <x:v>Actual</x:v>
      </x:c>
      <x:c r="C137" s="9" t="str">
        <x:v>Technology</x:v>
      </x:c>
      <x:c r="D137" s="278" t="n">
        <x:v>24</x:v>
      </x:c>
      <x:c r="E137" s="278" t="n">
        <x:v>0</x:v>
      </x:c>
      <x:c r="F137" s="278" t="n">
        <x:v>0</x:v>
      </x:c>
      <x:c r="G137" s="107" t="n">
        <x:v>2.6151534300000003</x:v>
      </x:c>
      <x:c r="H137" s="107" t="n">
        <x:v>0.48380339</x:v>
      </x:c>
    </x:row>
    <x:row r="138" ht="17" customHeight="1">
      <x:c r="A138" s="9" t="str">
        <x:v>2024-11-01</x:v>
      </x:c>
      <x:c r="B138" s="9" t="str">
        <x:v>Actual</x:v>
      </x:c>
      <x:c r="C138" s="9" t="str">
        <x:v>Customer Success</x:v>
      </x:c>
      <x:c r="D138" s="278" t="n">
        <x:v>15</x:v>
      </x:c>
      <x:c r="E138" s="278" t="n">
        <x:v>0</x:v>
      </x:c>
      <x:c r="F138" s="278" t="n">
        <x:v>0</x:v>
      </x:c>
      <x:c r="G138" s="107" t="n">
        <x:v>1.35107593</x:v>
      </x:c>
      <x:c r="H138" s="107" t="n">
        <x:v>0.24994904999999998</x:v>
      </x:c>
    </x:row>
    <x:row r="139" ht="17" customHeight="1">
      <x:c r="A139" s="9" t="str">
        <x:v>2024-11-01</x:v>
      </x:c>
      <x:c r="B139" s="9" t="str">
        <x:v>Actual</x:v>
      </x:c>
      <x:c r="C139" s="9" t="str">
        <x:v>Finance &amp; Corporate</x:v>
      </x:c>
      <x:c r="D139" s="278" t="n">
        <x:v>19</x:v>
      </x:c>
      <x:c r="E139" s="278" t="n">
        <x:v>0</x:v>
      </x:c>
      <x:c r="F139" s="278" t="n">
        <x:v>0</x:v>
      </x:c>
      <x:c r="G139" s="107" t="n">
        <x:v>1.89282122</x:v>
      </x:c>
      <x:c r="H139" s="107" t="n">
        <x:v>0.35017193</x:v>
      </x:c>
    </x:row>
    <x:row r="140" ht="17" customHeight="1">
      <x:c r="A140" s="9" t="str">
        <x:v>2024-11-01</x:v>
      </x:c>
      <x:c r="B140" s="9" t="str">
        <x:v>Actual</x:v>
      </x:c>
      <x:c r="C140" s="9" t="str">
        <x:v>Marketing</x:v>
      </x:c>
      <x:c r="D140" s="278" t="n">
        <x:v>17</x:v>
      </x:c>
      <x:c r="E140" s="278" t="n">
        <x:v>0</x:v>
      </x:c>
      <x:c r="F140" s="278" t="n">
        <x:v>0</x:v>
      </x:c>
      <x:c r="G140" s="107" t="n">
        <x:v>1.52479802</x:v>
      </x:c>
      <x:c r="H140" s="107" t="n">
        <x:v>0.28208763</x:v>
      </x:c>
    </x:row>
    <x:row r="141" ht="17" customHeight="1">
      <x:c r="A141" s="9" t="str">
        <x:v>2024-11-01</x:v>
      </x:c>
      <x:c r="B141" s="9" t="str">
        <x:v>Actual</x:v>
      </x:c>
      <x:c r="C141" s="9" t="str">
        <x:v>Operations</x:v>
      </x:c>
      <x:c r="D141" s="278" t="n">
        <x:v>29</x:v>
      </x:c>
      <x:c r="E141" s="278" t="n">
        <x:v>0</x:v>
      </x:c>
      <x:c r="F141" s="278" t="n">
        <x:v>0</x:v>
      </x:c>
      <x:c r="G141" s="107" t="n">
        <x:v>2.29367907</x:v>
      </x:c>
      <x:c r="H141" s="107" t="n">
        <x:v>0.42433063</x:v>
      </x:c>
    </x:row>
    <x:row r="142" ht="17" customHeight="1">
      <x:c r="A142" s="9" t="str">
        <x:v>2024-11-01</x:v>
      </x:c>
      <x:c r="B142" s="9" t="str">
        <x:v>Actual</x:v>
      </x:c>
      <x:c r="C142" s="9" t="str">
        <x:v>Sales</x:v>
      </x:c>
      <x:c r="D142" s="278" t="n">
        <x:v>109</x:v>
      </x:c>
      <x:c r="E142" s="278" t="n">
        <x:v>0</x:v>
      </x:c>
      <x:c r="F142" s="278" t="n">
        <x:v>1</x:v>
      </x:c>
      <x:c r="G142" s="107" t="n">
        <x:v>9.55278225</x:v>
      </x:c>
      <x:c r="H142" s="107" t="n">
        <x:v>1.76726473</x:v>
      </x:c>
    </x:row>
    <x:row r="143" ht="17" customHeight="1">
      <x:c r="A143" s="9" t="str">
        <x:v>2024-11-01</x:v>
      </x:c>
      <x:c r="B143" s="9" t="str">
        <x:v>Actual</x:v>
      </x:c>
      <x:c r="C143" s="9" t="str">
        <x:v>Technology</x:v>
      </x:c>
      <x:c r="D143" s="278" t="n">
        <x:v>24</x:v>
      </x:c>
      <x:c r="E143" s="278" t="n">
        <x:v>0</x:v>
      </x:c>
      <x:c r="F143" s="278" t="n">
        <x:v>0</x:v>
      </x:c>
      <x:c r="G143" s="107" t="n">
        <x:v>2.5910351400000002</x:v>
      </x:c>
      <x:c r="H143" s="107" t="n">
        <x:v>0.4793415</x:v>
      </x:c>
    </x:row>
    <x:row r="144" ht="17" customHeight="1">
      <x:c r="A144" s="9" t="str">
        <x:v>2024-12-01</x:v>
      </x:c>
      <x:c r="B144" s="9" t="str">
        <x:v>Actual</x:v>
      </x:c>
      <x:c r="C144" s="9" t="str">
        <x:v>Customer Success</x:v>
      </x:c>
      <x:c r="D144" s="278" t="n">
        <x:v>15</x:v>
      </x:c>
      <x:c r="E144" s="278" t="n">
        <x:v>0</x:v>
      </x:c>
      <x:c r="F144" s="278" t="n">
        <x:v>0</x:v>
      </x:c>
      <x:c r="G144" s="107" t="n">
        <x:v>1.35653778</x:v>
      </x:c>
      <x:c r="H144" s="107" t="n">
        <x:v>0.25095949</x:v>
      </x:c>
    </x:row>
    <x:row r="145" ht="17" customHeight="1">
      <x:c r="A145" s="9" t="str">
        <x:v>2024-12-01</x:v>
      </x:c>
      <x:c r="B145" s="9" t="str">
        <x:v>Actual</x:v>
      </x:c>
      <x:c r="C145" s="9" t="str">
        <x:v>Finance &amp; Corporate</x:v>
      </x:c>
      <x:c r="D145" s="278" t="n">
        <x:v>19</x:v>
      </x:c>
      <x:c r="E145" s="278" t="n">
        <x:v>0</x:v>
      </x:c>
      <x:c r="F145" s="278" t="n">
        <x:v>0</x:v>
      </x:c>
      <x:c r="G145" s="107" t="n">
        <x:v>1.90482213</x:v>
      </x:c>
      <x:c r="H145" s="107" t="n">
        <x:v>0.35239209000000005</x:v>
      </x:c>
    </x:row>
    <x:row r="146" ht="17" customHeight="1">
      <x:c r="A146" s="9" t="str">
        <x:v>2024-12-01</x:v>
      </x:c>
      <x:c r="B146" s="9" t="str">
        <x:v>Actual</x:v>
      </x:c>
      <x:c r="C146" s="9" t="str">
        <x:v>Marketing</x:v>
      </x:c>
      <x:c r="D146" s="278" t="n">
        <x:v>17</x:v>
      </x:c>
      <x:c r="E146" s="278" t="n">
        <x:v>0</x:v>
      </x:c>
      <x:c r="F146" s="278" t="n">
        <x:v>0</x:v>
      </x:c>
      <x:c r="G146" s="107" t="n">
        <x:v>1.5391948700000002</x:v>
      </x:c>
      <x:c r="H146" s="107" t="n">
        <x:v>0.28475105</x:v>
      </x:c>
    </x:row>
    <x:row r="147" ht="17" customHeight="1">
      <x:c r="A147" s="9" t="str">
        <x:v>2024-12-01</x:v>
      </x:c>
      <x:c r="B147" s="9" t="str">
        <x:v>Actual</x:v>
      </x:c>
      <x:c r="C147" s="9" t="str">
        <x:v>Operations</x:v>
      </x:c>
      <x:c r="D147" s="278" t="n">
        <x:v>29</x:v>
      </x:c>
      <x:c r="E147" s="278" t="n">
        <x:v>0</x:v>
      </x:c>
      <x:c r="F147" s="278" t="n">
        <x:v>0</x:v>
      </x:c>
      <x:c r="G147" s="107" t="n">
        <x:v>2.2847778599999997</x:v>
      </x:c>
      <x:c r="H147" s="107" t="n">
        <x:v>0.4226839</x:v>
      </x:c>
    </x:row>
    <x:row r="148" ht="17" customHeight="1">
      <x:c r="A148" s="9" t="str">
        <x:v>2024-12-01</x:v>
      </x:c>
      <x:c r="B148" s="9" t="str">
        <x:v>Actual</x:v>
      </x:c>
      <x:c r="C148" s="9" t="str">
        <x:v>Sales</x:v>
      </x:c>
      <x:c r="D148" s="278" t="n">
        <x:v>111</x:v>
      </x:c>
      <x:c r="E148" s="278" t="n">
        <x:v>2</x:v>
      </x:c>
      <x:c r="F148" s="278" t="n">
        <x:v>0</x:v>
      </x:c>
      <x:c r="G148" s="107" t="n">
        <x:v>9.72030805</x:v>
      </x:c>
      <x:c r="H148" s="107" t="n">
        <x:v>1.79825699</x:v>
      </x:c>
    </x:row>
    <x:row r="149" ht="17" customHeight="1">
      <x:c r="A149" s="9" t="str">
        <x:v>2024-12-01</x:v>
      </x:c>
      <x:c r="B149" s="9" t="str">
        <x:v>Actual</x:v>
      </x:c>
      <x:c r="C149" s="9" t="str">
        <x:v>Technology</x:v>
      </x:c>
      <x:c r="D149" s="278" t="n">
        <x:v>24</x:v>
      </x:c>
      <x:c r="E149" s="278" t="n">
        <x:v>0</x:v>
      </x:c>
      <x:c r="F149" s="278" t="n">
        <x:v>0</x:v>
      </x:c>
      <x:c r="G149" s="107" t="n">
        <x:v>2.5555738999999997</x:v>
      </x:c>
      <x:c r="H149" s="107" t="n">
        <x:v>0.47278117</x:v>
      </x:c>
    </x:row>
    <x:row r="150" ht="17" customHeight="1">
      <x:c r="A150" s="9" t="str">
        <x:v>2025-01-01</x:v>
      </x:c>
      <x:c r="B150" s="9" t="str">
        <x:v>Actual</x:v>
      </x:c>
      <x:c r="C150" s="9" t="str">
        <x:v>Customer Success</x:v>
      </x:c>
      <x:c r="D150" s="278" t="n">
        <x:v>15</x:v>
      </x:c>
      <x:c r="E150" s="278" t="n">
        <x:v>0</x:v>
      </x:c>
      <x:c r="F150" s="278" t="n">
        <x:v>0</x:v>
      </x:c>
      <x:c r="G150" s="107" t="n">
        <x:v>1.3563265800000002</x:v>
      </x:c>
      <x:c r="H150" s="107" t="n">
        <x:v>0.25092042000000003</x:v>
      </x:c>
    </x:row>
    <x:row r="151" ht="17" customHeight="1">
      <x:c r="A151" s="9" t="str">
        <x:v>2025-01-01</x:v>
      </x:c>
      <x:c r="B151" s="9" t="str">
        <x:v>Actual</x:v>
      </x:c>
      <x:c r="C151" s="9" t="str">
        <x:v>Finance &amp; Corporate</x:v>
      </x:c>
      <x:c r="D151" s="278" t="n">
        <x:v>20</x:v>
      </x:c>
      <x:c r="E151" s="278" t="n">
        <x:v>1</x:v>
      </x:c>
      <x:c r="F151" s="278" t="n">
        <x:v>0</x:v>
      </x:c>
      <x:c r="G151" s="107" t="n">
        <x:v>1.96668968</x:v>
      </x:c>
      <x:c r="H151" s="107" t="n">
        <x:v>0.36383759000000004</x:v>
      </x:c>
    </x:row>
    <x:row r="152" ht="17" customHeight="1">
      <x:c r="A152" s="9" t="str">
        <x:v>2025-01-01</x:v>
      </x:c>
      <x:c r="B152" s="9" t="str">
        <x:v>Actual</x:v>
      </x:c>
      <x:c r="C152" s="9" t="str">
        <x:v>Marketing</x:v>
      </x:c>
      <x:c r="D152" s="278" t="n">
        <x:v>17</x:v>
      </x:c>
      <x:c r="E152" s="278" t="n">
        <x:v>0</x:v>
      </x:c>
      <x:c r="F152" s="278" t="n">
        <x:v>0</x:v>
      </x:c>
      <x:c r="G152" s="107" t="n">
        <x:v>1.5385833999999998</x:v>
      </x:c>
      <x:c r="H152" s="107" t="n">
        <x:v>0.28463793</x:v>
      </x:c>
    </x:row>
    <x:row r="153" ht="17" customHeight="1">
      <x:c r="A153" s="9" t="str">
        <x:v>2025-01-01</x:v>
      </x:c>
      <x:c r="B153" s="9" t="str">
        <x:v>Actual</x:v>
      </x:c>
      <x:c r="C153" s="9" t="str">
        <x:v>Operations</x:v>
      </x:c>
      <x:c r="D153" s="278" t="n">
        <x:v>29</x:v>
      </x:c>
      <x:c r="E153" s="278" t="n">
        <x:v>0</x:v>
      </x:c>
      <x:c r="F153" s="278" t="n">
        <x:v>0</x:v>
      </x:c>
      <x:c r="G153" s="107" t="n">
        <x:v>2.27570251</x:v>
      </x:c>
      <x:c r="H153" s="107" t="n">
        <x:v>0.42100497</x:v>
      </x:c>
    </x:row>
    <x:row r="154" ht="17" customHeight="1">
      <x:c r="A154" s="9" t="str">
        <x:v>2025-01-01</x:v>
      </x:c>
      <x:c r="B154" s="9" t="str">
        <x:v>Actual</x:v>
      </x:c>
      <x:c r="C154" s="9" t="str">
        <x:v>Sales</x:v>
      </x:c>
      <x:c r="D154" s="278" t="n">
        <x:v>111</x:v>
      </x:c>
      <x:c r="E154" s="278" t="n">
        <x:v>1</x:v>
      </x:c>
      <x:c r="F154" s="278" t="n">
        <x:v>1</x:v>
      </x:c>
      <x:c r="G154" s="107" t="n">
        <x:v>9.39395098</x:v>
      </x:c>
      <x:c r="H154" s="107" t="n">
        <x:v>1.7378809199999998</x:v>
      </x:c>
    </x:row>
    <x:row r="155" ht="17" customHeight="1">
      <x:c r="A155" s="9" t="str">
        <x:v>2025-01-01</x:v>
      </x:c>
      <x:c r="B155" s="9" t="str">
        <x:v>Actual</x:v>
      </x:c>
      <x:c r="C155" s="9" t="str">
        <x:v>Technology</x:v>
      </x:c>
      <x:c r="D155" s="278" t="n">
        <x:v>24</x:v>
      </x:c>
      <x:c r="E155" s="278" t="n">
        <x:v>0</x:v>
      </x:c>
      <x:c r="F155" s="278" t="n">
        <x:v>0</x:v>
      </x:c>
      <x:c r="G155" s="107" t="n">
        <x:v>2.62307925</x:v>
      </x:c>
      <x:c r="H155" s="107" t="n">
        <x:v>0.48526966</x:v>
      </x:c>
    </x:row>
    <x:row r="156" ht="17" customHeight="1">
      <x:c r="A156" s="9" t="str">
        <x:v>2025-02-01</x:v>
      </x:c>
      <x:c r="B156" s="9" t="str">
        <x:v>Actual</x:v>
      </x:c>
      <x:c r="C156" s="9" t="str">
        <x:v>Customer Success</x:v>
      </x:c>
      <x:c r="D156" s="278" t="n">
        <x:v>16</x:v>
      </x:c>
      <x:c r="E156" s="278" t="n">
        <x:v>1</x:v>
      </x:c>
      <x:c r="F156" s="278" t="n">
        <x:v>0</x:v>
      </x:c>
      <x:c r="G156" s="107" t="n">
        <x:v>1.44261608</x:v>
      </x:c>
      <x:c r="H156" s="107" t="n">
        <x:v>0.26688397999999997</x:v>
      </x:c>
    </x:row>
    <x:row r="157" ht="17" customHeight="1">
      <x:c r="A157" s="9" t="str">
        <x:v>2025-02-01</x:v>
      </x:c>
      <x:c r="B157" s="9" t="str">
        <x:v>Actual</x:v>
      </x:c>
      <x:c r="C157" s="9" t="str">
        <x:v>Finance &amp; Corporate</x:v>
      </x:c>
      <x:c r="D157" s="278" t="n">
        <x:v>20</x:v>
      </x:c>
      <x:c r="E157" s="278" t="n">
        <x:v>0</x:v>
      </x:c>
      <x:c r="F157" s="278" t="n">
        <x:v>0</x:v>
      </x:c>
      <x:c r="G157" s="107" t="n">
        <x:v>1.95949738</x:v>
      </x:c>
      <x:c r="H157" s="107" t="n">
        <x:v>0.36250702</x:v>
      </x:c>
    </x:row>
    <x:row r="158" ht="17" customHeight="1">
      <x:c r="A158" s="9" t="str">
        <x:v>2025-02-01</x:v>
      </x:c>
      <x:c r="B158" s="9" t="str">
        <x:v>Actual</x:v>
      </x:c>
      <x:c r="C158" s="9" t="str">
        <x:v>Marketing</x:v>
      </x:c>
      <x:c r="D158" s="278" t="n">
        <x:v>17</x:v>
      </x:c>
      <x:c r="E158" s="278" t="n">
        <x:v>0</x:v>
      </x:c>
      <x:c r="F158" s="278" t="n">
        <x:v>0</x:v>
      </x:c>
      <x:c r="G158" s="107" t="n">
        <x:v>1.52838991</x:v>
      </x:c>
      <x:c r="H158" s="107" t="n">
        <x:v>0.28275213</x:v>
      </x:c>
    </x:row>
    <x:row r="159" ht="17" customHeight="1">
      <x:c r="A159" s="9" t="str">
        <x:v>2025-02-01</x:v>
      </x:c>
      <x:c r="B159" s="9" t="str">
        <x:v>Actual</x:v>
      </x:c>
      <x:c r="C159" s="9" t="str">
        <x:v>Operations</x:v>
      </x:c>
      <x:c r="D159" s="278" t="n">
        <x:v>28</x:v>
      </x:c>
      <x:c r="E159" s="278" t="n">
        <x:v>0</x:v>
      </x:c>
      <x:c r="F159" s="278" t="n">
        <x:v>1</x:v>
      </x:c>
      <x:c r="G159" s="107" t="n">
        <x:v>2.17202407</x:v>
      </x:c>
      <x:c r="H159" s="107" t="n">
        <x:v>0.40182445</x:v>
      </x:c>
    </x:row>
    <x:row r="160" ht="17" customHeight="1">
      <x:c r="A160" s="9" t="str">
        <x:v>2025-02-01</x:v>
      </x:c>
      <x:c r="B160" s="9" t="str">
        <x:v>Actual</x:v>
      </x:c>
      <x:c r="C160" s="9" t="str">
        <x:v>Sales</x:v>
      </x:c>
      <x:c r="D160" s="278" t="n">
        <x:v>112</x:v>
      </x:c>
      <x:c r="E160" s="278" t="n">
        <x:v>1</x:v>
      </x:c>
      <x:c r="F160" s="278" t="n">
        <x:v>0</x:v>
      </x:c>
      <x:c r="G160" s="107" t="n">
        <x:v>9.50664153</x:v>
      </x:c>
      <x:c r="H160" s="107" t="n">
        <x:v>1.75872867</x:v>
      </x:c>
    </x:row>
    <x:row r="161" ht="17" customHeight="1">
      <x:c r="A161" s="9" t="str">
        <x:v>2025-02-01</x:v>
      </x:c>
      <x:c r="B161" s="9" t="str">
        <x:v>Actual</x:v>
      </x:c>
      <x:c r="C161" s="9" t="str">
        <x:v>Technology</x:v>
      </x:c>
      <x:c r="D161" s="278" t="n">
        <x:v>24</x:v>
      </x:c>
      <x:c r="E161" s="278" t="n">
        <x:v>0</x:v>
      </x:c>
      <x:c r="F161" s="278" t="n">
        <x:v>0</x:v>
      </x:c>
      <x:c r="G161" s="107" t="n">
        <x:v>2.5724369300000003</x:v>
      </x:c>
      <x:c r="H161" s="107" t="n">
        <x:v>0.47590083</x:v>
      </x:c>
    </x:row>
    <x:row r="162" ht="17" customHeight="1">
      <x:c r="A162" s="9" t="str">
        <x:v>2025-03-01</x:v>
      </x:c>
      <x:c r="B162" s="9" t="str">
        <x:v>Actual</x:v>
      </x:c>
      <x:c r="C162" s="9" t="str">
        <x:v>Customer Success</x:v>
      </x:c>
      <x:c r="D162" s="278" t="n">
        <x:v>16</x:v>
      </x:c>
      <x:c r="E162" s="278" t="n">
        <x:v>0</x:v>
      </x:c>
      <x:c r="F162" s="278" t="n">
        <x:v>0</x:v>
      </x:c>
      <x:c r="G162" s="107" t="n">
        <x:v>1.4523278899999998</x:v>
      </x:c>
      <x:c r="H162" s="107" t="n">
        <x:v>0.26868065999999996</x:v>
      </x:c>
    </x:row>
    <x:row r="163" ht="17" customHeight="1">
      <x:c r="A163" s="9" t="str">
        <x:v>2025-03-01</x:v>
      </x:c>
      <x:c r="B163" s="9" t="str">
        <x:v>Actual</x:v>
      </x:c>
      <x:c r="C163" s="9" t="str">
        <x:v>Finance &amp; Corporate</x:v>
      </x:c>
      <x:c r="D163" s="278" t="n">
        <x:v>20</x:v>
      </x:c>
      <x:c r="E163" s="278" t="n">
        <x:v>0</x:v>
      </x:c>
      <x:c r="F163" s="278" t="n">
        <x:v>0</x:v>
      </x:c>
      <x:c r="G163" s="107" t="n">
        <x:v>1.94998087</x:v>
      </x:c>
      <x:c r="H163" s="107" t="n">
        <x:v>0.36074646000000005</x:v>
      </x:c>
    </x:row>
    <x:row r="164" ht="17" customHeight="1">
      <x:c r="A164" s="9" t="str">
        <x:v>2025-03-01</x:v>
      </x:c>
      <x:c r="B164" s="9" t="str">
        <x:v>Actual</x:v>
      </x:c>
      <x:c r="C164" s="9" t="str">
        <x:v>Marketing</x:v>
      </x:c>
      <x:c r="D164" s="278" t="n">
        <x:v>17</x:v>
      </x:c>
      <x:c r="E164" s="278" t="n">
        <x:v>0</x:v>
      </x:c>
      <x:c r="F164" s="278" t="n">
        <x:v>0</x:v>
      </x:c>
      <x:c r="G164" s="107" t="n">
        <x:v>1.52591782</x:v>
      </x:c>
      <x:c r="H164" s="107" t="n">
        <x:v>0.2822948</x:v>
      </x:c>
    </x:row>
    <x:row r="165" ht="17" customHeight="1">
      <x:c r="A165" s="9" t="str">
        <x:v>2025-03-01</x:v>
      </x:c>
      <x:c r="B165" s="9" t="str">
        <x:v>Actual</x:v>
      </x:c>
      <x:c r="C165" s="9" t="str">
        <x:v>Operations</x:v>
      </x:c>
      <x:c r="D165" s="278" t="n">
        <x:v>28</x:v>
      </x:c>
      <x:c r="E165" s="278" t="n">
        <x:v>0</x:v>
      </x:c>
      <x:c r="F165" s="278" t="n">
        <x:v>0</x:v>
      </x:c>
      <x:c r="G165" s="107" t="n">
        <x:v>2.1310108199999998</x:v>
      </x:c>
      <x:c r="H165" s="107" t="n">
        <x:v>0.394237</x:v>
      </x:c>
    </x:row>
    <x:row r="166" ht="17" customHeight="1">
      <x:c r="A166" s="9" t="str">
        <x:v>2025-03-01</x:v>
      </x:c>
      <x:c r="B166" s="9" t="str">
        <x:v>Actual</x:v>
      </x:c>
      <x:c r="C166" s="9" t="str">
        <x:v>Sales</x:v>
      </x:c>
      <x:c r="D166" s="278" t="n">
        <x:v>112</x:v>
      </x:c>
      <x:c r="E166" s="278" t="n">
        <x:v>0</x:v>
      </x:c>
      <x:c r="F166" s="278" t="n">
        <x:v>0</x:v>
      </x:c>
      <x:c r="G166" s="107" t="n">
        <x:v>9.5129</x:v>
      </x:c>
      <x:c r="H166" s="107" t="n">
        <x:v>1.7598865</x:v>
      </x:c>
    </x:row>
    <x:row r="167" ht="17" customHeight="1">
      <x:c r="A167" s="9" t="str">
        <x:v>2025-03-01</x:v>
      </x:c>
      <x:c r="B167" s="9" t="str">
        <x:v>Actual</x:v>
      </x:c>
      <x:c r="C167" s="9" t="str">
        <x:v>Technology</x:v>
      </x:c>
      <x:c r="D167" s="278" t="n">
        <x:v>23</x:v>
      </x:c>
      <x:c r="E167" s="278" t="n">
        <x:v>0</x:v>
      </x:c>
      <x:c r="F167" s="278" t="n">
        <x:v>1</x:v>
      </x:c>
      <x:c r="G167" s="107" t="n">
        <x:v>2.44270829</x:v>
      </x:c>
      <x:c r="H167" s="107" t="n">
        <x:v>0.45190103000000004</x:v>
      </x:c>
    </x:row>
    <x:row r="168" ht="17" customHeight="1">
      <x:c r="A168" s="9" t="str">
        <x:v>2025-04-01</x:v>
      </x:c>
      <x:c r="B168" s="9" t="str">
        <x:v>Actual</x:v>
      </x:c>
      <x:c r="C168" s="9" t="str">
        <x:v>Customer Success</x:v>
      </x:c>
      <x:c r="D168" s="278" t="n">
        <x:v>16</x:v>
      </x:c>
      <x:c r="E168" s="278" t="n">
        <x:v>0</x:v>
      </x:c>
      <x:c r="F168" s="278" t="n">
        <x:v>0</x:v>
      </x:c>
      <x:c r="G168" s="107" t="n">
        <x:v>1.50367981</x:v>
      </x:c>
      <x:c r="H168" s="107" t="n">
        <x:v>0.27818076</x:v>
      </x:c>
    </x:row>
    <x:row r="169" ht="17" customHeight="1">
      <x:c r="A169" s="9" t="str">
        <x:v>2025-04-01</x:v>
      </x:c>
      <x:c r="B169" s="9" t="str">
        <x:v>Actual</x:v>
      </x:c>
      <x:c r="C169" s="9" t="str">
        <x:v>Finance &amp; Corporate</x:v>
      </x:c>
      <x:c r="D169" s="278" t="n">
        <x:v>20</x:v>
      </x:c>
      <x:c r="E169" s="278" t="n">
        <x:v>0</x:v>
      </x:c>
      <x:c r="F169" s="278" t="n">
        <x:v>0</x:v>
      </x:c>
      <x:c r="G169" s="107" t="n">
        <x:v>2.11689966</x:v>
      </x:c>
      <x:c r="H169" s="107" t="n">
        <x:v>0.39162644</x:v>
      </x:c>
    </x:row>
    <x:row r="170" ht="17" customHeight="1">
      <x:c r="A170" s="9" t="str">
        <x:v>2025-04-01</x:v>
      </x:c>
      <x:c r="B170" s="9" t="str">
        <x:v>Actual</x:v>
      </x:c>
      <x:c r="C170" s="9" t="str">
        <x:v>Marketing</x:v>
      </x:c>
      <x:c r="D170" s="278" t="n">
        <x:v>17</x:v>
      </x:c>
      <x:c r="E170" s="278" t="n">
        <x:v>0</x:v>
      </x:c>
      <x:c r="F170" s="278" t="n">
        <x:v>0</x:v>
      </x:c>
      <x:c r="G170" s="107" t="n">
        <x:v>1.6278928300000002</x:v>
      </x:c>
      <x:c r="H170" s="107" t="n">
        <x:v>0.30116017</x:v>
      </x:c>
    </x:row>
    <x:row r="171" ht="17" customHeight="1">
      <x:c r="A171" s="9" t="str">
        <x:v>2025-04-01</x:v>
      </x:c>
      <x:c r="B171" s="9" t="str">
        <x:v>Actual</x:v>
      </x:c>
      <x:c r="C171" s="9" t="str">
        <x:v>Operations</x:v>
      </x:c>
      <x:c r="D171" s="278" t="n">
        <x:v>28</x:v>
      </x:c>
      <x:c r="E171" s="278" t="n">
        <x:v>0</x:v>
      </x:c>
      <x:c r="F171" s="278" t="n">
        <x:v>0</x:v>
      </x:c>
      <x:c r="G171" s="107" t="n">
        <x:v>2.34427276</x:v>
      </x:c>
      <x:c r="H171" s="107" t="n">
        <x:v>0.43369046</x:v>
      </x:c>
    </x:row>
    <x:row r="172" ht="17" customHeight="1">
      <x:c r="A172" s="9" t="str">
        <x:v>2025-04-01</x:v>
      </x:c>
      <x:c r="B172" s="9" t="str">
        <x:v>Actual</x:v>
      </x:c>
      <x:c r="C172" s="9" t="str">
        <x:v>Sales</x:v>
      </x:c>
      <x:c r="D172" s="278" t="n">
        <x:v>112</x:v>
      </x:c>
      <x:c r="E172" s="278" t="n">
        <x:v>0</x:v>
      </x:c>
      <x:c r="F172" s="278" t="n">
        <x:v>0</x:v>
      </x:c>
      <x:c r="G172" s="107" t="n">
        <x:v>10.16444065</x:v>
      </x:c>
      <x:c r="H172" s="107" t="n">
        <x:v>1.88042152</x:v>
      </x:c>
    </x:row>
    <x:row r="173" ht="17" customHeight="1">
      <x:c r="A173" s="9" t="str">
        <x:v>2025-04-01</x:v>
      </x:c>
      <x:c r="B173" s="9" t="str">
        <x:v>Actual</x:v>
      </x:c>
      <x:c r="C173" s="9" t="str">
        <x:v>Technology</x:v>
      </x:c>
      <x:c r="D173" s="278" t="n">
        <x:v>23</x:v>
      </x:c>
      <x:c r="E173" s="278" t="n">
        <x:v>0</x:v>
      </x:c>
      <x:c r="F173" s="278" t="n">
        <x:v>0</x:v>
      </x:c>
      <x:c r="G173" s="107" t="n">
        <x:v>2.6161720699999997</x:v>
      </x:c>
      <x:c r="H173" s="107" t="n">
        <x:v>0.48399183</x:v>
      </x:c>
    </x:row>
    <x:row r="174" ht="17" customHeight="1">
      <x:c r="A174" s="9" t="str">
        <x:v>2025-05-01</x:v>
      </x:c>
      <x:c r="B174" s="9" t="str">
        <x:v>Actual</x:v>
      </x:c>
      <x:c r="C174" s="9" t="str">
        <x:v>Customer Success</x:v>
      </x:c>
      <x:c r="D174" s="278" t="n">
        <x:v>16</x:v>
      </x:c>
      <x:c r="E174" s="278" t="n">
        <x:v>0</x:v>
      </x:c>
      <x:c r="F174" s="278" t="n">
        <x:v>0</x:v>
      </x:c>
      <x:c r="G174" s="107" t="n">
        <x:v>1.5313416599999998</x:v>
      </x:c>
      <x:c r="H174" s="107" t="n">
        <x:v>0.28329821</x:v>
      </x:c>
    </x:row>
    <x:row r="175" ht="17" customHeight="1">
      <x:c r="A175" s="9" t="str">
        <x:v>2025-05-01</x:v>
      </x:c>
      <x:c r="B175" s="9" t="str">
        <x:v>Actual</x:v>
      </x:c>
      <x:c r="C175" s="9" t="str">
        <x:v>Finance &amp; Corporate</x:v>
      </x:c>
      <x:c r="D175" s="278" t="n">
        <x:v>20</x:v>
      </x:c>
      <x:c r="E175" s="278" t="n">
        <x:v>0</x:v>
      </x:c>
      <x:c r="F175" s="278" t="n">
        <x:v>0</x:v>
      </x:c>
      <x:c r="G175" s="107" t="n">
        <x:v>2.08777028</x:v>
      </x:c>
      <x:c r="H175" s="107" t="n">
        <x:v>0.3862375</x:v>
      </x:c>
    </x:row>
    <x:row r="176" ht="17" customHeight="1">
      <x:c r="A176" s="9" t="str">
        <x:v>2025-05-01</x:v>
      </x:c>
      <x:c r="B176" s="9" t="str">
        <x:v>Actual</x:v>
      </x:c>
      <x:c r="C176" s="9" t="str">
        <x:v>Marketing</x:v>
      </x:c>
      <x:c r="D176" s="278" t="n">
        <x:v>17</x:v>
      </x:c>
      <x:c r="E176" s="278" t="n">
        <x:v>0</x:v>
      </x:c>
      <x:c r="F176" s="278" t="n">
        <x:v>0</x:v>
      </x:c>
      <x:c r="G176" s="107" t="n">
        <x:v>1.6452257</x:v>
      </x:c>
      <x:c r="H176" s="107" t="n">
        <x:v>0.30436676</x:v>
      </x:c>
    </x:row>
    <x:row r="177" ht="17" customHeight="1">
      <x:c r="A177" s="9" t="str">
        <x:v>2025-05-01</x:v>
      </x:c>
      <x:c r="B177" s="9" t="str">
        <x:v>Actual</x:v>
      </x:c>
      <x:c r="C177" s="9" t="str">
        <x:v>Operations</x:v>
      </x:c>
      <x:c r="D177" s="278" t="n">
        <x:v>29</x:v>
      </x:c>
      <x:c r="E177" s="278" t="n">
        <x:v>1</x:v>
      </x:c>
      <x:c r="F177" s="278" t="n">
        <x:v>0</x:v>
      </x:c>
      <x:c r="G177" s="107" t="n">
        <x:v>2.36452039</x:v>
      </x:c>
      <x:c r="H177" s="107" t="n">
        <x:v>0.43743627</x:v>
      </x:c>
    </x:row>
    <x:row r="178" ht="17" customHeight="1">
      <x:c r="A178" s="9" t="str">
        <x:v>2025-05-01</x:v>
      </x:c>
      <x:c r="B178" s="9" t="str">
        <x:v>Actual</x:v>
      </x:c>
      <x:c r="C178" s="9" t="str">
        <x:v>Sales</x:v>
      </x:c>
      <x:c r="D178" s="278" t="n">
        <x:v>112</x:v>
      </x:c>
      <x:c r="E178" s="278" t="n">
        <x:v>0</x:v>
      </x:c>
      <x:c r="F178" s="278" t="n">
        <x:v>0</x:v>
      </x:c>
      <x:c r="G178" s="107" t="n">
        <x:v>10.196590089999999</x:v>
      </x:c>
      <x:c r="H178" s="107" t="n">
        <x:v>1.8863691599999999</x:v>
      </x:c>
    </x:row>
    <x:row r="179" ht="17" customHeight="1">
      <x:c r="A179" s="9" t="str">
        <x:v>2025-05-01</x:v>
      </x:c>
      <x:c r="B179" s="9" t="str">
        <x:v>Actual</x:v>
      </x:c>
      <x:c r="C179" s="9" t="str">
        <x:v>Technology</x:v>
      </x:c>
      <x:c r="D179" s="278" t="n">
        <x:v>22</x:v>
      </x:c>
      <x:c r="E179" s="278" t="n">
        <x:v>0</x:v>
      </x:c>
      <x:c r="F179" s="278" t="n">
        <x:v>1</x:v>
      </x:c>
      <x:c r="G179" s="107" t="n">
        <x:v>2.4968839</x:v>
      </x:c>
      <x:c r="H179" s="107" t="n">
        <x:v>0.46192352000000003</x:v>
      </x:c>
    </x:row>
    <x:row r="180" ht="17" customHeight="1">
      <x:c r="A180" s="9" t="str">
        <x:v>2025-06-01</x:v>
      </x:c>
      <x:c r="B180" s="9" t="str">
        <x:v>Actual</x:v>
      </x:c>
      <x:c r="C180" s="9" t="str">
        <x:v>Customer Success</x:v>
      </x:c>
      <x:c r="D180" s="278" t="n">
        <x:v>16</x:v>
      </x:c>
      <x:c r="E180" s="278" t="n">
        <x:v>0</x:v>
      </x:c>
      <x:c r="F180" s="278" t="n">
        <x:v>0</x:v>
      </x:c>
      <x:c r="G180" s="107" t="n">
        <x:v>1.5378081399999999</x:v>
      </x:c>
      <x:c r="H180" s="107" t="n">
        <x:v>0.28449451000000003</x:v>
      </x:c>
    </x:row>
    <x:row r="181" ht="17" customHeight="1">
      <x:c r="A181" s="9" t="str">
        <x:v>2025-06-01</x:v>
      </x:c>
      <x:c r="B181" s="9" t="str">
        <x:v>Actual</x:v>
      </x:c>
      <x:c r="C181" s="9" t="str">
        <x:v>Finance &amp; Corporate</x:v>
      </x:c>
      <x:c r="D181" s="278" t="n">
        <x:v>20</x:v>
      </x:c>
      <x:c r="E181" s="278" t="n">
        <x:v>0</x:v>
      </x:c>
      <x:c r="F181" s="278" t="n">
        <x:v>0</x:v>
      </x:c>
      <x:c r="G181" s="107" t="n">
        <x:v>2.05995422</x:v>
      </x:c>
      <x:c r="H181" s="107" t="n">
        <x:v>0.38109153</x:v>
      </x:c>
    </x:row>
    <x:row r="182" ht="17" customHeight="1">
      <x:c r="A182" s="9" t="str">
        <x:v>2025-06-01</x:v>
      </x:c>
      <x:c r="B182" s="9" t="str">
        <x:v>Actual</x:v>
      </x:c>
      <x:c r="C182" s="9" t="str">
        <x:v>Marketing</x:v>
      </x:c>
      <x:c r="D182" s="278" t="n">
        <x:v>18</x:v>
      </x:c>
      <x:c r="E182" s="278" t="n">
        <x:v>1</x:v>
      </x:c>
      <x:c r="F182" s="278" t="n">
        <x:v>0</x:v>
      </x:c>
      <x:c r="G182" s="107" t="n">
        <x:v>1.70542447</x:v>
      </x:c>
      <x:c r="H182" s="107" t="n">
        <x:v>0.31550353000000003</x:v>
      </x:c>
    </x:row>
    <x:row r="183" ht="17" customHeight="1">
      <x:c r="A183" s="9" t="str">
        <x:v>2025-06-01</x:v>
      </x:c>
      <x:c r="B183" s="9" t="str">
        <x:v>Actual</x:v>
      </x:c>
      <x:c r="C183" s="9" t="str">
        <x:v>Operations</x:v>
      </x:c>
      <x:c r="D183" s="278" t="n">
        <x:v>29</x:v>
      </x:c>
      <x:c r="E183" s="278" t="n">
        <x:v>0</x:v>
      </x:c>
      <x:c r="F183" s="278" t="n">
        <x:v>0</x:v>
      </x:c>
      <x:c r="G183" s="107" t="n">
        <x:v>2.39136416</x:v>
      </x:c>
      <x:c r="H183" s="107" t="n">
        <x:v>0.44240237</x:v>
      </x:c>
    </x:row>
    <x:row r="184" ht="17" customHeight="1">
      <x:c r="A184" s="9" t="str">
        <x:v>2025-06-01</x:v>
      </x:c>
      <x:c r="B184" s="9" t="str">
        <x:v>Actual</x:v>
      </x:c>
      <x:c r="C184" s="9" t="str">
        <x:v>Sales</x:v>
      </x:c>
      <x:c r="D184" s="278" t="n">
        <x:v>113</x:v>
      </x:c>
      <x:c r="E184" s="278" t="n">
        <x:v>1</x:v>
      </x:c>
      <x:c r="F184" s="278" t="n">
        <x:v>0</x:v>
      </x:c>
      <x:c r="G184" s="107" t="n">
        <x:v>10.22959308</x:v>
      </x:c>
      <x:c r="H184" s="107" t="n">
        <x:v>1.89247473</x:v>
      </x:c>
    </x:row>
    <x:row r="185" ht="17" customHeight="1">
      <x:c r="A185" s="9" t="str">
        <x:v>2025-06-01</x:v>
      </x:c>
      <x:c r="B185" s="9" t="str">
        <x:v>Actual</x:v>
      </x:c>
      <x:c r="C185" s="9" t="str">
        <x:v>Technology</x:v>
      </x:c>
      <x:c r="D185" s="278" t="n">
        <x:v>22</x:v>
      </x:c>
      <x:c r="E185" s="278" t="n">
        <x:v>0</x:v>
      </x:c>
      <x:c r="F185" s="278" t="n">
        <x:v>0</x:v>
      </x:c>
      <x:c r="G185" s="107" t="n">
        <x:v>2.5002975800000002</x:v>
      </x:c>
      <x:c r="H185" s="107" t="n">
        <x:v>0.46255504999999997</x:v>
      </x:c>
    </x:row>
    <x:row r="186" ht="17" customHeight="1">
      <x:c r="A186" s="9" t="str">
        <x:v>2025-07-01</x:v>
      </x:c>
      <x:c r="B186" s="9" t="str">
        <x:v>Actual</x:v>
      </x:c>
      <x:c r="C186" s="9" t="str">
        <x:v>Customer Success</x:v>
      </x:c>
      <x:c r="D186" s="278" t="n">
        <x:v>16</x:v>
      </x:c>
      <x:c r="E186" s="278" t="n">
        <x:v>0</x:v>
      </x:c>
      <x:c r="F186" s="278" t="n">
        <x:v>0</x:v>
      </x:c>
      <x:c r="G186" s="107" t="n">
        <x:v>1.52713365</x:v>
      </x:c>
      <x:c r="H186" s="107" t="n">
        <x:v>0.28251972</x:v>
      </x:c>
    </x:row>
    <x:row r="187" ht="17" customHeight="1">
      <x:c r="A187" s="9" t="str">
        <x:v>2025-07-01</x:v>
      </x:c>
      <x:c r="B187" s="9" t="str">
        <x:v>Actual</x:v>
      </x:c>
      <x:c r="C187" s="9" t="str">
        <x:v>Finance &amp; Corporate</x:v>
      </x:c>
      <x:c r="D187" s="278" t="n">
        <x:v>21</x:v>
      </x:c>
      <x:c r="E187" s="278" t="n">
        <x:v>1</x:v>
      </x:c>
      <x:c r="F187" s="278" t="n">
        <x:v>0</x:v>
      </x:c>
      <x:c r="G187" s="107" t="n">
        <x:v>2.2170262000000003</x:v>
      </x:c>
      <x:c r="H187" s="107" t="n">
        <x:v>0.41014985</x:v>
      </x:c>
    </x:row>
    <x:row r="188" ht="17" customHeight="1">
      <x:c r="A188" s="9" t="str">
        <x:v>2025-07-01</x:v>
      </x:c>
      <x:c r="B188" s="9" t="str">
        <x:v>Actual</x:v>
      </x:c>
      <x:c r="C188" s="9" t="str">
        <x:v>Marketing</x:v>
      </x:c>
      <x:c r="D188" s="278" t="n">
        <x:v>18</x:v>
      </x:c>
      <x:c r="E188" s="278" t="n">
        <x:v>0</x:v>
      </x:c>
      <x:c r="F188" s="278" t="n">
        <x:v>0</x:v>
      </x:c>
      <x:c r="G188" s="107" t="n">
        <x:v>1.78140649</x:v>
      </x:c>
      <x:c r="H188" s="107" t="n">
        <x:v>0.3295602</x:v>
      </x:c>
    </x:row>
    <x:row r="189" ht="17" customHeight="1">
      <x:c r="A189" s="9" t="str">
        <x:v>2025-07-01</x:v>
      </x:c>
      <x:c r="B189" s="9" t="str">
        <x:v>Actual</x:v>
      </x:c>
      <x:c r="C189" s="9" t="str">
        <x:v>Operations</x:v>
      </x:c>
      <x:c r="D189" s="278" t="n">
        <x:v>29</x:v>
      </x:c>
      <x:c r="E189" s="278" t="n">
        <x:v>0</x:v>
      </x:c>
      <x:c r="F189" s="278" t="n">
        <x:v>0</x:v>
      </x:c>
      <x:c r="G189" s="107" t="n">
        <x:v>2.35862044</x:v>
      </x:c>
      <x:c r="H189" s="107" t="n">
        <x:v>0.43634478000000004</x:v>
      </x:c>
    </x:row>
    <x:row r="190" ht="17" customHeight="1">
      <x:c r="A190" s="9" t="str">
        <x:v>2025-07-01</x:v>
      </x:c>
      <x:c r="B190" s="9" t="str">
        <x:v>Actual</x:v>
      </x:c>
      <x:c r="C190" s="9" t="str">
        <x:v>Sales</x:v>
      </x:c>
      <x:c r="D190" s="278" t="n">
        <x:v>113</x:v>
      </x:c>
      <x:c r="E190" s="278" t="n">
        <x:v>0</x:v>
      </x:c>
      <x:c r="F190" s="278" t="n">
        <x:v>0</x:v>
      </x:c>
      <x:c r="G190" s="107" t="n">
        <x:v>10.20819885</x:v>
      </x:c>
      <x:c r="H190" s="107" t="n">
        <x:v>1.88851676</x:v>
      </x:c>
    </x:row>
    <x:row r="191" ht="17" customHeight="1">
      <x:c r="A191" s="9" t="str">
        <x:v>2025-07-01</x:v>
      </x:c>
      <x:c r="B191" s="9" t="str">
        <x:v>Actual</x:v>
      </x:c>
      <x:c r="C191" s="9" t="str">
        <x:v>Technology</x:v>
      </x:c>
      <x:c r="D191" s="278" t="n">
        <x:v>22</x:v>
      </x:c>
      <x:c r="E191" s="278" t="n">
        <x:v>0</x:v>
      </x:c>
      <x:c r="F191" s="278" t="n">
        <x:v>0</x:v>
      </x:c>
      <x:c r="G191" s="107" t="n">
        <x:v>2.4839170299999997</x:v>
      </x:c>
      <x:c r="H191" s="107" t="n">
        <x:v>0.45952465000000003</x:v>
      </x:c>
    </x:row>
    <x:row r="192" ht="17" customHeight="1">
      <x:c r="A192" s="9" t="str">
        <x:v>2025-08-01</x:v>
      </x:c>
      <x:c r="B192" s="9" t="str">
        <x:v>Actual</x:v>
      </x:c>
      <x:c r="C192" s="9" t="str">
        <x:v>Customer Success</x:v>
      </x:c>
      <x:c r="D192" s="278" t="n">
        <x:v>16</x:v>
      </x:c>
      <x:c r="E192" s="278" t="n">
        <x:v>1</x:v>
      </x:c>
      <x:c r="F192" s="278" t="n">
        <x:v>1</x:v>
      </x:c>
      <x:c r="G192" s="107" t="n">
        <x:v>1.52536405</x:v>
      </x:c>
      <x:c r="H192" s="107" t="n">
        <x:v>0.28219235</x:v>
      </x:c>
    </x:row>
    <x:row r="193" ht="17" customHeight="1">
      <x:c r="A193" s="9" t="str">
        <x:v>2025-08-01</x:v>
      </x:c>
      <x:c r="B193" s="9" t="str">
        <x:v>Actual</x:v>
      </x:c>
      <x:c r="C193" s="9" t="str">
        <x:v>Finance &amp; Corporate</x:v>
      </x:c>
      <x:c r="D193" s="278" t="n">
        <x:v>21</x:v>
      </x:c>
      <x:c r="E193" s="278" t="n">
        <x:v>0</x:v>
      </x:c>
      <x:c r="F193" s="278" t="n">
        <x:v>0</x:v>
      </x:c>
      <x:c r="G193" s="107" t="n">
        <x:v>2.19858198</x:v>
      </x:c>
      <x:c r="H193" s="107" t="n">
        <x:v>0.40673767</x:v>
      </x:c>
    </x:row>
    <x:row r="194" ht="17" customHeight="1">
      <x:c r="A194" s="9" t="str">
        <x:v>2025-08-01</x:v>
      </x:c>
      <x:c r="B194" s="9" t="str">
        <x:v>Actual</x:v>
      </x:c>
      <x:c r="C194" s="9" t="str">
        <x:v>Marketing</x:v>
      </x:c>
      <x:c r="D194" s="278" t="n">
        <x:v>18</x:v>
      </x:c>
      <x:c r="E194" s="278" t="n">
        <x:v>0</x:v>
      </x:c>
      <x:c r="F194" s="278" t="n">
        <x:v>0</x:v>
      </x:c>
      <x:c r="G194" s="107" t="n">
        <x:v>1.73101432</x:v>
      </x:c>
      <x:c r="H194" s="107" t="n">
        <x:v>0.32023765000000004</x:v>
      </x:c>
    </x:row>
    <x:row r="195" ht="17" customHeight="1">
      <x:c r="A195" s="9" t="str">
        <x:v>2025-08-01</x:v>
      </x:c>
      <x:c r="B195" s="9" t="str">
        <x:v>Actual</x:v>
      </x:c>
      <x:c r="C195" s="9" t="str">
        <x:v>Operations</x:v>
      </x:c>
      <x:c r="D195" s="278" t="n">
        <x:v>29</x:v>
      </x:c>
      <x:c r="E195" s="278" t="n">
        <x:v>0</x:v>
      </x:c>
      <x:c r="F195" s="278" t="n">
        <x:v>0</x:v>
      </x:c>
      <x:c r="G195" s="107" t="n">
        <x:v>2.37962195</x:v>
      </x:c>
      <x:c r="H195" s="107" t="n">
        <x:v>0.44023006</x:v>
      </x:c>
    </x:row>
    <x:row r="196" ht="17" customHeight="1">
      <x:c r="A196" s="9" t="str">
        <x:v>2025-08-01</x:v>
      </x:c>
      <x:c r="B196" s="9" t="str">
        <x:v>Actual</x:v>
      </x:c>
      <x:c r="C196" s="9" t="str">
        <x:v>Sales</x:v>
      </x:c>
      <x:c r="D196" s="278" t="n">
        <x:v>114</x:v>
      </x:c>
      <x:c r="E196" s="278" t="n">
        <x:v>1</x:v>
      </x:c>
      <x:c r="F196" s="278" t="n">
        <x:v>0</x:v>
      </x:c>
      <x:c r="G196" s="107" t="n">
        <x:v>10.31627017</x:v>
      </x:c>
      <x:c r="H196" s="107" t="n">
        <x:v>1.90850999</x:v>
      </x:c>
    </x:row>
    <x:row r="197" ht="17" customHeight="1">
      <x:c r="A197" s="9" t="str">
        <x:v>2025-08-01</x:v>
      </x:c>
      <x:c r="B197" s="9" t="str">
        <x:v>Actual</x:v>
      </x:c>
      <x:c r="C197" s="9" t="str">
        <x:v>Technology</x:v>
      </x:c>
      <x:c r="D197" s="278" t="n">
        <x:v>22</x:v>
      </x:c>
      <x:c r="E197" s="278" t="n">
        <x:v>0</x:v>
      </x:c>
      <x:c r="F197" s="278" t="n">
        <x:v>0</x:v>
      </x:c>
      <x:c r="G197" s="107" t="n">
        <x:v>2.5207985099999997</x:v>
      </x:c>
      <x:c r="H197" s="107" t="n">
        <x:v>0.46634771999999997</x:v>
      </x:c>
    </x:row>
    <x:row r="198" ht="17" customHeight="1">
      <x:c r="A198" s="9" t="str">
        <x:v>2025-09-01</x:v>
      </x:c>
      <x:c r="B198" s="9" t="str">
        <x:v>Actual</x:v>
      </x:c>
      <x:c r="C198" s="9" t="str">
        <x:v>Customer Success</x:v>
      </x:c>
      <x:c r="D198" s="278" t="n">
        <x:v>16</x:v>
      </x:c>
      <x:c r="E198" s="278" t="n">
        <x:v>0</x:v>
      </x:c>
      <x:c r="F198" s="278" t="n">
        <x:v>0</x:v>
      </x:c>
      <x:c r="G198" s="107" t="n">
        <x:v>1.51582803</x:v>
      </x:c>
      <x:c r="H198" s="107" t="n">
        <x:v>0.28042819</x:v>
      </x:c>
    </x:row>
    <x:row r="199" ht="17" customHeight="1">
      <x:c r="A199" s="9" t="str">
        <x:v>2025-09-01</x:v>
      </x:c>
      <x:c r="B199" s="9" t="str">
        <x:v>Actual</x:v>
      </x:c>
      <x:c r="C199" s="9" t="str">
        <x:v>Finance &amp; Corporate</x:v>
      </x:c>
      <x:c r="D199" s="278" t="n">
        <x:v>21</x:v>
      </x:c>
      <x:c r="E199" s="278" t="n">
        <x:v>0</x:v>
      </x:c>
      <x:c r="F199" s="278" t="n">
        <x:v>0</x:v>
      </x:c>
      <x:c r="G199" s="107" t="n">
        <x:v>2.19335737</x:v>
      </x:c>
      <x:c r="H199" s="107" t="n">
        <x:v>0.40577111</x:v>
      </x:c>
    </x:row>
    <x:row r="200" ht="17" customHeight="1">
      <x:c r="A200" s="9" t="str">
        <x:v>2025-09-01</x:v>
      </x:c>
      <x:c r="B200" s="9" t="str">
        <x:v>Actual</x:v>
      </x:c>
      <x:c r="C200" s="9" t="str">
        <x:v>Marketing</x:v>
      </x:c>
      <x:c r="D200" s="278" t="n">
        <x:v>18</x:v>
      </x:c>
      <x:c r="E200" s="278" t="n">
        <x:v>0</x:v>
      </x:c>
      <x:c r="F200" s="278" t="n">
        <x:v>0</x:v>
      </x:c>
      <x:c r="G200" s="107" t="n">
        <x:v>1.74961232</x:v>
      </x:c>
      <x:c r="H200" s="107" t="n">
        <x:v>0.32367828000000004</x:v>
      </x:c>
    </x:row>
    <x:row r="201" ht="17" customHeight="1">
      <x:c r="A201" s="9" t="str">
        <x:v>2025-09-01</x:v>
      </x:c>
      <x:c r="B201" s="9" t="str">
        <x:v>Actual</x:v>
      </x:c>
      <x:c r="C201" s="9" t="str">
        <x:v>Operations</x:v>
      </x:c>
      <x:c r="D201" s="278" t="n">
        <x:v>29</x:v>
      </x:c>
      <x:c r="E201" s="278" t="n">
        <x:v>0</x:v>
      </x:c>
      <x:c r="F201" s="278" t="n">
        <x:v>0</x:v>
      </x:c>
      <x:c r="G201" s="107" t="n">
        <x:v>2.42413258</x:v>
      </x:c>
      <x:c r="H201" s="107" t="n">
        <x:v>0.44846453000000003</x:v>
      </x:c>
    </x:row>
    <x:row r="202" ht="17" customHeight="1">
      <x:c r="A202" s="9" t="str">
        <x:v>2025-09-01</x:v>
      </x:c>
      <x:c r="B202" s="9" t="str">
        <x:v>Actual</x:v>
      </x:c>
      <x:c r="C202" s="9" t="str">
        <x:v>Sales</x:v>
      </x:c>
      <x:c r="D202" s="278" t="n">
        <x:v>113</x:v>
      </x:c>
      <x:c r="E202" s="278" t="n">
        <x:v>0</x:v>
      </x:c>
      <x:c r="F202" s="278" t="n">
        <x:v>1</x:v>
      </x:c>
      <x:c r="G202" s="107" t="n">
        <x:v>10.23590594</x:v>
      </x:c>
      <x:c r="H202" s="107" t="n">
        <x:v>1.8936426000000002</x:v>
      </x:c>
    </x:row>
    <x:row r="203" ht="17" customHeight="1">
      <x:c r="A203" s="9" t="str">
        <x:v>2025-09-01</x:v>
      </x:c>
      <x:c r="B203" s="9" t="str">
        <x:v>Actual</x:v>
      </x:c>
      <x:c r="C203" s="9" t="str">
        <x:v>Technology</x:v>
      </x:c>
      <x:c r="D203" s="278" t="n">
        <x:v>22</x:v>
      </x:c>
      <x:c r="E203" s="278" t="n">
        <x:v>0</x:v>
      </x:c>
      <x:c r="F203" s="278" t="n">
        <x:v>0</x:v>
      </x:c>
      <x:c r="G203" s="107" t="n">
        <x:v>2.5080306</x:v>
      </x:c>
      <x:c r="H203" s="107" t="n">
        <x:v>0.46398565999999997</x:v>
      </x:c>
    </x:row>
    <x:row r="204" ht="17" customHeight="1">
      <x:c r="A204" s="9" t="str">
        <x:v>2025-10-01</x:v>
      </x:c>
      <x:c r="B204" s="9" t="str">
        <x:v>Actual</x:v>
      </x:c>
      <x:c r="C204" s="9" t="str">
        <x:v>Customer Success</x:v>
      </x:c>
      <x:c r="D204" s="278" t="n">
        <x:v>16</x:v>
      </x:c>
      <x:c r="E204" s="278" t="n">
        <x:v>0</x:v>
      </x:c>
      <x:c r="F204" s="278" t="n">
        <x:v>0</x:v>
      </x:c>
      <x:c r="G204" s="107" t="n">
        <x:v>1.51534445</x:v>
      </x:c>
      <x:c r="H204" s="107" t="n">
        <x:v>0.28033872</x:v>
      </x:c>
    </x:row>
    <x:row r="205" ht="17" customHeight="1">
      <x:c r="A205" s="9" t="str">
        <x:v>2025-10-01</x:v>
      </x:c>
      <x:c r="B205" s="9" t="str">
        <x:v>Actual</x:v>
      </x:c>
      <x:c r="C205" s="9" t="str">
        <x:v>Finance &amp; Corporate</x:v>
      </x:c>
      <x:c r="D205" s="278" t="n">
        <x:v>21</x:v>
      </x:c>
      <x:c r="E205" s="278" t="n">
        <x:v>0</x:v>
      </x:c>
      <x:c r="F205" s="278" t="n">
        <x:v>0</x:v>
      </x:c>
      <x:c r="G205" s="107" t="n">
        <x:v>2.24149479</x:v>
      </x:c>
      <x:c r="H205" s="107" t="n">
        <x:v>0.41467654</x:v>
      </x:c>
    </x:row>
    <x:row r="206" ht="17" customHeight="1">
      <x:c r="A206" s="9" t="str">
        <x:v>2025-10-01</x:v>
      </x:c>
      <x:c r="B206" s="9" t="str">
        <x:v>Actual</x:v>
      </x:c>
      <x:c r="C206" s="9" t="str">
        <x:v>Marketing</x:v>
      </x:c>
      <x:c r="D206" s="278" t="n">
        <x:v>18</x:v>
      </x:c>
      <x:c r="E206" s="278" t="n">
        <x:v>1</x:v>
      </x:c>
      <x:c r="F206" s="278" t="n">
        <x:v>1</x:v>
      </x:c>
      <x:c r="G206" s="107" t="n">
        <x:v>1.73492838</x:v>
      </x:c>
      <x:c r="H206" s="107" t="n">
        <x:v>0.32096175</x:v>
      </x:c>
    </x:row>
    <x:row r="207" ht="17" customHeight="1">
      <x:c r="A207" s="9" t="str">
        <x:v>2025-10-01</x:v>
      </x:c>
      <x:c r="B207" s="9" t="str">
        <x:v>Actual</x:v>
      </x:c>
      <x:c r="C207" s="9" t="str">
        <x:v>Operations</x:v>
      </x:c>
      <x:c r="D207" s="278" t="n">
        <x:v>30</x:v>
      </x:c>
      <x:c r="E207" s="278" t="n">
        <x:v>1</x:v>
      </x:c>
      <x:c r="F207" s="278" t="n">
        <x:v>0</x:v>
      </x:c>
      <x:c r="G207" s="107" t="n">
        <x:v>2.50443062</x:v>
      </x:c>
      <x:c r="H207" s="107" t="n">
        <x:v>0.46331966999999996</x:v>
      </x:c>
    </x:row>
    <x:row r="208" ht="17" customHeight="1">
      <x:c r="A208" s="9" t="str">
        <x:v>2025-10-01</x:v>
      </x:c>
      <x:c r="B208" s="9" t="str">
        <x:v>Actual</x:v>
      </x:c>
      <x:c r="C208" s="9" t="str">
        <x:v>Sales</x:v>
      </x:c>
      <x:c r="D208" s="278" t="n">
        <x:v>114</x:v>
      </x:c>
      <x:c r="E208" s="278" t="n">
        <x:v>1</x:v>
      </x:c>
      <x:c r="F208" s="278" t="n">
        <x:v>0</x:v>
      </x:c>
      <x:c r="G208" s="107" t="n">
        <x:v>10.30290999</x:v>
      </x:c>
      <x:c r="H208" s="107" t="n">
        <x:v>1.9060383399999998</x:v>
      </x:c>
    </x:row>
    <x:row r="209" ht="17" customHeight="1">
      <x:c r="A209" s="9" t="str">
        <x:v>2025-10-01</x:v>
      </x:c>
      <x:c r="B209" s="9" t="str">
        <x:v>Actual</x:v>
      </x:c>
      <x:c r="C209" s="9" t="str">
        <x:v>Technology</x:v>
      </x:c>
      <x:c r="D209" s="278" t="n">
        <x:v>22</x:v>
      </x:c>
      <x:c r="E209" s="278" t="n">
        <x:v>0</x:v>
      </x:c>
      <x:c r="F209" s="278" t="n">
        <x:v>0</x:v>
      </x:c>
      <x:c r="G209" s="107" t="n">
        <x:v>2.54365103</x:v>
      </x:c>
      <x:c r="H209" s="107" t="n">
        <x:v>0.47057544</x:v>
      </x:c>
    </x:row>
    <x:row r="210" ht="17" customHeight="1">
      <x:c r="A210" s="9" t="str">
        <x:v>2025-11-01</x:v>
      </x:c>
      <x:c r="B210" s="9" t="str">
        <x:v>Actual</x:v>
      </x:c>
      <x:c r="C210" s="9" t="str">
        <x:v>Customer Success</x:v>
      </x:c>
      <x:c r="D210" s="278" t="n">
        <x:v>16</x:v>
      </x:c>
      <x:c r="E210" s="278" t="n">
        <x:v>0</x:v>
      </x:c>
      <x:c r="F210" s="278" t="n">
        <x:v>0</x:v>
      </x:c>
      <x:c r="G210" s="107" t="n">
        <x:v>1.49242321</x:v>
      </x:c>
      <x:c r="H210" s="107" t="n">
        <x:v>0.27609828999999997</x:v>
      </x:c>
    </x:row>
    <x:row r="211" ht="17" customHeight="1">
      <x:c r="A211" s="9" t="str">
        <x:v>2025-11-01</x:v>
      </x:c>
      <x:c r="B211" s="9" t="str">
        <x:v>Actual</x:v>
      </x:c>
      <x:c r="C211" s="9" t="str">
        <x:v>Finance &amp; Corporate</x:v>
      </x:c>
      <x:c r="D211" s="278" t="n">
        <x:v>21</x:v>
      </x:c>
      <x:c r="E211" s="278" t="n">
        <x:v>0</x:v>
      </x:c>
      <x:c r="F211" s="278" t="n">
        <x:v>0</x:v>
      </x:c>
      <x:c r="G211" s="107" t="n">
        <x:v>2.20496346</x:v>
      </x:c>
      <x:c r="H211" s="107" t="n">
        <x:v>0.40791824</x:v>
      </x:c>
    </x:row>
    <x:row r="212" ht="17" customHeight="1">
      <x:c r="A212" s="9" t="str">
        <x:v>2025-11-01</x:v>
      </x:c>
      <x:c r="B212" s="9" t="str">
        <x:v>Actual</x:v>
      </x:c>
      <x:c r="C212" s="9" t="str">
        <x:v>Marketing</x:v>
      </x:c>
      <x:c r="D212" s="278" t="n">
        <x:v>18</x:v>
      </x:c>
      <x:c r="E212" s="278" t="n">
        <x:v>0</x:v>
      </x:c>
      <x:c r="F212" s="278" t="n">
        <x:v>0</x:v>
      </x:c>
      <x:c r="G212" s="107" t="n">
        <x:v>1.72004695</x:v>
      </x:c>
      <x:c r="H212" s="107" t="n">
        <x:v>0.31820869</x:v>
      </x:c>
    </x:row>
    <x:row r="213" ht="17" customHeight="1">
      <x:c r="A213" s="9" t="str">
        <x:v>2025-11-01</x:v>
      </x:c>
      <x:c r="B213" s="9" t="str">
        <x:v>Actual</x:v>
      </x:c>
      <x:c r="C213" s="9" t="str">
        <x:v>Operations</x:v>
      </x:c>
      <x:c r="D213" s="278" t="n">
        <x:v>30</x:v>
      </x:c>
      <x:c r="E213" s="278" t="n">
        <x:v>0</x:v>
      </x:c>
      <x:c r="F213" s="278" t="n">
        <x:v>0</x:v>
      </x:c>
      <x:c r="G213" s="107" t="n">
        <x:v>2.51256643</x:v>
      </x:c>
      <x:c r="H213" s="107" t="n">
        <x:v>0.46482479</x:v>
      </x:c>
    </x:row>
    <x:row r="214" ht="17" customHeight="1">
      <x:c r="A214" s="9" t="str">
        <x:v>2025-11-01</x:v>
      </x:c>
      <x:c r="B214" s="9" t="str">
        <x:v>Actual</x:v>
      </x:c>
      <x:c r="C214" s="9" t="str">
        <x:v>Sales</x:v>
      </x:c>
      <x:c r="D214" s="278" t="n">
        <x:v>114</x:v>
      </x:c>
      <x:c r="E214" s="278" t="n">
        <x:v>0</x:v>
      </x:c>
      <x:c r="F214" s="278" t="n">
        <x:v>0</x:v>
      </x:c>
      <x:c r="G214" s="107" t="n">
        <x:v>10.61143407</x:v>
      </x:c>
      <x:c r="H214" s="107" t="n">
        <x:v>1.9631153199999998</x:v>
      </x:c>
    </x:row>
    <x:row r="215" ht="17" customHeight="1">
      <x:c r="A215" s="9" t="str">
        <x:v>2025-11-01</x:v>
      </x:c>
      <x:c r="B215" s="9" t="str">
        <x:v>Actual</x:v>
      </x:c>
      <x:c r="C215" s="9" t="str">
        <x:v>Technology</x:v>
      </x:c>
      <x:c r="D215" s="278" t="n">
        <x:v>22</x:v>
      </x:c>
      <x:c r="E215" s="278" t="n">
        <x:v>0</x:v>
      </x:c>
      <x:c r="F215" s="278" t="n">
        <x:v>0</x:v>
      </x:c>
      <x:c r="G215" s="107" t="n">
        <x:v>2.46578598</x:v>
      </x:c>
      <x:c r="H215" s="107" t="n">
        <x:v>0.45617040999999997</x:v>
      </x:c>
    </x:row>
    <x:row r="216" ht="17" customHeight="1">
      <x:c r="A216" s="9" t="str">
        <x:v>2025-12-01</x:v>
      </x:c>
      <x:c r="B216" s="9" t="str">
        <x:v>Actual</x:v>
      </x:c>
      <x:c r="C216" s="9" t="str">
        <x:v>Customer Success</x:v>
      </x:c>
      <x:c r="D216" s="278" t="n">
        <x:v>16</x:v>
      </x:c>
      <x:c r="E216" s="278" t="n">
        <x:v>0</x:v>
      </x:c>
      <x:c r="F216" s="278" t="n">
        <x:v>0</x:v>
      </x:c>
      <x:c r="G216" s="107" t="n">
        <x:v>1.4866163300000002</x:v>
      </x:c>
      <x:c r="H216" s="107" t="n">
        <x:v>0.27502402000000004</x:v>
      </x:c>
    </x:row>
    <x:row r="217" ht="17" customHeight="1">
      <x:c r="A217" s="9" t="str">
        <x:v>2025-12-01</x:v>
      </x:c>
      <x:c r="B217" s="9" t="str">
        <x:v>Actual</x:v>
      </x:c>
      <x:c r="C217" s="9" t="str">
        <x:v>Finance &amp; Corporate</x:v>
      </x:c>
      <x:c r="D217" s="278" t="n">
        <x:v>21</x:v>
      </x:c>
      <x:c r="E217" s="278" t="n">
        <x:v>0</x:v>
      </x:c>
      <x:c r="F217" s="278" t="n">
        <x:v>0</x:v>
      </x:c>
      <x:c r="G217" s="107" t="n">
        <x:v>2.15786835</x:v>
      </x:c>
      <x:c r="H217" s="107" t="n">
        <x:v>0.39920564000000003</x:v>
      </x:c>
    </x:row>
    <x:row r="218" ht="17" customHeight="1">
      <x:c r="A218" s="9" t="str">
        <x:v>2025-12-01</x:v>
      </x:c>
      <x:c r="B218" s="9" t="str">
        <x:v>Actual</x:v>
      </x:c>
      <x:c r="C218" s="9" t="str">
        <x:v>Marketing</x:v>
      </x:c>
      <x:c r="D218" s="278" t="n">
        <x:v>18</x:v>
      </x:c>
      <x:c r="E218" s="278" t="n">
        <x:v>0</x:v>
      </x:c>
      <x:c r="F218" s="278" t="n">
        <x:v>0</x:v>
      </x:c>
      <x:c r="G218" s="107" t="n">
        <x:v>1.73113026</x:v>
      </x:c>
      <x:c r="H218" s="107" t="n">
        <x:v>0.32025909999999996</x:v>
      </x:c>
    </x:row>
    <x:row r="219" ht="17" customHeight="1">
      <x:c r="A219" s="9" t="str">
        <x:v>2025-12-01</x:v>
      </x:c>
      <x:c r="B219" s="9" t="str">
        <x:v>Actual</x:v>
      </x:c>
      <x:c r="C219" s="9" t="str">
        <x:v>Operations</x:v>
      </x:c>
      <x:c r="D219" s="278" t="n">
        <x:v>30</x:v>
      </x:c>
      <x:c r="E219" s="278" t="n">
        <x:v>0</x:v>
      </x:c>
      <x:c r="F219" s="278" t="n">
        <x:v>0</x:v>
      </x:c>
      <x:c r="G219" s="107" t="n">
        <x:v>2.5597572599999996</x:v>
      </x:c>
      <x:c r="H219" s="107" t="n">
        <x:v>0.47355509</x:v>
      </x:c>
    </x:row>
    <x:row r="220" ht="17" customHeight="1">
      <x:c r="A220" s="9" t="str">
        <x:v>2025-12-01</x:v>
      </x:c>
      <x:c r="B220" s="9" t="str">
        <x:v>Actual</x:v>
      </x:c>
      <x:c r="C220" s="9" t="str">
        <x:v>Sales</x:v>
      </x:c>
      <x:c r="D220" s="278" t="n">
        <x:v>114</x:v>
      </x:c>
      <x:c r="E220" s="278" t="n">
        <x:v>1</x:v>
      </x:c>
      <x:c r="F220" s="278" t="n">
        <x:v>1</x:v>
      </x:c>
      <x:c r="G220" s="107" t="n">
        <x:v>10.522460209999998</x:v>
      </x:c>
      <x:c r="H220" s="107" t="n">
        <x:v>1.94665515</x:v>
      </x:c>
    </x:row>
    <x:row r="221" ht="17" customHeight="1">
      <x:c r="A221" s="9" t="str">
        <x:v>2025-12-01</x:v>
      </x:c>
      <x:c r="B221" s="9" t="str">
        <x:v>Actual</x:v>
      </x:c>
      <x:c r="C221" s="9" t="str">
        <x:v>Technology</x:v>
      </x:c>
      <x:c r="D221" s="278" t="n">
        <x:v>22</x:v>
      </x:c>
      <x:c r="E221" s="278" t="n">
        <x:v>0</x:v>
      </x:c>
      <x:c r="F221" s="278" t="n">
        <x:v>0</x:v>
      </x:c>
      <x:c r="G221" s="107" t="n">
        <x:v>2.55247219</x:v>
      </x:c>
      <x:c r="H221" s="107" t="n">
        <x:v>0.47220735999999996</x:v>
      </x:c>
    </x:row>
    <x:row r="222" ht="17" customHeight="1">
      <x:c r="A222" s="9" t="str">
        <x:v>2026-01-01</x:v>
      </x:c>
      <x:c r="B222" s="9" t="str">
        <x:v>Actual</x:v>
      </x:c>
      <x:c r="C222" s="9" t="str">
        <x:v>Customer Success</x:v>
      </x:c>
      <x:c r="D222" s="278" t="n">
        <x:v>16</x:v>
      </x:c>
      <x:c r="E222" s="278" t="n">
        <x:v>0</x:v>
      </x:c>
      <x:c r="F222" s="278" t="n">
        <x:v>0</x:v>
      </x:c>
      <x:c r="G222" s="107" t="n">
        <x:v>1.5174988</x:v>
      </x:c>
      <x:c r="H222" s="107" t="n">
        <x:v>0.28073728000000003</x:v>
      </x:c>
    </x:row>
    <x:row r="223" ht="17" customHeight="1">
      <x:c r="A223" s="9" t="str">
        <x:v>2026-01-01</x:v>
      </x:c>
      <x:c r="B223" s="9" t="str">
        <x:v>Actual</x:v>
      </x:c>
      <x:c r="C223" s="9" t="str">
        <x:v>Finance &amp; Corporate</x:v>
      </x:c>
      <x:c r="D223" s="278" t="n">
        <x:v>21</x:v>
      </x:c>
      <x:c r="E223" s="278" t="n">
        <x:v>0</x:v>
      </x:c>
      <x:c r="F223" s="278" t="n">
        <x:v>0</x:v>
      </x:c>
      <x:c r="G223" s="107" t="n">
        <x:v>2.1936524100000003</x:v>
      </x:c>
      <x:c r="H223" s="107" t="n">
        <x:v>0.4058257</x:v>
      </x:c>
    </x:row>
    <x:row r="224" ht="17" customHeight="1">
      <x:c r="A224" s="9" t="str">
        <x:v>2026-01-01</x:v>
      </x:c>
      <x:c r="B224" s="9" t="str">
        <x:v>Actual</x:v>
      </x:c>
      <x:c r="C224" s="9" t="str">
        <x:v>Marketing</x:v>
      </x:c>
      <x:c r="D224" s="278" t="n">
        <x:v>18</x:v>
      </x:c>
      <x:c r="E224" s="278" t="n">
        <x:v>0</x:v>
      </x:c>
      <x:c r="F224" s="278" t="n">
        <x:v>0</x:v>
      </x:c>
      <x:c r="G224" s="107" t="n">
        <x:v>1.74076252</x:v>
      </x:c>
      <x:c r="H224" s="107" t="n">
        <x:v>0.32204107</x:v>
      </x:c>
    </x:row>
    <x:row r="225" ht="17" customHeight="1">
      <x:c r="A225" s="9" t="str">
        <x:v>2026-01-01</x:v>
      </x:c>
      <x:c r="B225" s="9" t="str">
        <x:v>Actual</x:v>
      </x:c>
      <x:c r="C225" s="9" t="str">
        <x:v>Operations</x:v>
      </x:c>
      <x:c r="D225" s="278" t="n">
        <x:v>30</x:v>
      </x:c>
      <x:c r="E225" s="278" t="n">
        <x:v>0</x:v>
      </x:c>
      <x:c r="F225" s="278" t="n">
        <x:v>0</x:v>
      </x:c>
      <x:c r="G225" s="107" t="n">
        <x:v>2.45530463</x:v>
      </x:c>
      <x:c r="H225" s="107" t="n">
        <x:v>0.45423136</x:v>
      </x:c>
    </x:row>
    <x:row r="226" ht="17" customHeight="1">
      <x:c r="A226" s="9" t="str">
        <x:v>2026-01-01</x:v>
      </x:c>
      <x:c r="B226" s="9" t="str">
        <x:v>Actual</x:v>
      </x:c>
      <x:c r="C226" s="9" t="str">
        <x:v>Sales</x:v>
      </x:c>
      <x:c r="D226" s="278" t="n">
        <x:v>115</x:v>
      </x:c>
      <x:c r="E226" s="278" t="n">
        <x:v>1</x:v>
      </x:c>
      <x:c r="F226" s="278" t="n">
        <x:v>0</x:v>
      </x:c>
      <x:c r="G226" s="107" t="n">
        <x:v>10.47419163</x:v>
      </x:c>
      <x:c r="H226" s="107" t="n">
        <x:v>1.93772546</x:v>
      </x:c>
    </x:row>
    <x:row r="227" ht="17" customHeight="1">
      <x:c r="A227" s="9" t="str">
        <x:v>2026-01-01</x:v>
      </x:c>
      <x:c r="B227" s="9" t="str">
        <x:v>Actual</x:v>
      </x:c>
      <x:c r="C227" s="9" t="str">
        <x:v>Technology</x:v>
      </x:c>
      <x:c r="D227" s="278" t="n">
        <x:v>22</x:v>
      </x:c>
      <x:c r="E227" s="278" t="n">
        <x:v>0</x:v>
      </x:c>
      <x:c r="F227" s="278" t="n">
        <x:v>0</x:v>
      </x:c>
      <x:c r="G227" s="107" t="n">
        <x:v>2.51157237</x:v>
      </x:c>
      <x:c r="H227" s="107" t="n">
        <x:v>0.46464089000000003</x:v>
      </x:c>
    </x:row>
    <x:row r="228" ht="17" customHeight="1">
      <x:c r="A228" s="9" t="str">
        <x:v>2026-02-01</x:v>
      </x:c>
      <x:c r="B228" s="9" t="str">
        <x:v>Actual</x:v>
      </x:c>
      <x:c r="C228" s="9" t="str">
        <x:v>Customer Success</x:v>
      </x:c>
      <x:c r="D228" s="278" t="n">
        <x:v>16</x:v>
      </x:c>
      <x:c r="E228" s="278" t="n">
        <x:v>0</x:v>
      </x:c>
      <x:c r="F228" s="278" t="n">
        <x:v>0</x:v>
      </x:c>
      <x:c r="G228" s="107" t="n">
        <x:v>1.50755931</x:v>
      </x:c>
      <x:c r="H228" s="107" t="n">
        <x:v>0.27889846999999995</x:v>
      </x:c>
    </x:row>
    <x:row r="229" ht="17" customHeight="1">
      <x:c r="A229" s="9" t="str">
        <x:v>2026-02-01</x:v>
      </x:c>
      <x:c r="B229" s="9" t="str">
        <x:v>Actual</x:v>
      </x:c>
      <x:c r="C229" s="9" t="str">
        <x:v>Finance &amp; Corporate</x:v>
      </x:c>
      <x:c r="D229" s="278" t="n">
        <x:v>21</x:v>
      </x:c>
      <x:c r="E229" s="278" t="n">
        <x:v>0</x:v>
      </x:c>
      <x:c r="F229" s="278" t="n">
        <x:v>0</x:v>
      </x:c>
      <x:c r="G229" s="107" t="n">
        <x:v>2.18193542</x:v>
      </x:c>
      <x:c r="H229" s="107" t="n">
        <x:v>0.40365805</x:v>
      </x:c>
    </x:row>
    <x:row r="230" ht="17" customHeight="1">
      <x:c r="A230" s="9" t="str">
        <x:v>2026-02-01</x:v>
      </x:c>
      <x:c r="B230" s="9" t="str">
        <x:v>Actual</x:v>
      </x:c>
      <x:c r="C230" s="9" t="str">
        <x:v>Marketing</x:v>
      </x:c>
      <x:c r="D230" s="278" t="n">
        <x:v>18</x:v>
      </x:c>
      <x:c r="E230" s="278" t="n">
        <x:v>0</x:v>
      </x:c>
      <x:c r="F230" s="278" t="n">
        <x:v>0</x:v>
      </x:c>
      <x:c r="G230" s="107" t="n">
        <x:v>1.73366756</x:v>
      </x:c>
      <x:c r="H230" s="107" t="n">
        <x:v>0.3207285</x:v>
      </x:c>
    </x:row>
    <x:row r="231" ht="17" customHeight="1">
      <x:c r="A231" s="9" t="str">
        <x:v>2026-02-01</x:v>
      </x:c>
      <x:c r="B231" s="9" t="str">
        <x:v>Actual</x:v>
      </x:c>
      <x:c r="C231" s="9" t="str">
        <x:v>Operations</x:v>
      </x:c>
      <x:c r="D231" s="278" t="n">
        <x:v>30</x:v>
      </x:c>
      <x:c r="E231" s="278" t="n">
        <x:v>0</x:v>
      </x:c>
      <x:c r="F231" s="278" t="n">
        <x:v>0</x:v>
      </x:c>
      <x:c r="G231" s="107" t="n">
        <x:v>2.45645873</x:v>
      </x:c>
      <x:c r="H231" s="107" t="n">
        <x:v>0.45444487</x:v>
      </x:c>
    </x:row>
    <x:row r="232" ht="17" customHeight="1">
      <x:c r="A232" s="9" t="str">
        <x:v>2026-02-01</x:v>
      </x:c>
      <x:c r="B232" s="9" t="str">
        <x:v>Actual</x:v>
      </x:c>
      <x:c r="C232" s="9" t="str">
        <x:v>Sales</x:v>
      </x:c>
      <x:c r="D232" s="278" t="n">
        <x:v>115</x:v>
      </x:c>
      <x:c r="E232" s="278" t="n">
        <x:v>0</x:v>
      </x:c>
      <x:c r="F232" s="278" t="n">
        <x:v>0</x:v>
      </x:c>
      <x:c r="G232" s="107" t="n">
        <x:v>10.44664688</x:v>
      </x:c>
      <x:c r="H232" s="107" t="n">
        <x:v>1.9326296699999999</x:v>
      </x:c>
    </x:row>
    <x:row r="233" ht="17" customHeight="1">
      <x:c r="A233" s="9" t="str">
        <x:v>2026-02-01</x:v>
      </x:c>
      <x:c r="B233" s="9" t="str">
        <x:v>Actual</x:v>
      </x:c>
      <x:c r="C233" s="9" t="str">
        <x:v>Technology</x:v>
      </x:c>
      <x:c r="D233" s="278" t="n">
        <x:v>22</x:v>
      </x:c>
      <x:c r="E233" s="278" t="n">
        <x:v>0</x:v>
      </x:c>
      <x:c r="F233" s="278" t="n">
        <x:v>0</x:v>
      </x:c>
      <x:c r="G233" s="107" t="n">
        <x:v>2.50677736</x:v>
      </x:c>
      <x:c r="H233" s="107" t="n">
        <x:v>0.46375381</x:v>
      </x:c>
    </x:row>
    <x:row r="234" ht="17" customHeight="1">
      <x:c r="A234" s="9" t="str">
        <x:v>2026-03-01</x:v>
      </x:c>
      <x:c r="B234" s="9" t="str">
        <x:v>Actual</x:v>
      </x:c>
      <x:c r="C234" s="9" t="str">
        <x:v>Customer Success</x:v>
      </x:c>
      <x:c r="D234" s="278" t="n">
        <x:v>16</x:v>
      </x:c>
      <x:c r="E234" s="278" t="n">
        <x:v>0</x:v>
      </x:c>
      <x:c r="F234" s="278" t="n">
        <x:v>0</x:v>
      </x:c>
      <x:c r="G234" s="107" t="n">
        <x:v>1.52392019</x:v>
      </x:c>
      <x:c r="H234" s="107" t="n">
        <x:v>0.28192522999999997</x:v>
      </x:c>
    </x:row>
    <x:row r="235" ht="17" customHeight="1">
      <x:c r="A235" s="9" t="str">
        <x:v>2026-03-01</x:v>
      </x:c>
      <x:c r="B235" s="9" t="str">
        <x:v>Actual</x:v>
      </x:c>
      <x:c r="C235" s="9" t="str">
        <x:v>Finance &amp; Corporate</x:v>
      </x:c>
      <x:c r="D235" s="278" t="n">
        <x:v>21</x:v>
      </x:c>
      <x:c r="E235" s="278" t="n">
        <x:v>0</x:v>
      </x:c>
      <x:c r="F235" s="278" t="n">
        <x:v>0</x:v>
      </x:c>
      <x:c r="G235" s="107" t="n">
        <x:v>2.20208641</x:v>
      </x:c>
      <x:c r="H235" s="107" t="n">
        <x:v>0.40738599</x:v>
      </x:c>
    </x:row>
    <x:row r="236" ht="17" customHeight="1">
      <x:c r="A236" s="9" t="str">
        <x:v>2026-03-01</x:v>
      </x:c>
      <x:c r="B236" s="9" t="str">
        <x:v>Actual</x:v>
      </x:c>
      <x:c r="C236" s="9" t="str">
        <x:v>Marketing</x:v>
      </x:c>
      <x:c r="D236" s="278" t="n">
        <x:v>18</x:v>
      </x:c>
      <x:c r="E236" s="278" t="n">
        <x:v>0</x:v>
      </x:c>
      <x:c r="F236" s="278" t="n">
        <x:v>0</x:v>
      </x:c>
      <x:c r="G236" s="107" t="n">
        <x:v>1.70766104</x:v>
      </x:c>
      <x:c r="H236" s="107" t="n">
        <x:v>0.31591728999999996</x:v>
      </x:c>
    </x:row>
    <x:row r="237" ht="17" customHeight="1">
      <x:c r="A237" s="9" t="str">
        <x:v>2026-03-01</x:v>
      </x:c>
      <x:c r="B237" s="9" t="str">
        <x:v>Actual</x:v>
      </x:c>
      <x:c r="C237" s="9" t="str">
        <x:v>Operations</x:v>
      </x:c>
      <x:c r="D237" s="278" t="n">
        <x:v>30</x:v>
      </x:c>
      <x:c r="E237" s="278" t="n">
        <x:v>0</x:v>
      </x:c>
      <x:c r="F237" s="278" t="n">
        <x:v>0</x:v>
      </x:c>
      <x:c r="G237" s="107" t="n">
        <x:v>2.44111285</x:v>
      </x:c>
      <x:c r="H237" s="107" t="n">
        <x:v>0.45160588</x:v>
      </x:c>
    </x:row>
    <x:row r="238" ht="17" customHeight="1">
      <x:c r="A238" s="9" t="str">
        <x:v>2026-03-01</x:v>
      </x:c>
      <x:c r="B238" s="9" t="str">
        <x:v>Actual</x:v>
      </x:c>
      <x:c r="C238" s="9" t="str">
        <x:v>Sales</x:v>
      </x:c>
      <x:c r="D238" s="278" t="n">
        <x:v>114</x:v>
      </x:c>
      <x:c r="E238" s="278" t="n">
        <x:v>0</x:v>
      </x:c>
      <x:c r="F238" s="278" t="n">
        <x:v>1</x:v>
      </x:c>
      <x:c r="G238" s="107" t="n">
        <x:v>10.259141230000001</x:v>
      </x:c>
      <x:c r="H238" s="107" t="n">
        <x:v>1.8979411199999998</x:v>
      </x:c>
    </x:row>
    <x:row r="239" ht="17" customHeight="1">
      <x:c r="A239" s="9" t="str">
        <x:v>2026-03-01</x:v>
      </x:c>
      <x:c r="B239" s="9" t="str">
        <x:v>Actual</x:v>
      </x:c>
      <x:c r="C239" s="9" t="str">
        <x:v>Technology</x:v>
      </x:c>
      <x:c r="D239" s="278" t="n">
        <x:v>22</x:v>
      </x:c>
      <x:c r="E239" s="278" t="n">
        <x:v>0</x:v>
      </x:c>
      <x:c r="F239" s="278" t="n">
        <x:v>0</x:v>
      </x:c>
      <x:c r="G239" s="107" t="n">
        <x:v>2.5451080299999997</x:v>
      </x:c>
      <x:c r="H239" s="107" t="n">
        <x:v>0.47084498999999996</x:v>
      </x:c>
    </x:row>
    <x:row r="240" ht="17" customHeight="1">
      <x:c r="A240" s="9" t="str">
        <x:v>2026-04-01</x:v>
      </x:c>
      <x:c r="B240" s="9" t="str">
        <x:v>Actual</x:v>
      </x:c>
      <x:c r="C240" s="9" t="str">
        <x:v>Customer Success</x:v>
      </x:c>
      <x:c r="D240" s="278" t="n">
        <x:v>16</x:v>
      </x:c>
      <x:c r="E240" s="278" t="n">
        <x:v>0</x:v>
      </x:c>
      <x:c r="F240" s="278" t="n">
        <x:v>0</x:v>
      </x:c>
      <x:c r="G240" s="107" t="n">
        <x:v>1.6109351200000002</x:v>
      </x:c>
      <x:c r="H240" s="107" t="n">
        <x:v>0.298023</x:v>
      </x:c>
    </x:row>
    <x:row r="241" ht="17" customHeight="1">
      <x:c r="A241" s="9" t="str">
        <x:v>2026-04-01</x:v>
      </x:c>
      <x:c r="B241" s="9" t="str">
        <x:v>Actual</x:v>
      </x:c>
      <x:c r="C241" s="9" t="str">
        <x:v>Finance &amp; Corporate</x:v>
      </x:c>
      <x:c r="D241" s="278" t="n">
        <x:v>21</x:v>
      </x:c>
      <x:c r="E241" s="278" t="n">
        <x:v>0</x:v>
      </x:c>
      <x:c r="F241" s="278" t="n">
        <x:v>0</x:v>
      </x:c>
      <x:c r="G241" s="107" t="n">
        <x:v>2.3423420499999996</x:v>
      </x:c>
      <x:c r="H241" s="107" t="n">
        <x:v>0.43333328000000004</x:v>
      </x:c>
    </x:row>
    <x:row r="242" ht="17" customHeight="1">
      <x:c r="A242" s="9" t="str">
        <x:v>2026-04-01</x:v>
      </x:c>
      <x:c r="B242" s="9" t="str">
        <x:v>Actual</x:v>
      </x:c>
      <x:c r="C242" s="9" t="str">
        <x:v>Marketing</x:v>
      </x:c>
      <x:c r="D242" s="278" t="n">
        <x:v>18</x:v>
      </x:c>
      <x:c r="E242" s="278" t="n">
        <x:v>0</x:v>
      </x:c>
      <x:c r="F242" s="278" t="n">
        <x:v>0</x:v>
      </x:c>
      <x:c r="G242" s="107" t="n">
        <x:v>1.8319134099999999</x:v>
      </x:c>
      <x:c r="H242" s="107" t="n">
        <x:v>0.33890398</x:v>
      </x:c>
    </x:row>
    <x:row r="243" ht="17" customHeight="1">
      <x:c r="A243" s="9" t="str">
        <x:v>2026-04-01</x:v>
      </x:c>
      <x:c r="B243" s="9" t="str">
        <x:v>Actual</x:v>
      </x:c>
      <x:c r="C243" s="9" t="str">
        <x:v>Operations</x:v>
      </x:c>
      <x:c r="D243" s="278" t="n">
        <x:v>30</x:v>
      </x:c>
      <x:c r="E243" s="278" t="n">
        <x:v>0</x:v>
      </x:c>
      <x:c r="F243" s="278" t="n">
        <x:v>0</x:v>
      </x:c>
      <x:c r="G243" s="107" t="n">
        <x:v>2.61683656</x:v>
      </x:c>
      <x:c r="H243" s="107" t="n">
        <x:v>0.48411476000000003</x:v>
      </x:c>
    </x:row>
    <x:row r="244" ht="17" customHeight="1">
      <x:c r="A244" s="9" t="str">
        <x:v>2026-04-01</x:v>
      </x:c>
      <x:c r="B244" s="9" t="str">
        <x:v>Actual</x:v>
      </x:c>
      <x:c r="C244" s="9" t="str">
        <x:v>Sales</x:v>
      </x:c>
      <x:c r="D244" s="278" t="n">
        <x:v>114</x:v>
      </x:c>
      <x:c r="E244" s="278" t="n">
        <x:v>0</x:v>
      </x:c>
      <x:c r="F244" s="278" t="n">
        <x:v>0</x:v>
      </x:c>
      <x:c r="G244" s="107" t="n">
        <x:v>10.94522677</x:v>
      </x:c>
      <x:c r="H244" s="107" t="n">
        <x:v>2.0248669599999998</x:v>
      </x:c>
    </x:row>
    <x:row r="245" ht="17" customHeight="1">
      <x:c r="A245" s="9" t="str">
        <x:v>2026-04-01</x:v>
      </x:c>
      <x:c r="B245" s="9" t="str">
        <x:v>Actual</x:v>
      </x:c>
      <x:c r="C245" s="9" t="str">
        <x:v>Technology</x:v>
      </x:c>
      <x:c r="D245" s="278" t="n">
        <x:v>22</x:v>
      </x:c>
      <x:c r="E245" s="278" t="n">
        <x:v>0</x:v>
      </x:c>
      <x:c r="F245" s="278" t="n">
        <x:v>0</x:v>
      </x:c>
      <x:c r="G245" s="107" t="n">
        <x:v>2.69719773</x:v>
      </x:c>
      <x:c r="H245" s="107" t="n">
        <x:v>0.49898158000000004</x:v>
      </x:c>
    </x:row>
    <x:row r="246" ht="17" customHeight="1">
      <x:c r="A246" s="9" t="str">
        <x:v>2026-05-01</x:v>
      </x:c>
      <x:c r="B246" s="9" t="str">
        <x:v>Actual</x:v>
      </x:c>
      <x:c r="C246" s="9" t="str">
        <x:v>Customer Success</x:v>
      </x:c>
      <x:c r="D246" s="278" t="n">
        <x:v>16</x:v>
      </x:c>
      <x:c r="E246" s="278" t="n">
        <x:v>0</x:v>
      </x:c>
      <x:c r="F246" s="278" t="n">
        <x:v>0</x:v>
      </x:c>
      <x:c r="G246" s="107" t="n">
        <x:v>1.61922305</x:v>
      </x:c>
      <x:c r="H246" s="107" t="n">
        <x:v>0.29955626</x:v>
      </x:c>
    </x:row>
    <x:row r="247" ht="17" customHeight="1">
      <x:c r="A247" s="9" t="str">
        <x:v>2026-05-01</x:v>
      </x:c>
      <x:c r="B247" s="9" t="str">
        <x:v>Actual</x:v>
      </x:c>
      <x:c r="C247" s="9" t="str">
        <x:v>Finance &amp; Corporate</x:v>
      </x:c>
      <x:c r="D247" s="278" t="n">
        <x:v>21</x:v>
      </x:c>
      <x:c r="E247" s="278" t="n">
        <x:v>0</x:v>
      </x:c>
      <x:c r="F247" s="278" t="n">
        <x:v>0</x:v>
      </x:c>
      <x:c r="G247" s="107" t="n">
        <x:v>2.3229220099999996</x:v>
      </x:c>
      <x:c r="H247" s="107" t="n">
        <x:v>0.42974057</x:v>
      </x:c>
    </x:row>
    <x:row r="248" ht="17" customHeight="1">
      <x:c r="A248" s="9" t="str">
        <x:v>2026-05-01</x:v>
      </x:c>
      <x:c r="B248" s="9" t="str">
        <x:v>Actual</x:v>
      </x:c>
      <x:c r="C248" s="9" t="str">
        <x:v>Marketing</x:v>
      </x:c>
      <x:c r="D248" s="278" t="n">
        <x:v>18</x:v>
      </x:c>
      <x:c r="E248" s="278" t="n">
        <x:v>0</x:v>
      </x:c>
      <x:c r="F248" s="278" t="n">
        <x:v>0</x:v>
      </x:c>
      <x:c r="G248" s="107" t="n">
        <x:v>1.8443155500000001</x:v>
      </x:c>
      <x:c r="H248" s="107" t="n">
        <x:v>0.34119838</x:v>
      </x:c>
    </x:row>
    <x:row r="249" ht="17" customHeight="1">
      <x:c r="A249" s="9" t="str">
        <x:v>2026-05-01</x:v>
      </x:c>
      <x:c r="B249" s="9" t="str">
        <x:v>Actual</x:v>
      </x:c>
      <x:c r="C249" s="9" t="str">
        <x:v>Operations</x:v>
      </x:c>
      <x:c r="D249" s="278" t="n">
        <x:v>30</x:v>
      </x:c>
      <x:c r="E249" s="278" t="n">
        <x:v>0</x:v>
      </x:c>
      <x:c r="F249" s="278" t="n">
        <x:v>0</x:v>
      </x:c>
      <x:c r="G249" s="107" t="n">
        <x:v>2.63351709</x:v>
      </x:c>
      <x:c r="H249" s="107" t="n">
        <x:v>0.48720065999999995</x:v>
      </x:c>
    </x:row>
    <x:row r="250" ht="17" customHeight="1">
      <x:c r="A250" s="9" t="str">
        <x:v>2026-05-01</x:v>
      </x:c>
      <x:c r="B250" s="9" t="str">
        <x:v>Actual</x:v>
      </x:c>
      <x:c r="C250" s="9" t="str">
        <x:v>Sales</x:v>
      </x:c>
      <x:c r="D250" s="278" t="n">
        <x:v>114</x:v>
      </x:c>
      <x:c r="E250" s="278" t="n">
        <x:v>0</x:v>
      </x:c>
      <x:c r="F250" s="278" t="n">
        <x:v>0</x:v>
      </x:c>
      <x:c r="G250" s="107" t="n">
        <x:v>10.96959189</x:v>
      </x:c>
      <x:c r="H250" s="107" t="n">
        <x:v>2.02937451</x:v>
      </x:c>
    </x:row>
    <x:row r="251" ht="17" customHeight="1">
      <x:c r="A251" s="9" t="str">
        <x:v>2026-05-01</x:v>
      </x:c>
      <x:c r="B251" s="9" t="str">
        <x:v>Actual</x:v>
      </x:c>
      <x:c r="C251" s="9" t="str">
        <x:v>Technology</x:v>
      </x:c>
      <x:c r="D251" s="278" t="n">
        <x:v>22</x:v>
      </x:c>
      <x:c r="E251" s="278" t="n">
        <x:v>0</x:v>
      </x:c>
      <x:c r="F251" s="278" t="n">
        <x:v>0</x:v>
      </x:c>
      <x:c r="G251" s="107" t="n">
        <x:v>2.6373271099999998</x:v>
      </x:c>
      <x:c r="H251" s="107" t="n">
        <x:v>0.48790552000000004</x:v>
      </x:c>
    </x:row>
    <x:row r="252" ht="17" customHeight="1">
      <x:c r="A252" s="9" t="str">
        <x:v>2026-06-01</x:v>
      </x:c>
      <x:c r="B252" s="9" t="str">
        <x:v>Actual</x:v>
      </x:c>
      <x:c r="C252" s="9" t="str">
        <x:v>Customer Success</x:v>
      </x:c>
      <x:c r="D252" s="278" t="n">
        <x:v>16</x:v>
      </x:c>
      <x:c r="E252" s="278" t="n">
        <x:v>0</x:v>
      </x:c>
      <x:c r="F252" s="278" t="n">
        <x:v>0</x:v>
      </x:c>
      <x:c r="G252" s="107" t="n">
        <x:v>1.6300451999999999</x:v>
      </x:c>
      <x:c r="H252" s="107" t="n">
        <x:v>0.30155835999999997</x:v>
      </x:c>
    </x:row>
    <x:row r="253" ht="17" customHeight="1">
      <x:c r="A253" s="9" t="str">
        <x:v>2026-06-01</x:v>
      </x:c>
      <x:c r="B253" s="9" t="str">
        <x:v>Actual</x:v>
      </x:c>
      <x:c r="C253" s="9" t="str">
        <x:v>Finance &amp; Corporate</x:v>
      </x:c>
      <x:c r="D253" s="278" t="n">
        <x:v>21</x:v>
      </x:c>
      <x:c r="E253" s="278" t="n">
        <x:v>0</x:v>
      </x:c>
      <x:c r="F253" s="278" t="n">
        <x:v>0</x:v>
      </x:c>
      <x:c r="G253" s="107" t="n">
        <x:v>2.31853923</x:v>
      </x:c>
      <x:c r="H253" s="107" t="n">
        <x:v>0.42892976</x:v>
      </x:c>
    </x:row>
    <x:row r="254" ht="17" customHeight="1">
      <x:c r="A254" s="9" t="str">
        <x:v>2026-06-01</x:v>
      </x:c>
      <x:c r="B254" s="9" t="str">
        <x:v>Actual</x:v>
      </x:c>
      <x:c r="C254" s="9" t="str">
        <x:v>Marketing</x:v>
      </x:c>
      <x:c r="D254" s="278" t="n">
        <x:v>18</x:v>
      </x:c>
      <x:c r="E254" s="278" t="n">
        <x:v>0</x:v>
      </x:c>
      <x:c r="F254" s="278" t="n">
        <x:v>0</x:v>
      </x:c>
      <x:c r="G254" s="107" t="n">
        <x:v>1.82488054</x:v>
      </x:c>
      <x:c r="H254" s="107" t="n">
        <x:v>0.33760290000000004</x:v>
      </x:c>
    </x:row>
    <x:row r="255" ht="17" customHeight="1">
      <x:c r="A255" s="9" t="str">
        <x:v>2026-06-01</x:v>
      </x:c>
      <x:c r="B255" s="9" t="str">
        <x:v>Actual</x:v>
      </x:c>
      <x:c r="C255" s="9" t="str">
        <x:v>Operations</x:v>
      </x:c>
      <x:c r="D255" s="278" t="n">
        <x:v>30</x:v>
      </x:c>
      <x:c r="E255" s="278" t="n">
        <x:v>0</x:v>
      </x:c>
      <x:c r="F255" s="278" t="n">
        <x:v>0</x:v>
      </x:c>
      <x:c r="G255" s="107" t="n">
        <x:v>2.60105636</x:v>
      </x:c>
      <x:c r="H255" s="107" t="n">
        <x:v>0.48119543</x:v>
      </x:c>
    </x:row>
    <x:row r="256" ht="17" customHeight="1">
      <x:c r="A256" s="9" t="str">
        <x:v>2026-06-01</x:v>
      </x:c>
      <x:c r="B256" s="9" t="str">
        <x:v>Actual</x:v>
      </x:c>
      <x:c r="C256" s="9" t="str">
        <x:v>Sales</x:v>
      </x:c>
      <x:c r="D256" s="278" t="n">
        <x:v>115</x:v>
      </x:c>
      <x:c r="E256" s="278" t="n">
        <x:v>2</x:v>
      </x:c>
      <x:c r="F256" s="278" t="n">
        <x:v>1</x:v>
      </x:c>
      <x:c r="G256" s="107" t="n">
        <x:v>11.15369731</x:v>
      </x:c>
      <x:c r="H256" s="107" t="n">
        <x:v>2.063434</x:v>
      </x:c>
    </x:row>
    <x:row r="257" ht="17" customHeight="1">
      <x:c r="A257" s="9" t="str">
        <x:v>2026-06-01</x:v>
      </x:c>
      <x:c r="B257" s="9" t="str">
        <x:v>Actual</x:v>
      </x:c>
      <x:c r="C257" s="9" t="str">
        <x:v>Technology</x:v>
      </x:c>
      <x:c r="D257" s="278" t="n">
        <x:v>22</x:v>
      </x:c>
      <x:c r="E257" s="278" t="n">
        <x:v>0</x:v>
      </x:c>
      <x:c r="F257" s="278" t="n">
        <x:v>0</x:v>
      </x:c>
      <x:c r="G257" s="107" t="n">
        <x:v>2.6885839799999998</x:v>
      </x:c>
      <x:c r="H257" s="107" t="n">
        <x:v>0.49738804</x:v>
      </x:c>
    </x:row>
    <x:row r="258" ht="17" customHeight="1">
      <x:c r="A258" s="9" t="str">
        <x:v>2026-01-01</x:v>
      </x:c>
      <x:c r="B258" s="9" t="str">
        <x:v>Budget</x:v>
      </x:c>
      <x:c r="C258" s="9" t="str">
        <x:v>Customer Success</x:v>
      </x:c>
      <x:c r="D258" s="278" t="n">
        <x:v>16</x:v>
      </x:c>
      <x:c r="E258" s="278" t="n">
        <x:v>0</x:v>
      </x:c>
      <x:c r="F258" s="278" t="n">
        <x:v>0</x:v>
      </x:c>
      <x:c r="G258" s="107" t="n">
        <x:v>1.76842056</x:v>
      </x:c>
      <x:c r="H258" s="107" t="n">
        <x:v>0.3271578</x:v>
      </x:c>
    </x:row>
    <x:row r="259" ht="17" customHeight="1">
      <x:c r="A259" s="9" t="str">
        <x:v>2026-01-01</x:v>
      </x:c>
      <x:c r="B259" s="9" t="str">
        <x:v>Budget</x:v>
      </x:c>
      <x:c r="C259" s="9" t="str">
        <x:v>Finance &amp; Corporate</x:v>
      </x:c>
      <x:c r="D259" s="278" t="n">
        <x:v>21</x:v>
      </x:c>
      <x:c r="E259" s="278" t="n">
        <x:v>0</x:v>
      </x:c>
      <x:c r="F259" s="278" t="n">
        <x:v>0</x:v>
      </x:c>
      <x:c r="G259" s="107" t="n">
        <x:v>2.55315723</x:v>
      </x:c>
      <x:c r="H259" s="107" t="n">
        <x:v>0.47233409000000004</x:v>
      </x:c>
    </x:row>
    <x:row r="260" ht="17" customHeight="1">
      <x:c r="A260" s="9" t="str">
        <x:v>2026-01-01</x:v>
      </x:c>
      <x:c r="B260" s="9" t="str">
        <x:v>Budget</x:v>
      </x:c>
      <x:c r="C260" s="9" t="str">
        <x:v>Marketing</x:v>
      </x:c>
      <x:c r="D260" s="278" t="n">
        <x:v>18</x:v>
      </x:c>
      <x:c r="E260" s="278" t="n">
        <x:v>0</x:v>
      </x:c>
      <x:c r="F260" s="278" t="n">
        <x:v>0</x:v>
      </x:c>
      <x:c r="G260" s="107" t="n">
        <x:v>2.01434162</x:v>
      </x:c>
      <x:c r="H260" s="107" t="n">
        <x:v>0.3726532</x:v>
      </x:c>
    </x:row>
    <x:row r="261" ht="17" customHeight="1">
      <x:c r="A261" s="9" t="str">
        <x:v>2026-01-01</x:v>
      </x:c>
      <x:c r="B261" s="9" t="str">
        <x:v>Budget</x:v>
      </x:c>
      <x:c r="C261" s="9" t="str">
        <x:v>Operations</x:v>
      </x:c>
      <x:c r="D261" s="278" t="n">
        <x:v>30</x:v>
      </x:c>
      <x:c r="E261" s="278" t="n">
        <x:v>0</x:v>
      </x:c>
      <x:c r="F261" s="278" t="n">
        <x:v>0</x:v>
      </x:c>
      <x:c r="G261" s="107" t="n">
        <x:v>2.85986748</x:v>
      </x:c>
      <x:c r="H261" s="107" t="n">
        <x:v>0.5290754799999999</x:v>
      </x:c>
    </x:row>
    <x:row r="262" ht="17" customHeight="1">
      <x:c r="A262" s="9" t="str">
        <x:v>2026-01-01</x:v>
      </x:c>
      <x:c r="B262" s="9" t="str">
        <x:v>Budget</x:v>
      </x:c>
      <x:c r="C262" s="9" t="str">
        <x:v>Sales</x:v>
      </x:c>
      <x:c r="D262" s="278" t="n">
        <x:v>114</x:v>
      </x:c>
      <x:c r="E262" s="278" t="n">
        <x:v>0</x:v>
      </x:c>
      <x:c r="F262" s="278" t="n">
        <x:v>0</x:v>
      </x:c>
      <x:c r="G262" s="107" t="n">
        <x:v>11.952036370000002</x:v>
      </x:c>
      <x:c r="H262" s="107" t="n">
        <x:v>2.21112673</x:v>
      </x:c>
    </x:row>
    <x:row r="263" ht="17" customHeight="1">
      <x:c r="A263" s="9" t="str">
        <x:v>2026-01-01</x:v>
      </x:c>
      <x:c r="B263" s="9" t="str">
        <x:v>Budget</x:v>
      </x:c>
      <x:c r="C263" s="9" t="str">
        <x:v>Technology</x:v>
      </x:c>
      <x:c r="D263" s="278" t="n">
        <x:v>22</x:v>
      </x:c>
      <x:c r="E263" s="278" t="n">
        <x:v>0</x:v>
      </x:c>
      <x:c r="F263" s="278" t="n">
        <x:v>0</x:v>
      </x:c>
      <x:c r="G263" s="107" t="n">
        <x:v>2.91789402</x:v>
      </x:c>
      <x:c r="H263" s="107" t="n">
        <x:v>0.53981039</x:v>
      </x:c>
    </x:row>
    <x:row r="264" ht="17" customHeight="1">
      <x:c r="A264" s="9" t="str">
        <x:v>2026-02-01</x:v>
      </x:c>
      <x:c r="B264" s="9" t="str">
        <x:v>Budget</x:v>
      </x:c>
      <x:c r="C264" s="9" t="str">
        <x:v>Customer Success</x:v>
      </x:c>
      <x:c r="D264" s="278" t="n">
        <x:v>17</x:v>
      </x:c>
      <x:c r="E264" s="278" t="n">
        <x:v>1</x:v>
      </x:c>
      <x:c r="F264" s="278" t="n">
        <x:v>0</x:v>
      </x:c>
      <x:c r="G264" s="107" t="n">
        <x:v>1.87894684</x:v>
      </x:c>
      <x:c r="H264" s="107" t="n">
        <x:v>0.34760516999999996</x:v>
      </x:c>
    </x:row>
    <x:row r="265" ht="17" customHeight="1">
      <x:c r="A265" s="9" t="str">
        <x:v>2026-02-01</x:v>
      </x:c>
      <x:c r="B265" s="9" t="str">
        <x:v>Budget</x:v>
      </x:c>
      <x:c r="C265" s="9" t="str">
        <x:v>Finance &amp; Corporate</x:v>
      </x:c>
      <x:c r="D265" s="278" t="n">
        <x:v>22</x:v>
      </x:c>
      <x:c r="E265" s="278" t="n">
        <x:v>1</x:v>
      </x:c>
      <x:c r="F265" s="278" t="n">
        <x:v>0</x:v>
      </x:c>
      <x:c r="G265" s="107" t="n">
        <x:v>2.6747361400000003</x:v>
      </x:c>
      <x:c r="H265" s="107" t="n">
        <x:v>0.49482619</x:v>
      </x:c>
    </x:row>
    <x:row r="266" ht="17" customHeight="1">
      <x:c r="A266" s="9" t="str">
        <x:v>2026-02-01</x:v>
      </x:c>
      <x:c r="B266" s="9" t="str">
        <x:v>Budget</x:v>
      </x:c>
      <x:c r="C266" s="9" t="str">
        <x:v>Marketing</x:v>
      </x:c>
      <x:c r="D266" s="278" t="n">
        <x:v>19</x:v>
      </x:c>
      <x:c r="E266" s="278" t="n">
        <x:v>1</x:v>
      </x:c>
      <x:c r="F266" s="278" t="n">
        <x:v>0</x:v>
      </x:c>
      <x:c r="G266" s="107" t="n">
        <x:v>2.12624949</x:v>
      </x:c>
      <x:c r="H266" s="107" t="n">
        <x:v>0.39335615999999995</x:v>
      </x:c>
    </x:row>
    <x:row r="267" ht="17" customHeight="1">
      <x:c r="A267" s="9" t="str">
        <x:v>2026-02-01</x:v>
      </x:c>
      <x:c r="B267" s="9" t="str">
        <x:v>Budget</x:v>
      </x:c>
      <x:c r="C267" s="9" t="str">
        <x:v>Operations</x:v>
      </x:c>
      <x:c r="D267" s="278" t="n">
        <x:v>31</x:v>
      </x:c>
      <x:c r="E267" s="278" t="n">
        <x:v>1</x:v>
      </x:c>
      <x:c r="F267" s="278" t="n">
        <x:v>0</x:v>
      </x:c>
      <x:c r="G267" s="107" t="n">
        <x:v>2.9551963999999997</x:v>
      </x:c>
      <x:c r="H267" s="107" t="n">
        <x:v>0.5467113299999999</x:v>
      </x:c>
    </x:row>
    <x:row r="268" ht="17" customHeight="1">
      <x:c r="A268" s="9" t="str">
        <x:v>2026-02-01</x:v>
      </x:c>
      <x:c r="B268" s="9" t="str">
        <x:v>Budget</x:v>
      </x:c>
      <x:c r="C268" s="9" t="str">
        <x:v>Sales</x:v>
      </x:c>
      <x:c r="D268" s="278" t="n">
        <x:v>121</x:v>
      </x:c>
      <x:c r="E268" s="278" t="n">
        <x:v>7</x:v>
      </x:c>
      <x:c r="F268" s="278" t="n">
        <x:v>0</x:v>
      </x:c>
      <x:c r="G268" s="107" t="n">
        <x:v>12.70361511</x:v>
      </x:c>
      <x:c r="H268" s="107" t="n">
        <x:v>2.35016879</x:v>
      </x:c>
    </x:row>
    <x:row r="269" ht="17" customHeight="1">
      <x:c r="A269" s="9" t="str">
        <x:v>2026-02-01</x:v>
      </x:c>
      <x:c r="B269" s="9" t="str">
        <x:v>Budget</x:v>
      </x:c>
      <x:c r="C269" s="9" t="str">
        <x:v>Technology</x:v>
      </x:c>
      <x:c r="D269" s="278" t="n">
        <x:v>23</x:v>
      </x:c>
      <x:c r="E269" s="278" t="n">
        <x:v>1</x:v>
      </x:c>
      <x:c r="F269" s="278" t="n">
        <x:v>0</x:v>
      </x:c>
      <x:c r="G269" s="107" t="n">
        <x:v>3.05052557</x:v>
      </x:c>
      <x:c r="H269" s="107" t="n">
        <x:v>0.56434723</x:v>
      </x:c>
    </x:row>
    <x:row r="270" ht="17" customHeight="1">
      <x:c r="A270" s="9" t="str">
        <x:v>2026-03-01</x:v>
      </x:c>
      <x:c r="B270" s="9" t="str">
        <x:v>Budget</x:v>
      </x:c>
      <x:c r="C270" s="9" t="str">
        <x:v>Customer Success</x:v>
      </x:c>
      <x:c r="D270" s="278" t="n">
        <x:v>17</x:v>
      </x:c>
      <x:c r="E270" s="278" t="n">
        <x:v>0</x:v>
      </x:c>
      <x:c r="F270" s="278" t="n">
        <x:v>0</x:v>
      </x:c>
      <x:c r="G270" s="107" t="n">
        <x:v>1.87894684</x:v>
      </x:c>
      <x:c r="H270" s="107" t="n">
        <x:v>0.34760516999999996</x:v>
      </x:c>
    </x:row>
    <x:row r="271" ht="17" customHeight="1">
      <x:c r="A271" s="9" t="str">
        <x:v>2026-03-01</x:v>
      </x:c>
      <x:c r="B271" s="9" t="str">
        <x:v>Budget</x:v>
      </x:c>
      <x:c r="C271" s="9" t="str">
        <x:v>Finance &amp; Corporate</x:v>
      </x:c>
      <x:c r="D271" s="278" t="n">
        <x:v>22</x:v>
      </x:c>
      <x:c r="E271" s="278" t="n">
        <x:v>0</x:v>
      </x:c>
      <x:c r="F271" s="278" t="n">
        <x:v>0</x:v>
      </x:c>
      <x:c r="G271" s="107" t="n">
        <x:v>2.6747361400000003</x:v>
      </x:c>
      <x:c r="H271" s="107" t="n">
        <x:v>0.49482619</x:v>
      </x:c>
    </x:row>
    <x:row r="272" ht="17" customHeight="1">
      <x:c r="A272" s="9" t="str">
        <x:v>2026-03-01</x:v>
      </x:c>
      <x:c r="B272" s="9" t="str">
        <x:v>Budget</x:v>
      </x:c>
      <x:c r="C272" s="9" t="str">
        <x:v>Marketing</x:v>
      </x:c>
      <x:c r="D272" s="278" t="n">
        <x:v>19</x:v>
      </x:c>
      <x:c r="E272" s="278" t="n">
        <x:v>0</x:v>
      </x:c>
      <x:c r="F272" s="278" t="n">
        <x:v>0</x:v>
      </x:c>
      <x:c r="G272" s="107" t="n">
        <x:v>2.12624949</x:v>
      </x:c>
      <x:c r="H272" s="107" t="n">
        <x:v>0.39335615999999995</x:v>
      </x:c>
    </x:row>
    <x:row r="273" ht="17" customHeight="1">
      <x:c r="A273" s="9" t="str">
        <x:v>2026-03-01</x:v>
      </x:c>
      <x:c r="B273" s="9" t="str">
        <x:v>Budget</x:v>
      </x:c>
      <x:c r="C273" s="9" t="str">
        <x:v>Operations</x:v>
      </x:c>
      <x:c r="D273" s="278" t="n">
        <x:v>31</x:v>
      </x:c>
      <x:c r="E273" s="278" t="n">
        <x:v>0</x:v>
      </x:c>
      <x:c r="F273" s="278" t="n">
        <x:v>0</x:v>
      </x:c>
      <x:c r="G273" s="107" t="n">
        <x:v>2.9551963999999997</x:v>
      </x:c>
      <x:c r="H273" s="107" t="n">
        <x:v>0.5467113299999999</x:v>
      </x:c>
    </x:row>
    <x:row r="274" ht="17" customHeight="1">
      <x:c r="A274" s="9" t="str">
        <x:v>2026-03-01</x:v>
      </x:c>
      <x:c r="B274" s="9" t="str">
        <x:v>Budget</x:v>
      </x:c>
      <x:c r="C274" s="9" t="str">
        <x:v>Sales</x:v>
      </x:c>
      <x:c r="D274" s="278" t="n">
        <x:v>121</x:v>
      </x:c>
      <x:c r="E274" s="278" t="n">
        <x:v>0</x:v>
      </x:c>
      <x:c r="F274" s="278" t="n">
        <x:v>0</x:v>
      </x:c>
      <x:c r="G274" s="107" t="n">
        <x:v>12.70361511</x:v>
      </x:c>
      <x:c r="H274" s="107" t="n">
        <x:v>2.35016879</x:v>
      </x:c>
    </x:row>
    <x:row r="275" ht="17" customHeight="1">
      <x:c r="A275" s="9" t="str">
        <x:v>2026-03-01</x:v>
      </x:c>
      <x:c r="B275" s="9" t="str">
        <x:v>Budget</x:v>
      </x:c>
      <x:c r="C275" s="9" t="str">
        <x:v>Technology</x:v>
      </x:c>
      <x:c r="D275" s="278" t="n">
        <x:v>23</x:v>
      </x:c>
      <x:c r="E275" s="278" t="n">
        <x:v>0</x:v>
      </x:c>
      <x:c r="F275" s="278" t="n">
        <x:v>0</x:v>
      </x:c>
      <x:c r="G275" s="107" t="n">
        <x:v>3.05052557</x:v>
      </x:c>
      <x:c r="H275" s="107" t="n">
        <x:v>0.56434723</x:v>
      </x:c>
    </x:row>
    <x:row r="276" ht="17" customHeight="1">
      <x:c r="A276" s="9" t="str">
        <x:v>2026-04-01</x:v>
      </x:c>
      <x:c r="B276" s="9" t="str">
        <x:v>Budget</x:v>
      </x:c>
      <x:c r="C276" s="9" t="str">
        <x:v>Customer Success</x:v>
      </x:c>
      <x:c r="D276" s="278" t="n">
        <x:v>17</x:v>
      </x:c>
      <x:c r="E276" s="278" t="n">
        <x:v>0</x:v>
      </x:c>
      <x:c r="F276" s="278" t="n">
        <x:v>0</x:v>
      </x:c>
      <x:c r="G276" s="107" t="n">
        <x:v>1.87894684</x:v>
      </x:c>
      <x:c r="H276" s="107" t="n">
        <x:v>0.34760516999999996</x:v>
      </x:c>
    </x:row>
    <x:row r="277" ht="17" customHeight="1">
      <x:c r="A277" s="9" t="str">
        <x:v>2026-04-01</x:v>
      </x:c>
      <x:c r="B277" s="9" t="str">
        <x:v>Budget</x:v>
      </x:c>
      <x:c r="C277" s="9" t="str">
        <x:v>Finance &amp; Corporate</x:v>
      </x:c>
      <x:c r="D277" s="278" t="n">
        <x:v>22</x:v>
      </x:c>
      <x:c r="E277" s="278" t="n">
        <x:v>0</x:v>
      </x:c>
      <x:c r="F277" s="278" t="n">
        <x:v>0</x:v>
      </x:c>
      <x:c r="G277" s="107" t="n">
        <x:v>2.6747361400000003</x:v>
      </x:c>
      <x:c r="H277" s="107" t="n">
        <x:v>0.49482619</x:v>
      </x:c>
    </x:row>
    <x:row r="278" ht="17" customHeight="1">
      <x:c r="A278" s="9" t="str">
        <x:v>2026-04-01</x:v>
      </x:c>
      <x:c r="B278" s="9" t="str">
        <x:v>Budget</x:v>
      </x:c>
      <x:c r="C278" s="9" t="str">
        <x:v>Marketing</x:v>
      </x:c>
      <x:c r="D278" s="278" t="n">
        <x:v>19</x:v>
      </x:c>
      <x:c r="E278" s="278" t="n">
        <x:v>0</x:v>
      </x:c>
      <x:c r="F278" s="278" t="n">
        <x:v>0</x:v>
      </x:c>
      <x:c r="G278" s="107" t="n">
        <x:v>2.12624949</x:v>
      </x:c>
      <x:c r="H278" s="107" t="n">
        <x:v>0.39335615999999995</x:v>
      </x:c>
    </x:row>
    <x:row r="279" ht="17" customHeight="1">
      <x:c r="A279" s="9" t="str">
        <x:v>2026-04-01</x:v>
      </x:c>
      <x:c r="B279" s="9" t="str">
        <x:v>Budget</x:v>
      </x:c>
      <x:c r="C279" s="9" t="str">
        <x:v>Operations</x:v>
      </x:c>
      <x:c r="D279" s="278" t="n">
        <x:v>31</x:v>
      </x:c>
      <x:c r="E279" s="278" t="n">
        <x:v>0</x:v>
      </x:c>
      <x:c r="F279" s="278" t="n">
        <x:v>0</x:v>
      </x:c>
      <x:c r="G279" s="107" t="n">
        <x:v>2.9551963999999997</x:v>
      </x:c>
      <x:c r="H279" s="107" t="n">
        <x:v>0.5467113299999999</x:v>
      </x:c>
    </x:row>
    <x:row r="280" ht="17" customHeight="1">
      <x:c r="A280" s="9" t="str">
        <x:v>2026-04-01</x:v>
      </x:c>
      <x:c r="B280" s="9" t="str">
        <x:v>Budget</x:v>
      </x:c>
      <x:c r="C280" s="9" t="str">
        <x:v>Sales</x:v>
      </x:c>
      <x:c r="D280" s="278" t="n">
        <x:v>121</x:v>
      </x:c>
      <x:c r="E280" s="278" t="n">
        <x:v>0</x:v>
      </x:c>
      <x:c r="F280" s="278" t="n">
        <x:v>0</x:v>
      </x:c>
      <x:c r="G280" s="107" t="n">
        <x:v>12.70361511</x:v>
      </x:c>
      <x:c r="H280" s="107" t="n">
        <x:v>2.35016879</x:v>
      </x:c>
    </x:row>
    <x:row r="281" ht="17" customHeight="1">
      <x:c r="A281" s="9" t="str">
        <x:v>2026-04-01</x:v>
      </x:c>
      <x:c r="B281" s="9" t="str">
        <x:v>Budget</x:v>
      </x:c>
      <x:c r="C281" s="9" t="str">
        <x:v>Technology</x:v>
      </x:c>
      <x:c r="D281" s="278" t="n">
        <x:v>23</x:v>
      </x:c>
      <x:c r="E281" s="278" t="n">
        <x:v>0</x:v>
      </x:c>
      <x:c r="F281" s="278" t="n">
        <x:v>0</x:v>
      </x:c>
      <x:c r="G281" s="107" t="n">
        <x:v>3.05052557</x:v>
      </x:c>
      <x:c r="H281" s="107" t="n">
        <x:v>0.56434723</x:v>
      </x:c>
    </x:row>
    <x:row r="282" ht="17" customHeight="1">
      <x:c r="A282" s="9" t="str">
        <x:v>2026-05-01</x:v>
      </x:c>
      <x:c r="B282" s="9" t="str">
        <x:v>Budget</x:v>
      </x:c>
      <x:c r="C282" s="9" t="str">
        <x:v>Customer Success</x:v>
      </x:c>
      <x:c r="D282" s="278" t="n">
        <x:v>17</x:v>
      </x:c>
      <x:c r="E282" s="278" t="n">
        <x:v>0</x:v>
      </x:c>
      <x:c r="F282" s="278" t="n">
        <x:v>0</x:v>
      </x:c>
      <x:c r="G282" s="107" t="n">
        <x:v>1.87894684</x:v>
      </x:c>
      <x:c r="H282" s="107" t="n">
        <x:v>0.34760516999999996</x:v>
      </x:c>
    </x:row>
    <x:row r="283" ht="17" customHeight="1">
      <x:c r="A283" s="9" t="str">
        <x:v>2026-05-01</x:v>
      </x:c>
      <x:c r="B283" s="9" t="str">
        <x:v>Budget</x:v>
      </x:c>
      <x:c r="C283" s="9" t="str">
        <x:v>Finance &amp; Corporate</x:v>
      </x:c>
      <x:c r="D283" s="278" t="n">
        <x:v>22</x:v>
      </x:c>
      <x:c r="E283" s="278" t="n">
        <x:v>0</x:v>
      </x:c>
      <x:c r="F283" s="278" t="n">
        <x:v>0</x:v>
      </x:c>
      <x:c r="G283" s="107" t="n">
        <x:v>2.6747361400000003</x:v>
      </x:c>
      <x:c r="H283" s="107" t="n">
        <x:v>0.49482619</x:v>
      </x:c>
    </x:row>
    <x:row r="284" ht="17" customHeight="1">
      <x:c r="A284" s="9" t="str">
        <x:v>2026-05-01</x:v>
      </x:c>
      <x:c r="B284" s="9" t="str">
        <x:v>Budget</x:v>
      </x:c>
      <x:c r="C284" s="9" t="str">
        <x:v>Marketing</x:v>
      </x:c>
      <x:c r="D284" s="278" t="n">
        <x:v>19</x:v>
      </x:c>
      <x:c r="E284" s="278" t="n">
        <x:v>0</x:v>
      </x:c>
      <x:c r="F284" s="278" t="n">
        <x:v>0</x:v>
      </x:c>
      <x:c r="G284" s="107" t="n">
        <x:v>2.12624949</x:v>
      </x:c>
      <x:c r="H284" s="107" t="n">
        <x:v>0.39335615999999995</x:v>
      </x:c>
    </x:row>
    <x:row r="285" ht="17" customHeight="1">
      <x:c r="A285" s="9" t="str">
        <x:v>2026-05-01</x:v>
      </x:c>
      <x:c r="B285" s="9" t="str">
        <x:v>Budget</x:v>
      </x:c>
      <x:c r="C285" s="9" t="str">
        <x:v>Operations</x:v>
      </x:c>
      <x:c r="D285" s="278" t="n">
        <x:v>31</x:v>
      </x:c>
      <x:c r="E285" s="278" t="n">
        <x:v>0</x:v>
      </x:c>
      <x:c r="F285" s="278" t="n">
        <x:v>0</x:v>
      </x:c>
      <x:c r="G285" s="107" t="n">
        <x:v>2.9551963999999997</x:v>
      </x:c>
      <x:c r="H285" s="107" t="n">
        <x:v>0.5467113299999999</x:v>
      </x:c>
    </x:row>
    <x:row r="286" ht="17" customHeight="1">
      <x:c r="A286" s="9" t="str">
        <x:v>2026-05-01</x:v>
      </x:c>
      <x:c r="B286" s="9" t="str">
        <x:v>Budget</x:v>
      </x:c>
      <x:c r="C286" s="9" t="str">
        <x:v>Sales</x:v>
      </x:c>
      <x:c r="D286" s="278" t="n">
        <x:v>121</x:v>
      </x:c>
      <x:c r="E286" s="278" t="n">
        <x:v>0</x:v>
      </x:c>
      <x:c r="F286" s="278" t="n">
        <x:v>0</x:v>
      </x:c>
      <x:c r="G286" s="107" t="n">
        <x:v>12.70361511</x:v>
      </x:c>
      <x:c r="H286" s="107" t="n">
        <x:v>2.35016879</x:v>
      </x:c>
    </x:row>
    <x:row r="287" ht="17" customHeight="1">
      <x:c r="A287" s="9" t="str">
        <x:v>2026-05-01</x:v>
      </x:c>
      <x:c r="B287" s="9" t="str">
        <x:v>Budget</x:v>
      </x:c>
      <x:c r="C287" s="9" t="str">
        <x:v>Technology</x:v>
      </x:c>
      <x:c r="D287" s="278" t="n">
        <x:v>23</x:v>
      </x:c>
      <x:c r="E287" s="278" t="n">
        <x:v>0</x:v>
      </x:c>
      <x:c r="F287" s="278" t="n">
        <x:v>0</x:v>
      </x:c>
      <x:c r="G287" s="107" t="n">
        <x:v>3.05052557</x:v>
      </x:c>
      <x:c r="H287" s="107" t="n">
        <x:v>0.56434723</x:v>
      </x:c>
    </x:row>
    <x:row r="288" ht="17" customHeight="1">
      <x:c r="A288" s="9" t="str">
        <x:v>2026-06-01</x:v>
      </x:c>
      <x:c r="B288" s="9" t="str">
        <x:v>Budget</x:v>
      </x:c>
      <x:c r="C288" s="9" t="str">
        <x:v>Customer Success</x:v>
      </x:c>
      <x:c r="D288" s="278" t="n">
        <x:v>17</x:v>
      </x:c>
      <x:c r="E288" s="278" t="n">
        <x:v>0</x:v>
      </x:c>
      <x:c r="F288" s="278" t="n">
        <x:v>0</x:v>
      </x:c>
      <x:c r="G288" s="107" t="n">
        <x:v>1.87894684</x:v>
      </x:c>
      <x:c r="H288" s="107" t="n">
        <x:v>0.34760516999999996</x:v>
      </x:c>
    </x:row>
    <x:row r="289" ht="17" customHeight="1">
      <x:c r="A289" s="9" t="str">
        <x:v>2026-06-01</x:v>
      </x:c>
      <x:c r="B289" s="9" t="str">
        <x:v>Budget</x:v>
      </x:c>
      <x:c r="C289" s="9" t="str">
        <x:v>Finance &amp; Corporate</x:v>
      </x:c>
      <x:c r="D289" s="278" t="n">
        <x:v>22</x:v>
      </x:c>
      <x:c r="E289" s="278" t="n">
        <x:v>0</x:v>
      </x:c>
      <x:c r="F289" s="278" t="n">
        <x:v>0</x:v>
      </x:c>
      <x:c r="G289" s="107" t="n">
        <x:v>2.6747361400000003</x:v>
      </x:c>
      <x:c r="H289" s="107" t="n">
        <x:v>0.49482619</x:v>
      </x:c>
    </x:row>
    <x:row r="290" ht="17" customHeight="1">
      <x:c r="A290" s="9" t="str">
        <x:v>2026-06-01</x:v>
      </x:c>
      <x:c r="B290" s="9" t="str">
        <x:v>Budget</x:v>
      </x:c>
      <x:c r="C290" s="9" t="str">
        <x:v>Marketing</x:v>
      </x:c>
      <x:c r="D290" s="278" t="n">
        <x:v>19</x:v>
      </x:c>
      <x:c r="E290" s="278" t="n">
        <x:v>0</x:v>
      </x:c>
      <x:c r="F290" s="278" t="n">
        <x:v>0</x:v>
      </x:c>
      <x:c r="G290" s="107" t="n">
        <x:v>2.12624949</x:v>
      </x:c>
      <x:c r="H290" s="107" t="n">
        <x:v>0.39335615999999995</x:v>
      </x:c>
    </x:row>
    <x:row r="291" ht="17" customHeight="1">
      <x:c r="A291" s="9" t="str">
        <x:v>2026-06-01</x:v>
      </x:c>
      <x:c r="B291" s="9" t="str">
        <x:v>Budget</x:v>
      </x:c>
      <x:c r="C291" s="9" t="str">
        <x:v>Operations</x:v>
      </x:c>
      <x:c r="D291" s="278" t="n">
        <x:v>31</x:v>
      </x:c>
      <x:c r="E291" s="278" t="n">
        <x:v>0</x:v>
      </x:c>
      <x:c r="F291" s="278" t="n">
        <x:v>0</x:v>
      </x:c>
      <x:c r="G291" s="107" t="n">
        <x:v>2.9551963999999997</x:v>
      </x:c>
      <x:c r="H291" s="107" t="n">
        <x:v>0.5467113299999999</x:v>
      </x:c>
    </x:row>
    <x:row r="292" ht="17" customHeight="1">
      <x:c r="A292" s="9" t="str">
        <x:v>2026-06-01</x:v>
      </x:c>
      <x:c r="B292" s="9" t="str">
        <x:v>Budget</x:v>
      </x:c>
      <x:c r="C292" s="9" t="str">
        <x:v>Sales</x:v>
      </x:c>
      <x:c r="D292" s="278" t="n">
        <x:v>121</x:v>
      </x:c>
      <x:c r="E292" s="278" t="n">
        <x:v>0</x:v>
      </x:c>
      <x:c r="F292" s="278" t="n">
        <x:v>0</x:v>
      </x:c>
      <x:c r="G292" s="107" t="n">
        <x:v>12.70361511</x:v>
      </x:c>
      <x:c r="H292" s="107" t="n">
        <x:v>2.35016879</x:v>
      </x:c>
    </x:row>
    <x:row r="293" ht="17" customHeight="1">
      <x:c r="A293" s="9" t="str">
        <x:v>2026-06-01</x:v>
      </x:c>
      <x:c r="B293" s="9" t="str">
        <x:v>Budget</x:v>
      </x:c>
      <x:c r="C293" s="9" t="str">
        <x:v>Technology</x:v>
      </x:c>
      <x:c r="D293" s="278" t="n">
        <x:v>24</x:v>
      </x:c>
      <x:c r="E293" s="278" t="n">
        <x:v>1</x:v>
      </x:c>
      <x:c r="F293" s="278" t="n">
        <x:v>0</x:v>
      </x:c>
      <x:c r="G293" s="107" t="n">
        <x:v>3.18315711</x:v>
      </x:c>
      <x:c r="H293" s="107" t="n">
        <x:v>0.58888407</x:v>
      </x:c>
    </x:row>
    <x:row r="294" ht="17" customHeight="1">
      <x:c r="A294" s="9" t="str">
        <x:v>2026-07-01</x:v>
      </x:c>
      <x:c r="B294" s="9" t="str">
        <x:v>Budget</x:v>
      </x:c>
      <x:c r="C294" s="9" t="str">
        <x:v>Customer Success</x:v>
      </x:c>
      <x:c r="D294" s="278" t="n">
        <x:v>17</x:v>
      </x:c>
      <x:c r="E294" s="278" t="n">
        <x:v>0</x:v>
      </x:c>
      <x:c r="F294" s="278" t="n">
        <x:v>0</x:v>
      </x:c>
      <x:c r="G294" s="107" t="n">
        <x:v>1.87894684</x:v>
      </x:c>
      <x:c r="H294" s="107" t="n">
        <x:v>0.34760516999999996</x:v>
      </x:c>
    </x:row>
    <x:row r="295" ht="17" customHeight="1">
      <x:c r="A295" s="9" t="str">
        <x:v>2026-07-01</x:v>
      </x:c>
      <x:c r="B295" s="9" t="str">
        <x:v>Budget</x:v>
      </x:c>
      <x:c r="C295" s="9" t="str">
        <x:v>Finance &amp; Corporate</x:v>
      </x:c>
      <x:c r="D295" s="278" t="n">
        <x:v>22</x:v>
      </x:c>
      <x:c r="E295" s="278" t="n">
        <x:v>0</x:v>
      </x:c>
      <x:c r="F295" s="278" t="n">
        <x:v>0</x:v>
      </x:c>
      <x:c r="G295" s="107" t="n">
        <x:v>2.6747361400000003</x:v>
      </x:c>
      <x:c r="H295" s="107" t="n">
        <x:v>0.49482619</x:v>
      </x:c>
    </x:row>
    <x:row r="296" ht="17" customHeight="1">
      <x:c r="A296" s="9" t="str">
        <x:v>2026-07-01</x:v>
      </x:c>
      <x:c r="B296" s="9" t="str">
        <x:v>Budget</x:v>
      </x:c>
      <x:c r="C296" s="9" t="str">
        <x:v>Marketing</x:v>
      </x:c>
      <x:c r="D296" s="278" t="n">
        <x:v>19</x:v>
      </x:c>
      <x:c r="E296" s="278" t="n">
        <x:v>0</x:v>
      </x:c>
      <x:c r="F296" s="278" t="n">
        <x:v>0</x:v>
      </x:c>
      <x:c r="G296" s="107" t="n">
        <x:v>2.12624949</x:v>
      </x:c>
      <x:c r="H296" s="107" t="n">
        <x:v>0.39335615999999995</x:v>
      </x:c>
    </x:row>
    <x:row r="297" ht="17" customHeight="1">
      <x:c r="A297" s="9" t="str">
        <x:v>2026-07-01</x:v>
      </x:c>
      <x:c r="B297" s="9" t="str">
        <x:v>Budget</x:v>
      </x:c>
      <x:c r="C297" s="9" t="str">
        <x:v>Operations</x:v>
      </x:c>
      <x:c r="D297" s="278" t="n">
        <x:v>31</x:v>
      </x:c>
      <x:c r="E297" s="278" t="n">
        <x:v>0</x:v>
      </x:c>
      <x:c r="F297" s="278" t="n">
        <x:v>0</x:v>
      </x:c>
      <x:c r="G297" s="107" t="n">
        <x:v>2.9551963999999997</x:v>
      </x:c>
      <x:c r="H297" s="107" t="n">
        <x:v>0.5467113299999999</x:v>
      </x:c>
    </x:row>
    <x:row r="298" ht="17" customHeight="1">
      <x:c r="A298" s="9" t="str">
        <x:v>2026-07-01</x:v>
      </x:c>
      <x:c r="B298" s="9" t="str">
        <x:v>Budget</x:v>
      </x:c>
      <x:c r="C298" s="9" t="str">
        <x:v>Sales</x:v>
      </x:c>
      <x:c r="D298" s="278" t="n">
        <x:v>121</x:v>
      </x:c>
      <x:c r="E298" s="278" t="n">
        <x:v>0</x:v>
      </x:c>
      <x:c r="F298" s="278" t="n">
        <x:v>0</x:v>
      </x:c>
      <x:c r="G298" s="107" t="n">
        <x:v>12.70361511</x:v>
      </x:c>
      <x:c r="H298" s="107" t="n">
        <x:v>2.35016879</x:v>
      </x:c>
    </x:row>
    <x:row r="299" ht="17" customHeight="1">
      <x:c r="A299" s="9" t="str">
        <x:v>2026-07-01</x:v>
      </x:c>
      <x:c r="B299" s="9" t="str">
        <x:v>Budget</x:v>
      </x:c>
      <x:c r="C299" s="9" t="str">
        <x:v>Technology</x:v>
      </x:c>
      <x:c r="D299" s="278" t="n">
        <x:v>24</x:v>
      </x:c>
      <x:c r="E299" s="278" t="n">
        <x:v>0</x:v>
      </x:c>
      <x:c r="F299" s="278" t="n">
        <x:v>0</x:v>
      </x:c>
      <x:c r="G299" s="107" t="n">
        <x:v>3.18315711</x:v>
      </x:c>
      <x:c r="H299" s="107" t="n">
        <x:v>0.58888407</x:v>
      </x:c>
    </x:row>
    <x:row r="300" ht="17" customHeight="1">
      <x:c r="A300" s="9" t="str">
        <x:v>2026-08-01</x:v>
      </x:c>
      <x:c r="B300" s="9" t="str">
        <x:v>Budget</x:v>
      </x:c>
      <x:c r="C300" s="9" t="str">
        <x:v>Customer Success</x:v>
      </x:c>
      <x:c r="D300" s="278" t="n">
        <x:v>17</x:v>
      </x:c>
      <x:c r="E300" s="278" t="n">
        <x:v>0</x:v>
      </x:c>
      <x:c r="F300" s="278" t="n">
        <x:v>0</x:v>
      </x:c>
      <x:c r="G300" s="107" t="n">
        <x:v>1.87894684</x:v>
      </x:c>
      <x:c r="H300" s="107" t="n">
        <x:v>0.34760516999999996</x:v>
      </x:c>
    </x:row>
    <x:row r="301" ht="17" customHeight="1">
      <x:c r="A301" s="9" t="str">
        <x:v>2026-08-01</x:v>
      </x:c>
      <x:c r="B301" s="9" t="str">
        <x:v>Budget</x:v>
      </x:c>
      <x:c r="C301" s="9" t="str">
        <x:v>Finance &amp; Corporate</x:v>
      </x:c>
      <x:c r="D301" s="278" t="n">
        <x:v>22</x:v>
      </x:c>
      <x:c r="E301" s="278" t="n">
        <x:v>0</x:v>
      </x:c>
      <x:c r="F301" s="278" t="n">
        <x:v>0</x:v>
      </x:c>
      <x:c r="G301" s="107" t="n">
        <x:v>2.6747361400000003</x:v>
      </x:c>
      <x:c r="H301" s="107" t="n">
        <x:v>0.49482619</x:v>
      </x:c>
    </x:row>
    <x:row r="302" ht="17" customHeight="1">
      <x:c r="A302" s="9" t="str">
        <x:v>2026-08-01</x:v>
      </x:c>
      <x:c r="B302" s="9" t="str">
        <x:v>Budget</x:v>
      </x:c>
      <x:c r="C302" s="9" t="str">
        <x:v>Marketing</x:v>
      </x:c>
      <x:c r="D302" s="278" t="n">
        <x:v>19</x:v>
      </x:c>
      <x:c r="E302" s="278" t="n">
        <x:v>0</x:v>
      </x:c>
      <x:c r="F302" s="278" t="n">
        <x:v>0</x:v>
      </x:c>
      <x:c r="G302" s="107" t="n">
        <x:v>2.12624949</x:v>
      </x:c>
      <x:c r="H302" s="107" t="n">
        <x:v>0.39335615999999995</x:v>
      </x:c>
    </x:row>
    <x:row r="303" ht="17" customHeight="1">
      <x:c r="A303" s="9" t="str">
        <x:v>2026-08-01</x:v>
      </x:c>
      <x:c r="B303" s="9" t="str">
        <x:v>Budget</x:v>
      </x:c>
      <x:c r="C303" s="9" t="str">
        <x:v>Operations</x:v>
      </x:c>
      <x:c r="D303" s="278" t="n">
        <x:v>31</x:v>
      </x:c>
      <x:c r="E303" s="278" t="n">
        <x:v>0</x:v>
      </x:c>
      <x:c r="F303" s="278" t="n">
        <x:v>0</x:v>
      </x:c>
      <x:c r="G303" s="107" t="n">
        <x:v>2.9551963999999997</x:v>
      </x:c>
      <x:c r="H303" s="107" t="n">
        <x:v>0.5467113299999999</x:v>
      </x:c>
    </x:row>
    <x:row r="304" ht="17" customHeight="1">
      <x:c r="A304" s="9" t="str">
        <x:v>2026-08-01</x:v>
      </x:c>
      <x:c r="B304" s="9" t="str">
        <x:v>Budget</x:v>
      </x:c>
      <x:c r="C304" s="9" t="str">
        <x:v>Sales</x:v>
      </x:c>
      <x:c r="D304" s="278" t="n">
        <x:v>121</x:v>
      </x:c>
      <x:c r="E304" s="278" t="n">
        <x:v>0</x:v>
      </x:c>
      <x:c r="F304" s="278" t="n">
        <x:v>0</x:v>
      </x:c>
      <x:c r="G304" s="107" t="n">
        <x:v>12.70361511</x:v>
      </x:c>
      <x:c r="H304" s="107" t="n">
        <x:v>2.35016879</x:v>
      </x:c>
    </x:row>
    <x:row r="305" ht="17" customHeight="1">
      <x:c r="A305" s="9" t="str">
        <x:v>2026-08-01</x:v>
      </x:c>
      <x:c r="B305" s="9" t="str">
        <x:v>Budget</x:v>
      </x:c>
      <x:c r="C305" s="9" t="str">
        <x:v>Technology</x:v>
      </x:c>
      <x:c r="D305" s="278" t="n">
        <x:v>24</x:v>
      </x:c>
      <x:c r="E305" s="278" t="n">
        <x:v>0</x:v>
      </x:c>
      <x:c r="F305" s="278" t="n">
        <x:v>0</x:v>
      </x:c>
      <x:c r="G305" s="107" t="n">
        <x:v>3.18315711</x:v>
      </x:c>
      <x:c r="H305" s="107" t="n">
        <x:v>0.58888407</x:v>
      </x:c>
    </x:row>
    <x:row r="306" ht="17" customHeight="1">
      <x:c r="A306" s="9" t="str">
        <x:v>2026-09-01</x:v>
      </x:c>
      <x:c r="B306" s="9" t="str">
        <x:v>Budget</x:v>
      </x:c>
      <x:c r="C306" s="9" t="str">
        <x:v>Customer Success</x:v>
      </x:c>
      <x:c r="D306" s="278" t="n">
        <x:v>17</x:v>
      </x:c>
      <x:c r="E306" s="278" t="n">
        <x:v>0</x:v>
      </x:c>
      <x:c r="F306" s="278" t="n">
        <x:v>0</x:v>
      </x:c>
      <x:c r="G306" s="107" t="n">
        <x:v>1.87894684</x:v>
      </x:c>
      <x:c r="H306" s="107" t="n">
        <x:v>0.34760516999999996</x:v>
      </x:c>
    </x:row>
    <x:row r="307" ht="17" customHeight="1">
      <x:c r="A307" s="9" t="str">
        <x:v>2026-09-01</x:v>
      </x:c>
      <x:c r="B307" s="9" t="str">
        <x:v>Budget</x:v>
      </x:c>
      <x:c r="C307" s="9" t="str">
        <x:v>Finance &amp; Corporate</x:v>
      </x:c>
      <x:c r="D307" s="278" t="n">
        <x:v>21</x:v>
      </x:c>
      <x:c r="E307" s="278" t="n">
        <x:v>0</x:v>
      </x:c>
      <x:c r="F307" s="278" t="n">
        <x:v>1</x:v>
      </x:c>
      <x:c r="G307" s="107" t="n">
        <x:v>2.55315723</x:v>
      </x:c>
      <x:c r="H307" s="107" t="n">
        <x:v>0.47233409000000004</x:v>
      </x:c>
    </x:row>
    <x:row r="308" ht="17" customHeight="1">
      <x:c r="A308" s="9" t="str">
        <x:v>2026-09-01</x:v>
      </x:c>
      <x:c r="B308" s="9" t="str">
        <x:v>Budget</x:v>
      </x:c>
      <x:c r="C308" s="9" t="str">
        <x:v>Marketing</x:v>
      </x:c>
      <x:c r="D308" s="278" t="n">
        <x:v>19</x:v>
      </x:c>
      <x:c r="E308" s="278" t="n">
        <x:v>0</x:v>
      </x:c>
      <x:c r="F308" s="278" t="n">
        <x:v>0</x:v>
      </x:c>
      <x:c r="G308" s="107" t="n">
        <x:v>2.12624949</x:v>
      </x:c>
      <x:c r="H308" s="107" t="n">
        <x:v>0.39335615999999995</x:v>
      </x:c>
    </x:row>
    <x:row r="309" ht="17" customHeight="1">
      <x:c r="A309" s="9" t="str">
        <x:v>2026-09-01</x:v>
      </x:c>
      <x:c r="B309" s="9" t="str">
        <x:v>Budget</x:v>
      </x:c>
      <x:c r="C309" s="9" t="str">
        <x:v>Operations</x:v>
      </x:c>
      <x:c r="D309" s="278" t="n">
        <x:v>30</x:v>
      </x:c>
      <x:c r="E309" s="278" t="n">
        <x:v>0</x:v>
      </x:c>
      <x:c r="F309" s="278" t="n">
        <x:v>1</x:v>
      </x:c>
      <x:c r="G309" s="107" t="n">
        <x:v>2.85986748</x:v>
      </x:c>
      <x:c r="H309" s="107" t="n">
        <x:v>0.5290754799999999</x:v>
      </x:c>
    </x:row>
    <x:row r="310" ht="17" customHeight="1">
      <x:c r="A310" s="9" t="str">
        <x:v>2026-09-01</x:v>
      </x:c>
      <x:c r="B310" s="9" t="str">
        <x:v>Budget</x:v>
      </x:c>
      <x:c r="C310" s="9" t="str">
        <x:v>Sales</x:v>
      </x:c>
      <x:c r="D310" s="278" t="n">
        <x:v>118</x:v>
      </x:c>
      <x:c r="E310" s="278" t="n">
        <x:v>0</x:v>
      </x:c>
      <x:c r="F310" s="278" t="n">
        <x:v>3</x:v>
      </x:c>
      <x:c r="G310" s="107" t="n">
        <x:v>12.403812550000001</x:v>
      </x:c>
      <x:c r="H310" s="107" t="n">
        <x:v>2.2947053200000003</x:v>
      </x:c>
    </x:row>
    <x:row r="311" ht="17" customHeight="1">
      <x:c r="A311" s="9" t="str">
        <x:v>2026-09-01</x:v>
      </x:c>
      <x:c r="B311" s="9" t="str">
        <x:v>Budget</x:v>
      </x:c>
      <x:c r="C311" s="9" t="str">
        <x:v>Technology</x:v>
      </x:c>
      <x:c r="D311" s="278" t="n">
        <x:v>23</x:v>
      </x:c>
      <x:c r="E311" s="278" t="n">
        <x:v>0</x:v>
      </x:c>
      <x:c r="F311" s="278" t="n">
        <x:v>1</x:v>
      </x:c>
      <x:c r="G311" s="107" t="n">
        <x:v>3.05052557</x:v>
      </x:c>
      <x:c r="H311" s="107" t="n">
        <x:v>0.56434723</x:v>
      </x:c>
    </x:row>
    <x:row r="312" ht="17" customHeight="1">
      <x:c r="A312" s="9" t="str">
        <x:v>2026-10-01</x:v>
      </x:c>
      <x:c r="B312" s="9" t="str">
        <x:v>Budget</x:v>
      </x:c>
      <x:c r="C312" s="9" t="str">
        <x:v>Customer Success</x:v>
      </x:c>
      <x:c r="D312" s="278" t="n">
        <x:v>18</x:v>
      </x:c>
      <x:c r="E312" s="278" t="n">
        <x:v>1</x:v>
      </x:c>
      <x:c r="F312" s="278" t="n">
        <x:v>0</x:v>
      </x:c>
      <x:c r="G312" s="107" t="n">
        <x:v>1.98947313</x:v>
      </x:c>
      <x:c r="H312" s="107" t="n">
        <x:v>0.36805253000000004</x:v>
      </x:c>
    </x:row>
    <x:row r="313" ht="17" customHeight="1">
      <x:c r="A313" s="9" t="str">
        <x:v>2026-10-01</x:v>
      </x:c>
      <x:c r="B313" s="9" t="str">
        <x:v>Budget</x:v>
      </x:c>
      <x:c r="C313" s="9" t="str">
        <x:v>Finance &amp; Corporate</x:v>
      </x:c>
      <x:c r="D313" s="278" t="n">
        <x:v>21</x:v>
      </x:c>
      <x:c r="E313" s="278" t="n">
        <x:v>0</x:v>
      </x:c>
      <x:c r="F313" s="278" t="n">
        <x:v>0</x:v>
      </x:c>
      <x:c r="G313" s="107" t="n">
        <x:v>2.55315723</x:v>
      </x:c>
      <x:c r="H313" s="107" t="n">
        <x:v>0.47233409000000004</x:v>
      </x:c>
    </x:row>
    <x:row r="314" ht="17" customHeight="1">
      <x:c r="A314" s="9" t="str">
        <x:v>2026-10-01</x:v>
      </x:c>
      <x:c r="B314" s="9" t="str">
        <x:v>Budget</x:v>
      </x:c>
      <x:c r="C314" s="9" t="str">
        <x:v>Marketing</x:v>
      </x:c>
      <x:c r="D314" s="278" t="n">
        <x:v>19</x:v>
      </x:c>
      <x:c r="E314" s="278" t="n">
        <x:v>0</x:v>
      </x:c>
      <x:c r="F314" s="278" t="n">
        <x:v>0</x:v>
      </x:c>
      <x:c r="G314" s="107" t="n">
        <x:v>2.12624949</x:v>
      </x:c>
      <x:c r="H314" s="107" t="n">
        <x:v>0.39335615999999995</x:v>
      </x:c>
    </x:row>
    <x:row r="315" ht="17" customHeight="1">
      <x:c r="A315" s="9" t="str">
        <x:v>2026-10-01</x:v>
      </x:c>
      <x:c r="B315" s="9" t="str">
        <x:v>Budget</x:v>
      </x:c>
      <x:c r="C315" s="9" t="str">
        <x:v>Operations</x:v>
      </x:c>
      <x:c r="D315" s="278" t="n">
        <x:v>31</x:v>
      </x:c>
      <x:c r="E315" s="278" t="n">
        <x:v>1</x:v>
      </x:c>
      <x:c r="F315" s="278" t="n">
        <x:v>0</x:v>
      </x:c>
      <x:c r="G315" s="107" t="n">
        <x:v>2.9551963999999997</x:v>
      </x:c>
      <x:c r="H315" s="107" t="n">
        <x:v>0.5467113299999999</x:v>
      </x:c>
    </x:row>
    <x:row r="316" ht="17" customHeight="1">
      <x:c r="A316" s="9" t="str">
        <x:v>2026-10-01</x:v>
      </x:c>
      <x:c r="B316" s="9" t="str">
        <x:v>Budget</x:v>
      </x:c>
      <x:c r="C316" s="9" t="str">
        <x:v>Sales</x:v>
      </x:c>
      <x:c r="D316" s="278" t="n">
        <x:v>125</x:v>
      </x:c>
      <x:c r="E316" s="278" t="n">
        <x:v>7</x:v>
      </x:c>
      <x:c r="F316" s="278" t="n">
        <x:v>0</x:v>
      </x:c>
      <x:c r="G316" s="107" t="n">
        <x:v>13.155391289999999</x:v>
      </x:c>
      <x:c r="H316" s="107" t="n">
        <x:v>2.43374739</x:v>
      </x:c>
    </x:row>
    <x:row r="317" ht="17" customHeight="1">
      <x:c r="A317" s="9" t="str">
        <x:v>2026-10-01</x:v>
      </x:c>
      <x:c r="B317" s="9" t="str">
        <x:v>Budget</x:v>
      </x:c>
      <x:c r="C317" s="9" t="str">
        <x:v>Technology</x:v>
      </x:c>
      <x:c r="D317" s="278" t="n">
        <x:v>24</x:v>
      </x:c>
      <x:c r="E317" s="278" t="n">
        <x:v>1</x:v>
      </x:c>
      <x:c r="F317" s="278" t="n">
        <x:v>0</x:v>
      </x:c>
      <x:c r="G317" s="107" t="n">
        <x:v>3.18315711</x:v>
      </x:c>
      <x:c r="H317" s="107" t="n">
        <x:v>0.58888407</x:v>
      </x:c>
    </x:row>
    <x:row r="318" ht="17" customHeight="1">
      <x:c r="A318" s="9" t="str">
        <x:v>2026-11-01</x:v>
      </x:c>
      <x:c r="B318" s="9" t="str">
        <x:v>Budget</x:v>
      </x:c>
      <x:c r="C318" s="9" t="str">
        <x:v>Customer Success</x:v>
      </x:c>
      <x:c r="D318" s="278" t="n">
        <x:v>18</x:v>
      </x:c>
      <x:c r="E318" s="278" t="n">
        <x:v>0</x:v>
      </x:c>
      <x:c r="F318" s="278" t="n">
        <x:v>0</x:v>
      </x:c>
      <x:c r="G318" s="107" t="n">
        <x:v>1.98947313</x:v>
      </x:c>
      <x:c r="H318" s="107" t="n">
        <x:v>0.36805253000000004</x:v>
      </x:c>
    </x:row>
    <x:row r="319" ht="17" customHeight="1">
      <x:c r="A319" s="9" t="str">
        <x:v>2026-11-01</x:v>
      </x:c>
      <x:c r="B319" s="9" t="str">
        <x:v>Budget</x:v>
      </x:c>
      <x:c r="C319" s="9" t="str">
        <x:v>Finance &amp; Corporate</x:v>
      </x:c>
      <x:c r="D319" s="278" t="n">
        <x:v>21</x:v>
      </x:c>
      <x:c r="E319" s="278" t="n">
        <x:v>0</x:v>
      </x:c>
      <x:c r="F319" s="278" t="n">
        <x:v>0</x:v>
      </x:c>
      <x:c r="G319" s="107" t="n">
        <x:v>2.55315723</x:v>
      </x:c>
      <x:c r="H319" s="107" t="n">
        <x:v>0.47233409000000004</x:v>
      </x:c>
    </x:row>
    <x:row r="320" ht="17" customHeight="1">
      <x:c r="A320" s="9" t="str">
        <x:v>2026-11-01</x:v>
      </x:c>
      <x:c r="B320" s="9" t="str">
        <x:v>Budget</x:v>
      </x:c>
      <x:c r="C320" s="9" t="str">
        <x:v>Marketing</x:v>
      </x:c>
      <x:c r="D320" s="278" t="n">
        <x:v>19</x:v>
      </x:c>
      <x:c r="E320" s="278" t="n">
        <x:v>0</x:v>
      </x:c>
      <x:c r="F320" s="278" t="n">
        <x:v>0</x:v>
      </x:c>
      <x:c r="G320" s="107" t="n">
        <x:v>2.12624949</x:v>
      </x:c>
      <x:c r="H320" s="107" t="n">
        <x:v>0.39335615999999995</x:v>
      </x:c>
    </x:row>
    <x:row r="321" ht="17" customHeight="1">
      <x:c r="A321" s="9" t="str">
        <x:v>2026-11-01</x:v>
      </x:c>
      <x:c r="B321" s="9" t="str">
        <x:v>Budget</x:v>
      </x:c>
      <x:c r="C321" s="9" t="str">
        <x:v>Operations</x:v>
      </x:c>
      <x:c r="D321" s="278" t="n">
        <x:v>31</x:v>
      </x:c>
      <x:c r="E321" s="278" t="n">
        <x:v>0</x:v>
      </x:c>
      <x:c r="F321" s="278" t="n">
        <x:v>0</x:v>
      </x:c>
      <x:c r="G321" s="107" t="n">
        <x:v>2.9551963999999997</x:v>
      </x:c>
      <x:c r="H321" s="107" t="n">
        <x:v>0.5467113299999999</x:v>
      </x:c>
    </x:row>
    <x:row r="322" ht="17" customHeight="1">
      <x:c r="A322" s="9" t="str">
        <x:v>2026-11-01</x:v>
      </x:c>
      <x:c r="B322" s="9" t="str">
        <x:v>Budget</x:v>
      </x:c>
      <x:c r="C322" s="9" t="str">
        <x:v>Sales</x:v>
      </x:c>
      <x:c r="D322" s="278" t="n">
        <x:v>125</x:v>
      </x:c>
      <x:c r="E322" s="278" t="n">
        <x:v>0</x:v>
      </x:c>
      <x:c r="F322" s="278" t="n">
        <x:v>0</x:v>
      </x:c>
      <x:c r="G322" s="107" t="n">
        <x:v>13.155391289999999</x:v>
      </x:c>
      <x:c r="H322" s="107" t="n">
        <x:v>2.43374739</x:v>
      </x:c>
    </x:row>
    <x:row r="323" ht="17" customHeight="1">
      <x:c r="A323" s="9" t="str">
        <x:v>2026-11-01</x:v>
      </x:c>
      <x:c r="B323" s="9" t="str">
        <x:v>Budget</x:v>
      </x:c>
      <x:c r="C323" s="9" t="str">
        <x:v>Technology</x:v>
      </x:c>
      <x:c r="D323" s="278" t="n">
        <x:v>24</x:v>
      </x:c>
      <x:c r="E323" s="278" t="n">
        <x:v>0</x:v>
      </x:c>
      <x:c r="F323" s="278" t="n">
        <x:v>0</x:v>
      </x:c>
      <x:c r="G323" s="107" t="n">
        <x:v>3.18315711</x:v>
      </x:c>
      <x:c r="H323" s="107" t="n">
        <x:v>0.58888407</x:v>
      </x:c>
    </x:row>
    <x:row r="324" ht="17" customHeight="1">
      <x:c r="A324" s="9" t="str">
        <x:v>2026-12-01</x:v>
      </x:c>
      <x:c r="B324" s="9" t="str">
        <x:v>Budget</x:v>
      </x:c>
      <x:c r="C324" s="9" t="str">
        <x:v>Customer Success</x:v>
      </x:c>
      <x:c r="D324" s="278" t="n">
        <x:v>18</x:v>
      </x:c>
      <x:c r="E324" s="278" t="n">
        <x:v>0</x:v>
      </x:c>
      <x:c r="F324" s="278" t="n">
        <x:v>0</x:v>
      </x:c>
      <x:c r="G324" s="107" t="n">
        <x:v>1.98947313</x:v>
      </x:c>
      <x:c r="H324" s="107" t="n">
        <x:v>0.36805253000000004</x:v>
      </x:c>
    </x:row>
    <x:row r="325" ht="17" customHeight="1">
      <x:c r="A325" s="9" t="str">
        <x:v>2026-12-01</x:v>
      </x:c>
      <x:c r="B325" s="9" t="str">
        <x:v>Budget</x:v>
      </x:c>
      <x:c r="C325" s="9" t="str">
        <x:v>Finance &amp; Corporate</x:v>
      </x:c>
      <x:c r="D325" s="278" t="n">
        <x:v>21</x:v>
      </x:c>
      <x:c r="E325" s="278" t="n">
        <x:v>0</x:v>
      </x:c>
      <x:c r="F325" s="278" t="n">
        <x:v>0</x:v>
      </x:c>
      <x:c r="G325" s="107" t="n">
        <x:v>2.55315723</x:v>
      </x:c>
      <x:c r="H325" s="107" t="n">
        <x:v>0.47233409000000004</x:v>
      </x:c>
    </x:row>
    <x:row r="326" ht="17" customHeight="1">
      <x:c r="A326" s="9" t="str">
        <x:v>2026-12-01</x:v>
      </x:c>
      <x:c r="B326" s="9" t="str">
        <x:v>Budget</x:v>
      </x:c>
      <x:c r="C326" s="9" t="str">
        <x:v>Marketing</x:v>
      </x:c>
      <x:c r="D326" s="278" t="n">
        <x:v>19</x:v>
      </x:c>
      <x:c r="E326" s="278" t="n">
        <x:v>0</x:v>
      </x:c>
      <x:c r="F326" s="278" t="n">
        <x:v>0</x:v>
      </x:c>
      <x:c r="G326" s="107" t="n">
        <x:v>2.12624949</x:v>
      </x:c>
      <x:c r="H326" s="107" t="n">
        <x:v>0.39335615999999995</x:v>
      </x:c>
    </x:row>
    <x:row r="327" ht="17" customHeight="1">
      <x:c r="A327" s="9" t="str">
        <x:v>2026-12-01</x:v>
      </x:c>
      <x:c r="B327" s="9" t="str">
        <x:v>Budget</x:v>
      </x:c>
      <x:c r="C327" s="9" t="str">
        <x:v>Operations</x:v>
      </x:c>
      <x:c r="D327" s="278" t="n">
        <x:v>31</x:v>
      </x:c>
      <x:c r="E327" s="278" t="n">
        <x:v>0</x:v>
      </x:c>
      <x:c r="F327" s="278" t="n">
        <x:v>0</x:v>
      </x:c>
      <x:c r="G327" s="107" t="n">
        <x:v>2.9551963999999997</x:v>
      </x:c>
      <x:c r="H327" s="107" t="n">
        <x:v>0.5467113299999999</x:v>
      </x:c>
    </x:row>
    <x:row r="328" ht="17" customHeight="1">
      <x:c r="A328" s="9" t="str">
        <x:v>2026-12-01</x:v>
      </x:c>
      <x:c r="B328" s="9" t="str">
        <x:v>Budget</x:v>
      </x:c>
      <x:c r="C328" s="9" t="str">
        <x:v>Sales</x:v>
      </x:c>
      <x:c r="D328" s="278" t="n">
        <x:v>125</x:v>
      </x:c>
      <x:c r="E328" s="278" t="n">
        <x:v>0</x:v>
      </x:c>
      <x:c r="F328" s="278" t="n">
        <x:v>0</x:v>
      </x:c>
      <x:c r="G328" s="107" t="n">
        <x:v>13.155391289999999</x:v>
      </x:c>
      <x:c r="H328" s="107" t="n">
        <x:v>2.43374739</x:v>
      </x:c>
    </x:row>
    <x:row r="329" ht="17" customHeight="1">
      <x:c r="A329" s="9" t="str">
        <x:v>2026-12-01</x:v>
      </x:c>
      <x:c r="B329" s="9" t="str">
        <x:v>Budget</x:v>
      </x:c>
      <x:c r="C329" s="9" t="str">
        <x:v>Technology</x:v>
      </x:c>
      <x:c r="D329" s="278" t="n">
        <x:v>24</x:v>
      </x:c>
      <x:c r="E329" s="278" t="n">
        <x:v>0</x:v>
      </x:c>
      <x:c r="F329" s="278" t="n">
        <x:v>0</x:v>
      </x:c>
      <x:c r="G329" s="107" t="n">
        <x:v>3.18315711</x:v>
      </x:c>
      <x:c r="H329" s="107" t="n">
        <x:v>0.58888407</x:v>
      </x:c>
    </x:row>
    <x:row r="330" ht="17" customHeight="1">
      <x:c r="A330" s="9" t="str">
        <x:v>2026-01-01</x:v>
      </x:c>
      <x:c r="B330" s="9" t="str">
        <x:v>Forecast</x:v>
      </x:c>
      <x:c r="C330" s="9" t="str">
        <x:v>Customer Success</x:v>
      </x:c>
      <x:c r="D330" s="278" t="n">
        <x:v>16</x:v>
      </x:c>
      <x:c r="E330" s="278" t="n">
        <x:v>0</x:v>
      </x:c>
      <x:c r="F330" s="278" t="n">
        <x:v>0</x:v>
      </x:c>
      <x:c r="G330" s="107" t="n">
        <x:v>1.5174988</x:v>
      </x:c>
      <x:c r="H330" s="107" t="n">
        <x:v>0.28073728000000003</x:v>
      </x:c>
    </x:row>
    <x:row r="331" ht="17" customHeight="1">
      <x:c r="A331" s="9" t="str">
        <x:v>2026-01-01</x:v>
      </x:c>
      <x:c r="B331" s="9" t="str">
        <x:v>Forecast</x:v>
      </x:c>
      <x:c r="C331" s="9" t="str">
        <x:v>Finance &amp; Corporate</x:v>
      </x:c>
      <x:c r="D331" s="278" t="n">
        <x:v>21</x:v>
      </x:c>
      <x:c r="E331" s="278" t="n">
        <x:v>0</x:v>
      </x:c>
      <x:c r="F331" s="278" t="n">
        <x:v>0</x:v>
      </x:c>
      <x:c r="G331" s="107" t="n">
        <x:v>2.1936524100000003</x:v>
      </x:c>
      <x:c r="H331" s="107" t="n">
        <x:v>0.4058257</x:v>
      </x:c>
    </x:row>
    <x:row r="332" ht="17" customHeight="1">
      <x:c r="A332" s="9" t="str">
        <x:v>2026-01-01</x:v>
      </x:c>
      <x:c r="B332" s="9" t="str">
        <x:v>Forecast</x:v>
      </x:c>
      <x:c r="C332" s="9" t="str">
        <x:v>Marketing</x:v>
      </x:c>
      <x:c r="D332" s="278" t="n">
        <x:v>18</x:v>
      </x:c>
      <x:c r="E332" s="278" t="n">
        <x:v>0</x:v>
      </x:c>
      <x:c r="F332" s="278" t="n">
        <x:v>0</x:v>
      </x:c>
      <x:c r="G332" s="107" t="n">
        <x:v>1.74076252</x:v>
      </x:c>
      <x:c r="H332" s="107" t="n">
        <x:v>0.32204107</x:v>
      </x:c>
    </x:row>
    <x:row r="333" ht="17" customHeight="1">
      <x:c r="A333" s="9" t="str">
        <x:v>2026-01-01</x:v>
      </x:c>
      <x:c r="B333" s="9" t="str">
        <x:v>Forecast</x:v>
      </x:c>
      <x:c r="C333" s="9" t="str">
        <x:v>Operations</x:v>
      </x:c>
      <x:c r="D333" s="278" t="n">
        <x:v>30</x:v>
      </x:c>
      <x:c r="E333" s="278" t="n">
        <x:v>0</x:v>
      </x:c>
      <x:c r="F333" s="278" t="n">
        <x:v>0</x:v>
      </x:c>
      <x:c r="G333" s="107" t="n">
        <x:v>2.45530463</x:v>
      </x:c>
      <x:c r="H333" s="107" t="n">
        <x:v>0.45423136</x:v>
      </x:c>
    </x:row>
    <x:row r="334" ht="17" customHeight="1">
      <x:c r="A334" s="9" t="str">
        <x:v>2026-01-01</x:v>
      </x:c>
      <x:c r="B334" s="9" t="str">
        <x:v>Forecast</x:v>
      </x:c>
      <x:c r="C334" s="9" t="str">
        <x:v>Sales</x:v>
      </x:c>
      <x:c r="D334" s="278" t="n">
        <x:v>115</x:v>
      </x:c>
      <x:c r="E334" s="278" t="n">
        <x:v>1</x:v>
      </x:c>
      <x:c r="F334" s="278" t="n">
        <x:v>0</x:v>
      </x:c>
      <x:c r="G334" s="107" t="n">
        <x:v>10.47419163</x:v>
      </x:c>
      <x:c r="H334" s="107" t="n">
        <x:v>1.93772546</x:v>
      </x:c>
    </x:row>
    <x:row r="335" ht="17" customHeight="1">
      <x:c r="A335" s="9" t="str">
        <x:v>2026-01-01</x:v>
      </x:c>
      <x:c r="B335" s="9" t="str">
        <x:v>Forecast</x:v>
      </x:c>
      <x:c r="C335" s="9" t="str">
        <x:v>Technology</x:v>
      </x:c>
      <x:c r="D335" s="278" t="n">
        <x:v>22</x:v>
      </x:c>
      <x:c r="E335" s="278" t="n">
        <x:v>0</x:v>
      </x:c>
      <x:c r="F335" s="278" t="n">
        <x:v>0</x:v>
      </x:c>
      <x:c r="G335" s="107" t="n">
        <x:v>2.51157237</x:v>
      </x:c>
      <x:c r="H335" s="107" t="n">
        <x:v>0.46464089000000003</x:v>
      </x:c>
    </x:row>
    <x:row r="336" ht="17" customHeight="1">
      <x:c r="A336" s="9" t="str">
        <x:v>2026-02-01</x:v>
      </x:c>
      <x:c r="B336" s="9" t="str">
        <x:v>Forecast</x:v>
      </x:c>
      <x:c r="C336" s="9" t="str">
        <x:v>Customer Success</x:v>
      </x:c>
      <x:c r="D336" s="278" t="n">
        <x:v>16</x:v>
      </x:c>
      <x:c r="E336" s="278" t="n">
        <x:v>0</x:v>
      </x:c>
      <x:c r="F336" s="278" t="n">
        <x:v>0</x:v>
      </x:c>
      <x:c r="G336" s="107" t="n">
        <x:v>1.50755931</x:v>
      </x:c>
      <x:c r="H336" s="107" t="n">
        <x:v>0.27889846999999995</x:v>
      </x:c>
    </x:row>
    <x:row r="337" ht="17" customHeight="1">
      <x:c r="A337" s="9" t="str">
        <x:v>2026-02-01</x:v>
      </x:c>
      <x:c r="B337" s="9" t="str">
        <x:v>Forecast</x:v>
      </x:c>
      <x:c r="C337" s="9" t="str">
        <x:v>Finance &amp; Corporate</x:v>
      </x:c>
      <x:c r="D337" s="278" t="n">
        <x:v>21</x:v>
      </x:c>
      <x:c r="E337" s="278" t="n">
        <x:v>0</x:v>
      </x:c>
      <x:c r="F337" s="278" t="n">
        <x:v>0</x:v>
      </x:c>
      <x:c r="G337" s="107" t="n">
        <x:v>2.18193542</x:v>
      </x:c>
      <x:c r="H337" s="107" t="n">
        <x:v>0.40365805</x:v>
      </x:c>
    </x:row>
    <x:row r="338" ht="17" customHeight="1">
      <x:c r="A338" s="9" t="str">
        <x:v>2026-02-01</x:v>
      </x:c>
      <x:c r="B338" s="9" t="str">
        <x:v>Forecast</x:v>
      </x:c>
      <x:c r="C338" s="9" t="str">
        <x:v>Marketing</x:v>
      </x:c>
      <x:c r="D338" s="278" t="n">
        <x:v>18</x:v>
      </x:c>
      <x:c r="E338" s="278" t="n">
        <x:v>0</x:v>
      </x:c>
      <x:c r="F338" s="278" t="n">
        <x:v>0</x:v>
      </x:c>
      <x:c r="G338" s="107" t="n">
        <x:v>1.73366756</x:v>
      </x:c>
      <x:c r="H338" s="107" t="n">
        <x:v>0.3207285</x:v>
      </x:c>
    </x:row>
    <x:row r="339" ht="17" customHeight="1">
      <x:c r="A339" s="9" t="str">
        <x:v>2026-02-01</x:v>
      </x:c>
      <x:c r="B339" s="9" t="str">
        <x:v>Forecast</x:v>
      </x:c>
      <x:c r="C339" s="9" t="str">
        <x:v>Operations</x:v>
      </x:c>
      <x:c r="D339" s="278" t="n">
        <x:v>30</x:v>
      </x:c>
      <x:c r="E339" s="278" t="n">
        <x:v>0</x:v>
      </x:c>
      <x:c r="F339" s="278" t="n">
        <x:v>0</x:v>
      </x:c>
      <x:c r="G339" s="107" t="n">
        <x:v>2.45645873</x:v>
      </x:c>
      <x:c r="H339" s="107" t="n">
        <x:v>0.45444487</x:v>
      </x:c>
    </x:row>
    <x:row r="340" ht="17" customHeight="1">
      <x:c r="A340" s="9" t="str">
        <x:v>2026-02-01</x:v>
      </x:c>
      <x:c r="B340" s="9" t="str">
        <x:v>Forecast</x:v>
      </x:c>
      <x:c r="C340" s="9" t="str">
        <x:v>Sales</x:v>
      </x:c>
      <x:c r="D340" s="278" t="n">
        <x:v>115</x:v>
      </x:c>
      <x:c r="E340" s="278" t="n">
        <x:v>0</x:v>
      </x:c>
      <x:c r="F340" s="278" t="n">
        <x:v>0</x:v>
      </x:c>
      <x:c r="G340" s="107" t="n">
        <x:v>10.44664688</x:v>
      </x:c>
      <x:c r="H340" s="107" t="n">
        <x:v>1.9326296699999999</x:v>
      </x:c>
    </x:row>
    <x:row r="341" ht="17" customHeight="1">
      <x:c r="A341" s="9" t="str">
        <x:v>2026-02-01</x:v>
      </x:c>
      <x:c r="B341" s="9" t="str">
        <x:v>Forecast</x:v>
      </x:c>
      <x:c r="C341" s="9" t="str">
        <x:v>Technology</x:v>
      </x:c>
      <x:c r="D341" s="278" t="n">
        <x:v>22</x:v>
      </x:c>
      <x:c r="E341" s="278" t="n">
        <x:v>0</x:v>
      </x:c>
      <x:c r="F341" s="278" t="n">
        <x:v>0</x:v>
      </x:c>
      <x:c r="G341" s="107" t="n">
        <x:v>2.50677736</x:v>
      </x:c>
      <x:c r="H341" s="107" t="n">
        <x:v>0.46375381</x:v>
      </x:c>
    </x:row>
    <x:row r="342" ht="17" customHeight="1">
      <x:c r="A342" s="9" t="str">
        <x:v>2026-03-01</x:v>
      </x:c>
      <x:c r="B342" s="9" t="str">
        <x:v>Forecast</x:v>
      </x:c>
      <x:c r="C342" s="9" t="str">
        <x:v>Customer Success</x:v>
      </x:c>
      <x:c r="D342" s="278" t="n">
        <x:v>16</x:v>
      </x:c>
      <x:c r="E342" s="278" t="n">
        <x:v>0</x:v>
      </x:c>
      <x:c r="F342" s="278" t="n">
        <x:v>0</x:v>
      </x:c>
      <x:c r="G342" s="107" t="n">
        <x:v>1.52392019</x:v>
      </x:c>
      <x:c r="H342" s="107" t="n">
        <x:v>0.28192522999999997</x:v>
      </x:c>
    </x:row>
    <x:row r="343" ht="17" customHeight="1">
      <x:c r="A343" s="9" t="str">
        <x:v>2026-03-01</x:v>
      </x:c>
      <x:c r="B343" s="9" t="str">
        <x:v>Forecast</x:v>
      </x:c>
      <x:c r="C343" s="9" t="str">
        <x:v>Finance &amp; Corporate</x:v>
      </x:c>
      <x:c r="D343" s="278" t="n">
        <x:v>21</x:v>
      </x:c>
      <x:c r="E343" s="278" t="n">
        <x:v>0</x:v>
      </x:c>
      <x:c r="F343" s="278" t="n">
        <x:v>0</x:v>
      </x:c>
      <x:c r="G343" s="107" t="n">
        <x:v>2.20208641</x:v>
      </x:c>
      <x:c r="H343" s="107" t="n">
        <x:v>0.40738599</x:v>
      </x:c>
    </x:row>
    <x:row r="344" ht="17" customHeight="1">
      <x:c r="A344" s="9" t="str">
        <x:v>2026-03-01</x:v>
      </x:c>
      <x:c r="B344" s="9" t="str">
        <x:v>Forecast</x:v>
      </x:c>
      <x:c r="C344" s="9" t="str">
        <x:v>Marketing</x:v>
      </x:c>
      <x:c r="D344" s="278" t="n">
        <x:v>18</x:v>
      </x:c>
      <x:c r="E344" s="278" t="n">
        <x:v>0</x:v>
      </x:c>
      <x:c r="F344" s="278" t="n">
        <x:v>0</x:v>
      </x:c>
      <x:c r="G344" s="107" t="n">
        <x:v>1.70766104</x:v>
      </x:c>
      <x:c r="H344" s="107" t="n">
        <x:v>0.31591728999999996</x:v>
      </x:c>
    </x:row>
    <x:row r="345" ht="17" customHeight="1">
      <x:c r="A345" s="9" t="str">
        <x:v>2026-03-01</x:v>
      </x:c>
      <x:c r="B345" s="9" t="str">
        <x:v>Forecast</x:v>
      </x:c>
      <x:c r="C345" s="9" t="str">
        <x:v>Operations</x:v>
      </x:c>
      <x:c r="D345" s="278" t="n">
        <x:v>30</x:v>
      </x:c>
      <x:c r="E345" s="278" t="n">
        <x:v>0</x:v>
      </x:c>
      <x:c r="F345" s="278" t="n">
        <x:v>0</x:v>
      </x:c>
      <x:c r="G345" s="107" t="n">
        <x:v>2.44111285</x:v>
      </x:c>
      <x:c r="H345" s="107" t="n">
        <x:v>0.45160588</x:v>
      </x:c>
    </x:row>
    <x:row r="346" ht="17" customHeight="1">
      <x:c r="A346" s="9" t="str">
        <x:v>2026-03-01</x:v>
      </x:c>
      <x:c r="B346" s="9" t="str">
        <x:v>Forecast</x:v>
      </x:c>
      <x:c r="C346" s="9" t="str">
        <x:v>Sales</x:v>
      </x:c>
      <x:c r="D346" s="278" t="n">
        <x:v>114</x:v>
      </x:c>
      <x:c r="E346" s="278" t="n">
        <x:v>0</x:v>
      </x:c>
      <x:c r="F346" s="278" t="n">
        <x:v>1</x:v>
      </x:c>
      <x:c r="G346" s="107" t="n">
        <x:v>10.259141230000001</x:v>
      </x:c>
      <x:c r="H346" s="107" t="n">
        <x:v>1.8979411199999998</x:v>
      </x:c>
    </x:row>
    <x:row r="347" ht="17" customHeight="1">
      <x:c r="A347" s="9" t="str">
        <x:v>2026-03-01</x:v>
      </x:c>
      <x:c r="B347" s="9" t="str">
        <x:v>Forecast</x:v>
      </x:c>
      <x:c r="C347" s="9" t="str">
        <x:v>Technology</x:v>
      </x:c>
      <x:c r="D347" s="278" t="n">
        <x:v>22</x:v>
      </x:c>
      <x:c r="E347" s="278" t="n">
        <x:v>0</x:v>
      </x:c>
      <x:c r="F347" s="278" t="n">
        <x:v>0</x:v>
      </x:c>
      <x:c r="G347" s="107" t="n">
        <x:v>2.5451080299999997</x:v>
      </x:c>
      <x:c r="H347" s="107" t="n">
        <x:v>0.47084498999999996</x:v>
      </x:c>
    </x:row>
    <x:row r="348" ht="17" customHeight="1">
      <x:c r="A348" s="9" t="str">
        <x:v>2026-04-01</x:v>
      </x:c>
      <x:c r="B348" s="9" t="str">
        <x:v>Forecast</x:v>
      </x:c>
      <x:c r="C348" s="9" t="str">
        <x:v>Customer Success</x:v>
      </x:c>
      <x:c r="D348" s="278" t="n">
        <x:v>16</x:v>
      </x:c>
      <x:c r="E348" s="278" t="n">
        <x:v>0</x:v>
      </x:c>
      <x:c r="F348" s="278" t="n">
        <x:v>0</x:v>
      </x:c>
      <x:c r="G348" s="107" t="n">
        <x:v>1.6109351200000002</x:v>
      </x:c>
      <x:c r="H348" s="107" t="n">
        <x:v>0.298023</x:v>
      </x:c>
    </x:row>
    <x:row r="349" ht="17" customHeight="1">
      <x:c r="A349" s="9" t="str">
        <x:v>2026-04-01</x:v>
      </x:c>
      <x:c r="B349" s="9" t="str">
        <x:v>Forecast</x:v>
      </x:c>
      <x:c r="C349" s="9" t="str">
        <x:v>Finance &amp; Corporate</x:v>
      </x:c>
      <x:c r="D349" s="278" t="n">
        <x:v>21</x:v>
      </x:c>
      <x:c r="E349" s="278" t="n">
        <x:v>0</x:v>
      </x:c>
      <x:c r="F349" s="278" t="n">
        <x:v>0</x:v>
      </x:c>
      <x:c r="G349" s="107" t="n">
        <x:v>2.3423420499999996</x:v>
      </x:c>
      <x:c r="H349" s="107" t="n">
        <x:v>0.43333328000000004</x:v>
      </x:c>
    </x:row>
    <x:row r="350" ht="17" customHeight="1">
      <x:c r="A350" s="9" t="str">
        <x:v>2026-04-01</x:v>
      </x:c>
      <x:c r="B350" s="9" t="str">
        <x:v>Forecast</x:v>
      </x:c>
      <x:c r="C350" s="9" t="str">
        <x:v>Marketing</x:v>
      </x:c>
      <x:c r="D350" s="278" t="n">
        <x:v>18</x:v>
      </x:c>
      <x:c r="E350" s="278" t="n">
        <x:v>0</x:v>
      </x:c>
      <x:c r="F350" s="278" t="n">
        <x:v>0</x:v>
      </x:c>
      <x:c r="G350" s="107" t="n">
        <x:v>1.8319134099999999</x:v>
      </x:c>
      <x:c r="H350" s="107" t="n">
        <x:v>0.33890398</x:v>
      </x:c>
    </x:row>
    <x:row r="351" ht="17" customHeight="1">
      <x:c r="A351" s="9" t="str">
        <x:v>2026-04-01</x:v>
      </x:c>
      <x:c r="B351" s="9" t="str">
        <x:v>Forecast</x:v>
      </x:c>
      <x:c r="C351" s="9" t="str">
        <x:v>Operations</x:v>
      </x:c>
      <x:c r="D351" s="278" t="n">
        <x:v>30</x:v>
      </x:c>
      <x:c r="E351" s="278" t="n">
        <x:v>0</x:v>
      </x:c>
      <x:c r="F351" s="278" t="n">
        <x:v>0</x:v>
      </x:c>
      <x:c r="G351" s="107" t="n">
        <x:v>2.61683656</x:v>
      </x:c>
      <x:c r="H351" s="107" t="n">
        <x:v>0.48411476000000003</x:v>
      </x:c>
    </x:row>
    <x:row r="352" ht="17" customHeight="1">
      <x:c r="A352" s="9" t="str">
        <x:v>2026-04-01</x:v>
      </x:c>
      <x:c r="B352" s="9" t="str">
        <x:v>Forecast</x:v>
      </x:c>
      <x:c r="C352" s="9" t="str">
        <x:v>Sales</x:v>
      </x:c>
      <x:c r="D352" s="278" t="n">
        <x:v>114</x:v>
      </x:c>
      <x:c r="E352" s="278" t="n">
        <x:v>0</x:v>
      </x:c>
      <x:c r="F352" s="278" t="n">
        <x:v>0</x:v>
      </x:c>
      <x:c r="G352" s="107" t="n">
        <x:v>10.94522677</x:v>
      </x:c>
      <x:c r="H352" s="107" t="n">
        <x:v>2.0248669599999998</x:v>
      </x:c>
    </x:row>
    <x:row r="353" ht="17" customHeight="1">
      <x:c r="A353" s="9" t="str">
        <x:v>2026-04-01</x:v>
      </x:c>
      <x:c r="B353" s="9" t="str">
        <x:v>Forecast</x:v>
      </x:c>
      <x:c r="C353" s="9" t="str">
        <x:v>Technology</x:v>
      </x:c>
      <x:c r="D353" s="278" t="n">
        <x:v>22</x:v>
      </x:c>
      <x:c r="E353" s="278" t="n">
        <x:v>0</x:v>
      </x:c>
      <x:c r="F353" s="278" t="n">
        <x:v>0</x:v>
      </x:c>
      <x:c r="G353" s="107" t="n">
        <x:v>2.69719773</x:v>
      </x:c>
      <x:c r="H353" s="107" t="n">
        <x:v>0.49898158000000004</x:v>
      </x:c>
    </x:row>
    <x:row r="354" ht="17" customHeight="1">
      <x:c r="A354" s="9" t="str">
        <x:v>2026-05-01</x:v>
      </x:c>
      <x:c r="B354" s="9" t="str">
        <x:v>Forecast</x:v>
      </x:c>
      <x:c r="C354" s="9" t="str">
        <x:v>Customer Success</x:v>
      </x:c>
      <x:c r="D354" s="278" t="n">
        <x:v>16</x:v>
      </x:c>
      <x:c r="E354" s="278" t="n">
        <x:v>0</x:v>
      </x:c>
      <x:c r="F354" s="278" t="n">
        <x:v>0</x:v>
      </x:c>
      <x:c r="G354" s="107" t="n">
        <x:v>1.61922305</x:v>
      </x:c>
      <x:c r="H354" s="107" t="n">
        <x:v>0.29955626</x:v>
      </x:c>
    </x:row>
    <x:row r="355" ht="17" customHeight="1">
      <x:c r="A355" s="9" t="str">
        <x:v>2026-05-01</x:v>
      </x:c>
      <x:c r="B355" s="9" t="str">
        <x:v>Forecast</x:v>
      </x:c>
      <x:c r="C355" s="9" t="str">
        <x:v>Finance &amp; Corporate</x:v>
      </x:c>
      <x:c r="D355" s="278" t="n">
        <x:v>21</x:v>
      </x:c>
      <x:c r="E355" s="278" t="n">
        <x:v>0</x:v>
      </x:c>
      <x:c r="F355" s="278" t="n">
        <x:v>0</x:v>
      </x:c>
      <x:c r="G355" s="107" t="n">
        <x:v>2.3229220099999996</x:v>
      </x:c>
      <x:c r="H355" s="107" t="n">
        <x:v>0.42974057</x:v>
      </x:c>
    </x:row>
    <x:row r="356" ht="17" customHeight="1">
      <x:c r="A356" s="9" t="str">
        <x:v>2026-05-01</x:v>
      </x:c>
      <x:c r="B356" s="9" t="str">
        <x:v>Forecast</x:v>
      </x:c>
      <x:c r="C356" s="9" t="str">
        <x:v>Marketing</x:v>
      </x:c>
      <x:c r="D356" s="278" t="n">
        <x:v>18</x:v>
      </x:c>
      <x:c r="E356" s="278" t="n">
        <x:v>0</x:v>
      </x:c>
      <x:c r="F356" s="278" t="n">
        <x:v>0</x:v>
      </x:c>
      <x:c r="G356" s="107" t="n">
        <x:v>1.8443155500000001</x:v>
      </x:c>
      <x:c r="H356" s="107" t="n">
        <x:v>0.34119838</x:v>
      </x:c>
    </x:row>
    <x:row r="357" ht="17" customHeight="1">
      <x:c r="A357" s="9" t="str">
        <x:v>2026-05-01</x:v>
      </x:c>
      <x:c r="B357" s="9" t="str">
        <x:v>Forecast</x:v>
      </x:c>
      <x:c r="C357" s="9" t="str">
        <x:v>Operations</x:v>
      </x:c>
      <x:c r="D357" s="278" t="n">
        <x:v>30</x:v>
      </x:c>
      <x:c r="E357" s="278" t="n">
        <x:v>0</x:v>
      </x:c>
      <x:c r="F357" s="278" t="n">
        <x:v>0</x:v>
      </x:c>
      <x:c r="G357" s="107" t="n">
        <x:v>2.63351709</x:v>
      </x:c>
      <x:c r="H357" s="107" t="n">
        <x:v>0.48720065999999995</x:v>
      </x:c>
    </x:row>
    <x:row r="358" ht="17" customHeight="1">
      <x:c r="A358" s="9" t="str">
        <x:v>2026-05-01</x:v>
      </x:c>
      <x:c r="B358" s="9" t="str">
        <x:v>Forecast</x:v>
      </x:c>
      <x:c r="C358" s="9" t="str">
        <x:v>Sales</x:v>
      </x:c>
      <x:c r="D358" s="278" t="n">
        <x:v>114</x:v>
      </x:c>
      <x:c r="E358" s="278" t="n">
        <x:v>0</x:v>
      </x:c>
      <x:c r="F358" s="278" t="n">
        <x:v>0</x:v>
      </x:c>
      <x:c r="G358" s="107" t="n">
        <x:v>10.96959189</x:v>
      </x:c>
      <x:c r="H358" s="107" t="n">
        <x:v>2.02937451</x:v>
      </x:c>
    </x:row>
    <x:row r="359" ht="17" customHeight="1">
      <x:c r="A359" s="9" t="str">
        <x:v>2026-05-01</x:v>
      </x:c>
      <x:c r="B359" s="9" t="str">
        <x:v>Forecast</x:v>
      </x:c>
      <x:c r="C359" s="9" t="str">
        <x:v>Technology</x:v>
      </x:c>
      <x:c r="D359" s="278" t="n">
        <x:v>22</x:v>
      </x:c>
      <x:c r="E359" s="278" t="n">
        <x:v>0</x:v>
      </x:c>
      <x:c r="F359" s="278" t="n">
        <x:v>0</x:v>
      </x:c>
      <x:c r="G359" s="107" t="n">
        <x:v>2.6373271099999998</x:v>
      </x:c>
      <x:c r="H359" s="107" t="n">
        <x:v>0.48790552000000004</x:v>
      </x:c>
    </x:row>
    <x:row r="360" ht="17" customHeight="1">
      <x:c r="A360" s="9" t="str">
        <x:v>2026-06-01</x:v>
      </x:c>
      <x:c r="B360" s="9" t="str">
        <x:v>Forecast</x:v>
      </x:c>
      <x:c r="C360" s="9" t="str">
        <x:v>Customer Success</x:v>
      </x:c>
      <x:c r="D360" s="278" t="n">
        <x:v>16</x:v>
      </x:c>
      <x:c r="E360" s="278" t="n">
        <x:v>0</x:v>
      </x:c>
      <x:c r="F360" s="278" t="n">
        <x:v>0</x:v>
      </x:c>
      <x:c r="G360" s="107" t="n">
        <x:v>1.6300451999999999</x:v>
      </x:c>
      <x:c r="H360" s="107" t="n">
        <x:v>0.30155835999999997</x:v>
      </x:c>
    </x:row>
    <x:row r="361" ht="17" customHeight="1">
      <x:c r="A361" s="9" t="str">
        <x:v>2026-06-01</x:v>
      </x:c>
      <x:c r="B361" s="9" t="str">
        <x:v>Forecast</x:v>
      </x:c>
      <x:c r="C361" s="9" t="str">
        <x:v>Finance &amp; Corporate</x:v>
      </x:c>
      <x:c r="D361" s="278" t="n">
        <x:v>21</x:v>
      </x:c>
      <x:c r="E361" s="278" t="n">
        <x:v>0</x:v>
      </x:c>
      <x:c r="F361" s="278" t="n">
        <x:v>0</x:v>
      </x:c>
      <x:c r="G361" s="107" t="n">
        <x:v>2.31853923</x:v>
      </x:c>
      <x:c r="H361" s="107" t="n">
        <x:v>0.42892976</x:v>
      </x:c>
    </x:row>
    <x:row r="362" ht="17" customHeight="1">
      <x:c r="A362" s="9" t="str">
        <x:v>2026-06-01</x:v>
      </x:c>
      <x:c r="B362" s="9" t="str">
        <x:v>Forecast</x:v>
      </x:c>
      <x:c r="C362" s="9" t="str">
        <x:v>Marketing</x:v>
      </x:c>
      <x:c r="D362" s="278" t="n">
        <x:v>18</x:v>
      </x:c>
      <x:c r="E362" s="278" t="n">
        <x:v>0</x:v>
      </x:c>
      <x:c r="F362" s="278" t="n">
        <x:v>0</x:v>
      </x:c>
      <x:c r="G362" s="107" t="n">
        <x:v>1.82488054</x:v>
      </x:c>
      <x:c r="H362" s="107" t="n">
        <x:v>0.33760290000000004</x:v>
      </x:c>
    </x:row>
    <x:row r="363" ht="17" customHeight="1">
      <x:c r="A363" s="9" t="str">
        <x:v>2026-06-01</x:v>
      </x:c>
      <x:c r="B363" s="9" t="str">
        <x:v>Forecast</x:v>
      </x:c>
      <x:c r="C363" s="9" t="str">
        <x:v>Operations</x:v>
      </x:c>
      <x:c r="D363" s="278" t="n">
        <x:v>30</x:v>
      </x:c>
      <x:c r="E363" s="278" t="n">
        <x:v>0</x:v>
      </x:c>
      <x:c r="F363" s="278" t="n">
        <x:v>0</x:v>
      </x:c>
      <x:c r="G363" s="107" t="n">
        <x:v>2.60105636</x:v>
      </x:c>
      <x:c r="H363" s="107" t="n">
        <x:v>0.48119543</x:v>
      </x:c>
    </x:row>
    <x:row r="364" ht="17" customHeight="1">
      <x:c r="A364" s="9" t="str">
        <x:v>2026-06-01</x:v>
      </x:c>
      <x:c r="B364" s="9" t="str">
        <x:v>Forecast</x:v>
      </x:c>
      <x:c r="C364" s="9" t="str">
        <x:v>Sales</x:v>
      </x:c>
      <x:c r="D364" s="278" t="n">
        <x:v>115</x:v>
      </x:c>
      <x:c r="E364" s="278" t="n">
        <x:v>2</x:v>
      </x:c>
      <x:c r="F364" s="278" t="n">
        <x:v>1</x:v>
      </x:c>
      <x:c r="G364" s="107" t="n">
        <x:v>11.15369731</x:v>
      </x:c>
      <x:c r="H364" s="107" t="n">
        <x:v>2.063434</x:v>
      </x:c>
    </x:row>
    <x:row r="365" ht="17" customHeight="1">
      <x:c r="A365" s="9" t="str">
        <x:v>2026-06-01</x:v>
      </x:c>
      <x:c r="B365" s="9" t="str">
        <x:v>Forecast</x:v>
      </x:c>
      <x:c r="C365" s="9" t="str">
        <x:v>Technology</x:v>
      </x:c>
      <x:c r="D365" s="278" t="n">
        <x:v>22</x:v>
      </x:c>
      <x:c r="E365" s="278" t="n">
        <x:v>0</x:v>
      </x:c>
      <x:c r="F365" s="278" t="n">
        <x:v>0</x:v>
      </x:c>
      <x:c r="G365" s="107" t="n">
        <x:v>2.6885839799999998</x:v>
      </x:c>
      <x:c r="H365" s="107" t="n">
        <x:v>0.49738804</x:v>
      </x:c>
    </x:row>
    <x:row r="366" ht="17" customHeight="1">
      <x:c r="A366" s="9" t="str">
        <x:v>2026-07-01</x:v>
      </x:c>
      <x:c r="B366" s="9" t="str">
        <x:v>Forecast</x:v>
      </x:c>
      <x:c r="C366" s="9" t="str">
        <x:v>Customer Success</x:v>
      </x:c>
      <x:c r="D366" s="278" t="n">
        <x:v>16</x:v>
      </x:c>
      <x:c r="E366" s="278" t="n">
        <x:v>0</x:v>
      </x:c>
      <x:c r="F366" s="278" t="n">
        <x:v>0</x:v>
      </x:c>
      <x:c r="G366" s="107" t="n">
        <x:v>1.61597056</x:v>
      </x:c>
      <x:c r="H366" s="107" t="n">
        <x:v>0.29895455</x:v>
      </x:c>
    </x:row>
    <x:row r="367" ht="17" customHeight="1">
      <x:c r="A367" s="9" t="str">
        <x:v>2026-07-01</x:v>
      </x:c>
      <x:c r="B367" s="9" t="str">
        <x:v>Forecast</x:v>
      </x:c>
      <x:c r="C367" s="9" t="str">
        <x:v>Finance &amp; Corporate</x:v>
      </x:c>
      <x:c r="D367" s="278" t="n">
        <x:v>21</x:v>
      </x:c>
      <x:c r="E367" s="278" t="n">
        <x:v>0</x:v>
      </x:c>
      <x:c r="F367" s="278" t="n">
        <x:v>0</x:v>
      </x:c>
      <x:c r="G367" s="107" t="n">
        <x:v>2.33305737</x:v>
      </x:c>
      <x:c r="H367" s="107" t="n">
        <x:v>0.43161561</x:v>
      </x:c>
    </x:row>
    <x:row r="368" ht="17" customHeight="1">
      <x:c r="A368" s="9" t="str">
        <x:v>2026-07-01</x:v>
      </x:c>
      <x:c r="B368" s="9" t="str">
        <x:v>Forecast</x:v>
      </x:c>
      <x:c r="C368" s="9" t="str">
        <x:v>Marketing</x:v>
      </x:c>
      <x:c r="D368" s="278" t="n">
        <x:v>18</x:v>
      </x:c>
      <x:c r="E368" s="278" t="n">
        <x:v>0</x:v>
      </x:c>
      <x:c r="F368" s="278" t="n">
        <x:v>0</x:v>
      </x:c>
      <x:c r="G368" s="107" t="n">
        <x:v>1.84069134</x:v>
      </x:c>
      <x:c r="H368" s="107" t="n">
        <x:v>0.34052790000000005</x:v>
      </x:c>
    </x:row>
    <x:row r="369" ht="17" customHeight="1">
      <x:c r="A369" s="9" t="str">
        <x:v>2026-07-01</x:v>
      </x:c>
      <x:c r="B369" s="9" t="str">
        <x:v>Forecast</x:v>
      </x:c>
      <x:c r="C369" s="9" t="str">
        <x:v>Operations</x:v>
      </x:c>
      <x:c r="D369" s="278" t="n">
        <x:v>30</x:v>
      </x:c>
      <x:c r="E369" s="278" t="n">
        <x:v>0</x:v>
      </x:c>
      <x:c r="F369" s="278" t="n">
        <x:v>0</x:v>
      </x:c>
      <x:c r="G369" s="107" t="n">
        <x:v>2.6133273</x:v>
      </x:c>
      <x:c r="H369" s="107" t="n">
        <x:v>0.48346554999999997</x:v>
      </x:c>
    </x:row>
    <x:row r="370" ht="17" customHeight="1">
      <x:c r="A370" s="9" t="str">
        <x:v>2026-07-01</x:v>
      </x:c>
      <x:c r="B370" s="9" t="str">
        <x:v>Forecast</x:v>
      </x:c>
      <x:c r="C370" s="9" t="str">
        <x:v>Sales</x:v>
      </x:c>
      <x:c r="D370" s="278" t="n">
        <x:v>115</x:v>
      </x:c>
      <x:c r="E370" s="278" t="n">
        <x:v>0</x:v>
      </x:c>
      <x:c r="F370" s="278" t="n">
        <x:v>0</x:v>
      </x:c>
      <x:c r="G370" s="107" t="n">
        <x:v>11.032785859999999</x:v>
      </x:c>
      <x:c r="H370" s="107" t="n">
        <x:v>2.04106538</x:v>
      </x:c>
    </x:row>
    <x:row r="371" ht="17" customHeight="1">
      <x:c r="A371" s="9" t="str">
        <x:v>2026-07-01</x:v>
      </x:c>
      <x:c r="B371" s="9" t="str">
        <x:v>Forecast</x:v>
      </x:c>
      <x:c r="C371" s="9" t="str">
        <x:v>Technology</x:v>
      </x:c>
      <x:c r="D371" s="278" t="n">
        <x:v>22</x:v>
      </x:c>
      <x:c r="E371" s="278" t="n">
        <x:v>0</x:v>
      </x:c>
      <x:c r="F371" s="278" t="n">
        <x:v>0</x:v>
      </x:c>
      <x:c r="G371" s="107" t="n">
        <x:v>2.66635138</x:v>
      </x:c>
      <x:c r="H371" s="107" t="n">
        <x:v>0.49327501</x:v>
      </x:c>
    </x:row>
    <x:row r="372" ht="17" customHeight="1">
      <x:c r="A372" s="9" t="str">
        <x:v>2026-08-01</x:v>
      </x:c>
      <x:c r="B372" s="9" t="str">
        <x:v>Forecast</x:v>
      </x:c>
      <x:c r="C372" s="9" t="str">
        <x:v>Customer Success</x:v>
      </x:c>
      <x:c r="D372" s="278" t="n">
        <x:v>16</x:v>
      </x:c>
      <x:c r="E372" s="278" t="n">
        <x:v>0</x:v>
      </x:c>
      <x:c r="F372" s="278" t="n">
        <x:v>0</x:v>
      </x:c>
      <x:c r="G372" s="107" t="n">
        <x:v>1.61597056</x:v>
      </x:c>
      <x:c r="H372" s="107" t="n">
        <x:v>0.29895455</x:v>
      </x:c>
    </x:row>
    <x:row r="373" ht="17" customHeight="1">
      <x:c r="A373" s="9" t="str">
        <x:v>2026-08-01</x:v>
      </x:c>
      <x:c r="B373" s="9" t="str">
        <x:v>Forecast</x:v>
      </x:c>
      <x:c r="C373" s="9" t="str">
        <x:v>Finance &amp; Corporate</x:v>
      </x:c>
      <x:c r="D373" s="278" t="n">
        <x:v>21</x:v>
      </x:c>
      <x:c r="E373" s="278" t="n">
        <x:v>0</x:v>
      </x:c>
      <x:c r="F373" s="278" t="n">
        <x:v>0</x:v>
      </x:c>
      <x:c r="G373" s="107" t="n">
        <x:v>2.33305737</x:v>
      </x:c>
      <x:c r="H373" s="107" t="n">
        <x:v>0.43161561</x:v>
      </x:c>
    </x:row>
    <x:row r="374" ht="17" customHeight="1">
      <x:c r="A374" s="9" t="str">
        <x:v>2026-08-01</x:v>
      </x:c>
      <x:c r="B374" s="9" t="str">
        <x:v>Forecast</x:v>
      </x:c>
      <x:c r="C374" s="9" t="str">
        <x:v>Marketing</x:v>
      </x:c>
      <x:c r="D374" s="278" t="n">
        <x:v>18</x:v>
      </x:c>
      <x:c r="E374" s="278" t="n">
        <x:v>0</x:v>
      </x:c>
      <x:c r="F374" s="278" t="n">
        <x:v>0</x:v>
      </x:c>
      <x:c r="G374" s="107" t="n">
        <x:v>1.84069134</x:v>
      </x:c>
      <x:c r="H374" s="107" t="n">
        <x:v>0.34052790000000005</x:v>
      </x:c>
    </x:row>
    <x:row r="375" ht="17" customHeight="1">
      <x:c r="A375" s="9" t="str">
        <x:v>2026-08-01</x:v>
      </x:c>
      <x:c r="B375" s="9" t="str">
        <x:v>Forecast</x:v>
      </x:c>
      <x:c r="C375" s="9" t="str">
        <x:v>Operations</x:v>
      </x:c>
      <x:c r="D375" s="278" t="n">
        <x:v>31</x:v>
      </x:c>
      <x:c r="E375" s="278" t="n">
        <x:v>1</x:v>
      </x:c>
      <x:c r="F375" s="278" t="n">
        <x:v>0</x:v>
      </x:c>
      <x:c r="G375" s="107" t="n">
        <x:v>2.70043821</x:v>
      </x:c>
      <x:c r="H375" s="107" t="n">
        <x:v>0.49958107</x:v>
      </x:c>
    </x:row>
    <x:row r="376" ht="17" customHeight="1">
      <x:c r="A376" s="9" t="str">
        <x:v>2026-08-01</x:v>
      </x:c>
      <x:c r="B376" s="9" t="str">
        <x:v>Forecast</x:v>
      </x:c>
      <x:c r="C376" s="9" t="str">
        <x:v>Sales</x:v>
      </x:c>
      <x:c r="D376" s="278" t="n">
        <x:v>122</x:v>
      </x:c>
      <x:c r="E376" s="278" t="n">
        <x:v>7</x:v>
      </x:c>
      <x:c r="F376" s="278" t="n">
        <x:v>0</x:v>
      </x:c>
      <x:c r="G376" s="107" t="n">
        <x:v>11.719573310000001</x:v>
      </x:c>
      <x:c r="H376" s="107" t="n">
        <x:v>2.1681210600000003</x:v>
      </x:c>
    </x:row>
    <x:row r="377" ht="17" customHeight="1">
      <x:c r="A377" s="9" t="str">
        <x:v>2026-08-01</x:v>
      </x:c>
      <x:c r="B377" s="9" t="str">
        <x:v>Forecast</x:v>
      </x:c>
      <x:c r="C377" s="9" t="str">
        <x:v>Technology</x:v>
      </x:c>
      <x:c r="D377" s="278" t="n">
        <x:v>23</x:v>
      </x:c>
      <x:c r="E377" s="278" t="n">
        <x:v>1</x:v>
      </x:c>
      <x:c r="F377" s="278" t="n">
        <x:v>0</x:v>
      </x:c>
      <x:c r="G377" s="107" t="n">
        <x:v>2.78754917</x:v>
      </x:c>
      <x:c r="H377" s="107" t="n">
        <x:v>0.5156966</x:v>
      </x:c>
    </x:row>
    <x:row r="378" ht="17" customHeight="1">
      <x:c r="A378" s="9" t="str">
        <x:v>2026-09-01</x:v>
      </x:c>
      <x:c r="B378" s="9" t="str">
        <x:v>Forecast</x:v>
      </x:c>
      <x:c r="C378" s="9" t="str">
        <x:v>Customer Success</x:v>
      </x:c>
      <x:c r="D378" s="278" t="n">
        <x:v>16</x:v>
      </x:c>
      <x:c r="E378" s="278" t="n">
        <x:v>0</x:v>
      </x:c>
      <x:c r="F378" s="278" t="n">
        <x:v>0</x:v>
      </x:c>
      <x:c r="G378" s="107" t="n">
        <x:v>1.61597056</x:v>
      </x:c>
      <x:c r="H378" s="107" t="n">
        <x:v>0.29895455</x:v>
      </x:c>
    </x:row>
    <x:row r="379" ht="17" customHeight="1">
      <x:c r="A379" s="9" t="str">
        <x:v>2026-09-01</x:v>
      </x:c>
      <x:c r="B379" s="9" t="str">
        <x:v>Forecast</x:v>
      </x:c>
      <x:c r="C379" s="9" t="str">
        <x:v>Finance &amp; Corporate</x:v>
      </x:c>
      <x:c r="D379" s="278" t="n">
        <x:v>21</x:v>
      </x:c>
      <x:c r="E379" s="278" t="n">
        <x:v>0</x:v>
      </x:c>
      <x:c r="F379" s="278" t="n">
        <x:v>0</x:v>
      </x:c>
      <x:c r="G379" s="107" t="n">
        <x:v>2.33305737</x:v>
      </x:c>
      <x:c r="H379" s="107" t="n">
        <x:v>0.43161561</x:v>
      </x:c>
    </x:row>
    <x:row r="380" ht="17" customHeight="1">
      <x:c r="A380" s="9" t="str">
        <x:v>2026-09-01</x:v>
      </x:c>
      <x:c r="B380" s="9" t="str">
        <x:v>Forecast</x:v>
      </x:c>
      <x:c r="C380" s="9" t="str">
        <x:v>Marketing</x:v>
      </x:c>
      <x:c r="D380" s="278" t="n">
        <x:v>18</x:v>
      </x:c>
      <x:c r="E380" s="278" t="n">
        <x:v>0</x:v>
      </x:c>
      <x:c r="F380" s="278" t="n">
        <x:v>0</x:v>
      </x:c>
      <x:c r="G380" s="107" t="n">
        <x:v>1.84069134</x:v>
      </x:c>
      <x:c r="H380" s="107" t="n">
        <x:v>0.34052790000000005</x:v>
      </x:c>
    </x:row>
    <x:row r="381" ht="17" customHeight="1">
      <x:c r="A381" s="9" t="str">
        <x:v>2026-09-01</x:v>
      </x:c>
      <x:c r="B381" s="9" t="str">
        <x:v>Forecast</x:v>
      </x:c>
      <x:c r="C381" s="9" t="str">
        <x:v>Operations</x:v>
      </x:c>
      <x:c r="D381" s="278" t="n">
        <x:v>31</x:v>
      </x:c>
      <x:c r="E381" s="278" t="n">
        <x:v>0</x:v>
      </x:c>
      <x:c r="F381" s="278" t="n">
        <x:v>0</x:v>
      </x:c>
      <x:c r="G381" s="107" t="n">
        <x:v>2.70043821</x:v>
      </x:c>
      <x:c r="H381" s="107" t="n">
        <x:v>0.49958107</x:v>
      </x:c>
    </x:row>
    <x:row r="382" ht="17" customHeight="1">
      <x:c r="A382" s="9" t="str">
        <x:v>2026-09-01</x:v>
      </x:c>
      <x:c r="B382" s="9" t="str">
        <x:v>Forecast</x:v>
      </x:c>
      <x:c r="C382" s="9" t="str">
        <x:v>Sales</x:v>
      </x:c>
      <x:c r="D382" s="278" t="n">
        <x:v>122</x:v>
      </x:c>
      <x:c r="E382" s="278" t="n">
        <x:v>0</x:v>
      </x:c>
      <x:c r="F382" s="278" t="n">
        <x:v>0</x:v>
      </x:c>
      <x:c r="G382" s="107" t="n">
        <x:v>11.719573310000001</x:v>
      </x:c>
      <x:c r="H382" s="107" t="n">
        <x:v>2.1681210600000003</x:v>
      </x:c>
    </x:row>
    <x:row r="383" ht="17" customHeight="1">
      <x:c r="A383" s="9" t="str">
        <x:v>2026-09-01</x:v>
      </x:c>
      <x:c r="B383" s="9" t="str">
        <x:v>Forecast</x:v>
      </x:c>
      <x:c r="C383" s="9" t="str">
        <x:v>Technology</x:v>
      </x:c>
      <x:c r="D383" s="278" t="n">
        <x:v>23</x:v>
      </x:c>
      <x:c r="E383" s="278" t="n">
        <x:v>0</x:v>
      </x:c>
      <x:c r="F383" s="278" t="n">
        <x:v>0</x:v>
      </x:c>
      <x:c r="G383" s="107" t="n">
        <x:v>2.78754917</x:v>
      </x:c>
      <x:c r="H383" s="107" t="n">
        <x:v>0.5156966</x:v>
      </x:c>
    </x:row>
    <x:row r="384" ht="17" customHeight="1">
      <x:c r="A384" s="9" t="str">
        <x:v>2026-10-01</x:v>
      </x:c>
      <x:c r="B384" s="9" t="str">
        <x:v>Forecast</x:v>
      </x:c>
      <x:c r="C384" s="9" t="str">
        <x:v>Customer Success</x:v>
      </x:c>
      <x:c r="D384" s="278" t="n">
        <x:v>15</x:v>
      </x:c>
      <x:c r="E384" s="278" t="n">
        <x:v>0</x:v>
      </x:c>
      <x:c r="F384" s="278" t="n">
        <x:v>1</x:v>
      </x:c>
      <x:c r="G384" s="107" t="n">
        <x:v>1.5149724</x:v>
      </x:c>
      <x:c r="H384" s="107" t="n">
        <x:v>0.28026989</x:v>
      </x:c>
    </x:row>
    <x:row r="385" ht="17" customHeight="1">
      <x:c r="A385" s="9" t="str">
        <x:v>2026-10-01</x:v>
      </x:c>
      <x:c r="B385" s="9" t="str">
        <x:v>Forecast</x:v>
      </x:c>
      <x:c r="C385" s="9" t="str">
        <x:v>Finance &amp; Corporate</x:v>
      </x:c>
      <x:c r="D385" s="278" t="n">
        <x:v>20</x:v>
      </x:c>
      <x:c r="E385" s="278" t="n">
        <x:v>0</x:v>
      </x:c>
      <x:c r="F385" s="278" t="n">
        <x:v>1</x:v>
      </x:c>
      <x:c r="G385" s="107" t="n">
        <x:v>2.2219594</x:v>
      </x:c>
      <x:c r="H385" s="107" t="n">
        <x:v>0.41106249</x:v>
      </x:c>
    </x:row>
    <x:row r="386" ht="17" customHeight="1">
      <x:c r="A386" s="9" t="str">
        <x:v>2026-10-01</x:v>
      </x:c>
      <x:c r="B386" s="9" t="str">
        <x:v>Forecast</x:v>
      </x:c>
      <x:c r="C386" s="9" t="str">
        <x:v>Marketing</x:v>
      </x:c>
      <x:c r="D386" s="278" t="n">
        <x:v>17</x:v>
      </x:c>
      <x:c r="E386" s="278" t="n">
        <x:v>0</x:v>
      </x:c>
      <x:c r="F386" s="278" t="n">
        <x:v>1</x:v>
      </x:c>
      <x:c r="G386" s="107" t="n">
        <x:v>1.73843071</x:v>
      </x:c>
      <x:c r="H386" s="107" t="n">
        <x:v>0.32160968</x:v>
      </x:c>
    </x:row>
    <x:row r="387" ht="17" customHeight="1">
      <x:c r="A387" s="9" t="str">
        <x:v>2026-10-01</x:v>
      </x:c>
      <x:c r="B387" s="9" t="str">
        <x:v>Forecast</x:v>
      </x:c>
      <x:c r="C387" s="9" t="str">
        <x:v>Operations</x:v>
      </x:c>
      <x:c r="D387" s="278" t="n">
        <x:v>30</x:v>
      </x:c>
      <x:c r="E387" s="278" t="n">
        <x:v>0</x:v>
      </x:c>
      <x:c r="F387" s="278" t="n">
        <x:v>1</x:v>
      </x:c>
      <x:c r="G387" s="107" t="n">
        <x:v>2.6133273</x:v>
      </x:c>
      <x:c r="H387" s="107" t="n">
        <x:v>0.48346554999999997</x:v>
      </x:c>
    </x:row>
    <x:row r="388" ht="17" customHeight="1">
      <x:c r="A388" s="9" t="str">
        <x:v>2026-10-01</x:v>
      </x:c>
      <x:c r="B388" s="9" t="str">
        <x:v>Forecast</x:v>
      </x:c>
      <x:c r="C388" s="9" t="str">
        <x:v>Sales</x:v>
      </x:c>
      <x:c r="D388" s="278" t="n">
        <x:v>118</x:v>
      </x:c>
      <x:c r="E388" s="278" t="n">
        <x:v>0</x:v>
      </x:c>
      <x:c r="F388" s="278" t="n">
        <x:v>4</x:v>
      </x:c>
      <x:c r="G388" s="107" t="n">
        <x:v>11.3370428</x:v>
      </x:c>
      <x:c r="H388" s="107" t="n">
        <x:v>2.09735291</x:v>
      </x:c>
    </x:row>
    <x:row r="389" ht="17" customHeight="1">
      <x:c r="A389" s="9" t="str">
        <x:v>2026-10-01</x:v>
      </x:c>
      <x:c r="B389" s="9" t="str">
        <x:v>Forecast</x:v>
      </x:c>
      <x:c r="C389" s="9" t="str">
        <x:v>Technology</x:v>
      </x:c>
      <x:c r="D389" s="278" t="n">
        <x:v>22</x:v>
      </x:c>
      <x:c r="E389" s="278" t="n">
        <x:v>0</x:v>
      </x:c>
      <x:c r="F389" s="278" t="n">
        <x:v>1</x:v>
      </x:c>
      <x:c r="G389" s="107" t="n">
        <x:v>2.66635138</x:v>
      </x:c>
      <x:c r="H389" s="107" t="n">
        <x:v>0.49327501</x:v>
      </x:c>
    </x:row>
    <x:row r="390" ht="17" customHeight="1">
      <x:c r="A390" s="9" t="str">
        <x:v>2026-11-01</x:v>
      </x:c>
      <x:c r="B390" s="9" t="str">
        <x:v>Forecast</x:v>
      </x:c>
      <x:c r="C390" s="9" t="str">
        <x:v>Customer Success</x:v>
      </x:c>
      <x:c r="D390" s="278" t="n">
        <x:v>15</x:v>
      </x:c>
      <x:c r="E390" s="278" t="n">
        <x:v>0</x:v>
      </x:c>
      <x:c r="F390" s="278" t="n">
        <x:v>0</x:v>
      </x:c>
      <x:c r="G390" s="107" t="n">
        <x:v>1.5149724</x:v>
      </x:c>
      <x:c r="H390" s="107" t="n">
        <x:v>0.28026989</x:v>
      </x:c>
    </x:row>
    <x:row r="391" ht="17" customHeight="1">
      <x:c r="A391" s="9" t="str">
        <x:v>2026-11-01</x:v>
      </x:c>
      <x:c r="B391" s="9" t="str">
        <x:v>Forecast</x:v>
      </x:c>
      <x:c r="C391" s="9" t="str">
        <x:v>Finance &amp; Corporate</x:v>
      </x:c>
      <x:c r="D391" s="278" t="n">
        <x:v>20</x:v>
      </x:c>
      <x:c r="E391" s="278" t="n">
        <x:v>0</x:v>
      </x:c>
      <x:c r="F391" s="278" t="n">
        <x:v>0</x:v>
      </x:c>
      <x:c r="G391" s="107" t="n">
        <x:v>2.2219594</x:v>
      </x:c>
      <x:c r="H391" s="107" t="n">
        <x:v>0.41106249</x:v>
      </x:c>
    </x:row>
    <x:row r="392" ht="17" customHeight="1">
      <x:c r="A392" s="9" t="str">
        <x:v>2026-11-01</x:v>
      </x:c>
      <x:c r="B392" s="9" t="str">
        <x:v>Forecast</x:v>
      </x:c>
      <x:c r="C392" s="9" t="str">
        <x:v>Marketing</x:v>
      </x:c>
      <x:c r="D392" s="278" t="n">
        <x:v>17</x:v>
      </x:c>
      <x:c r="E392" s="278" t="n">
        <x:v>0</x:v>
      </x:c>
      <x:c r="F392" s="278" t="n">
        <x:v>0</x:v>
      </x:c>
      <x:c r="G392" s="107" t="n">
        <x:v>1.73843071</x:v>
      </x:c>
      <x:c r="H392" s="107" t="n">
        <x:v>0.32160968</x:v>
      </x:c>
    </x:row>
    <x:row r="393" ht="17" customHeight="1">
      <x:c r="A393" s="9" t="str">
        <x:v>2026-11-01</x:v>
      </x:c>
      <x:c r="B393" s="9" t="str">
        <x:v>Forecast</x:v>
      </x:c>
      <x:c r="C393" s="9" t="str">
        <x:v>Operations</x:v>
      </x:c>
      <x:c r="D393" s="278" t="n">
        <x:v>31</x:v>
      </x:c>
      <x:c r="E393" s="278" t="n">
        <x:v>1</x:v>
      </x:c>
      <x:c r="F393" s="278" t="n">
        <x:v>0</x:v>
      </x:c>
      <x:c r="G393" s="107" t="n">
        <x:v>2.70043821</x:v>
      </x:c>
      <x:c r="H393" s="107" t="n">
        <x:v>0.49958107</x:v>
      </x:c>
    </x:row>
    <x:row r="394" ht="17" customHeight="1">
      <x:c r="A394" s="9" t="str">
        <x:v>2026-11-01</x:v>
      </x:c>
      <x:c r="B394" s="9" t="str">
        <x:v>Forecast</x:v>
      </x:c>
      <x:c r="C394" s="9" t="str">
        <x:v>Sales</x:v>
      </x:c>
      <x:c r="D394" s="278" t="n">
        <x:v>125</x:v>
      </x:c>
      <x:c r="E394" s="278" t="n">
        <x:v>7</x:v>
      </x:c>
      <x:c r="F394" s="278" t="n">
        <x:v>0</x:v>
      </x:c>
      <x:c r="G394" s="107" t="n">
        <x:v>12.02383025</x:v>
      </x:c>
      <x:c r="H394" s="107" t="n">
        <x:v>2.22440859</x:v>
      </x:c>
    </x:row>
    <x:row r="395" ht="17" customHeight="1">
      <x:c r="A395" s="9" t="str">
        <x:v>2026-11-01</x:v>
      </x:c>
      <x:c r="B395" s="9" t="str">
        <x:v>Forecast</x:v>
      </x:c>
      <x:c r="C395" s="9" t="str">
        <x:v>Technology</x:v>
      </x:c>
      <x:c r="D395" s="278" t="n">
        <x:v>23</x:v>
      </x:c>
      <x:c r="E395" s="278" t="n">
        <x:v>1</x:v>
      </x:c>
      <x:c r="F395" s="278" t="n">
        <x:v>0</x:v>
      </x:c>
      <x:c r="G395" s="107" t="n">
        <x:v>2.78754917</x:v>
      </x:c>
      <x:c r="H395" s="107" t="n">
        <x:v>0.5156966</x:v>
      </x:c>
    </x:row>
    <x:row r="396" ht="17" customHeight="1">
      <x:c r="A396" s="9" t="str">
        <x:v>2026-12-01</x:v>
      </x:c>
      <x:c r="B396" s="9" t="str">
        <x:v>Forecast</x:v>
      </x:c>
      <x:c r="C396" s="9" t="str">
        <x:v>Customer Success</x:v>
      </x:c>
      <x:c r="D396" s="278" t="n">
        <x:v>15</x:v>
      </x:c>
      <x:c r="E396" s="278" t="n">
        <x:v>0</x:v>
      </x:c>
      <x:c r="F396" s="278" t="n">
        <x:v>0</x:v>
      </x:c>
      <x:c r="G396" s="107" t="n">
        <x:v>1.5149724</x:v>
      </x:c>
      <x:c r="H396" s="107" t="n">
        <x:v>0.28026989</x:v>
      </x:c>
    </x:row>
    <x:row r="397" ht="17" customHeight="1">
      <x:c r="A397" s="9" t="str">
        <x:v>2026-12-01</x:v>
      </x:c>
      <x:c r="B397" s="9" t="str">
        <x:v>Forecast</x:v>
      </x:c>
      <x:c r="C397" s="9" t="str">
        <x:v>Finance &amp; Corporate</x:v>
      </x:c>
      <x:c r="D397" s="278" t="n">
        <x:v>20</x:v>
      </x:c>
      <x:c r="E397" s="278" t="n">
        <x:v>0</x:v>
      </x:c>
      <x:c r="F397" s="278" t="n">
        <x:v>0</x:v>
      </x:c>
      <x:c r="G397" s="107" t="n">
        <x:v>2.2219594</x:v>
      </x:c>
      <x:c r="H397" s="107" t="n">
        <x:v>0.41106249</x:v>
      </x:c>
    </x:row>
    <x:row r="398" ht="17" customHeight="1">
      <x:c r="A398" s="9" t="str">
        <x:v>2026-12-01</x:v>
      </x:c>
      <x:c r="B398" s="9" t="str">
        <x:v>Forecast</x:v>
      </x:c>
      <x:c r="C398" s="9" t="str">
        <x:v>Marketing</x:v>
      </x:c>
      <x:c r="D398" s="278" t="n">
        <x:v>17</x:v>
      </x:c>
      <x:c r="E398" s="278" t="n">
        <x:v>0</x:v>
      </x:c>
      <x:c r="F398" s="278" t="n">
        <x:v>0</x:v>
      </x:c>
      <x:c r="G398" s="107" t="n">
        <x:v>1.73843071</x:v>
      </x:c>
      <x:c r="H398" s="107" t="n">
        <x:v>0.32160968</x:v>
      </x:c>
    </x:row>
    <x:row r="399" ht="17" customHeight="1">
      <x:c r="A399" s="9" t="str">
        <x:v>2026-12-01</x:v>
      </x:c>
      <x:c r="B399" s="9" t="str">
        <x:v>Forecast</x:v>
      </x:c>
      <x:c r="C399" s="9" t="str">
        <x:v>Operations</x:v>
      </x:c>
      <x:c r="D399" s="278" t="n">
        <x:v>31</x:v>
      </x:c>
      <x:c r="E399" s="278" t="n">
        <x:v>0</x:v>
      </x:c>
      <x:c r="F399" s="278" t="n">
        <x:v>0</x:v>
      </x:c>
      <x:c r="G399" s="107" t="n">
        <x:v>2.70043821</x:v>
      </x:c>
      <x:c r="H399" s="107" t="n">
        <x:v>0.49958107</x:v>
      </x:c>
    </x:row>
    <x:row r="400" ht="17" customHeight="1">
      <x:c r="A400" s="9" t="str">
        <x:v>2026-12-01</x:v>
      </x:c>
      <x:c r="B400" s="9" t="str">
        <x:v>Forecast</x:v>
      </x:c>
      <x:c r="C400" s="9" t="str">
        <x:v>Sales</x:v>
      </x:c>
      <x:c r="D400" s="278" t="n">
        <x:v>125</x:v>
      </x:c>
      <x:c r="E400" s="278" t="n">
        <x:v>0</x:v>
      </x:c>
      <x:c r="F400" s="278" t="n">
        <x:v>0</x:v>
      </x:c>
      <x:c r="G400" s="107" t="n">
        <x:v>12.02383025</x:v>
      </x:c>
      <x:c r="H400" s="107" t="n">
        <x:v>2.22440859</x:v>
      </x:c>
    </x:row>
    <x:row r="401" ht="17" customHeight="1">
      <x:c r="A401" s="9" t="str">
        <x:v>2026-12-01</x:v>
      </x:c>
      <x:c r="B401" s="9" t="str">
        <x:v>Forecast</x:v>
      </x:c>
      <x:c r="C401" s="9" t="str">
        <x:v>Technology</x:v>
      </x:c>
      <x:c r="D401" s="278" t="n">
        <x:v>23</x:v>
      </x:c>
      <x:c r="E401" s="278" t="n">
        <x:v>0</x:v>
      </x:c>
      <x:c r="F401" s="278" t="n">
        <x:v>0</x:v>
      </x:c>
      <x:c r="G401" s="107" t="n">
        <x:v>2.78754917</x:v>
      </x:c>
      <x:c r="H401" s="107" t="n">
        <x:v>0.5156966</x:v>
      </x:c>
    </x:row>
    <x:row r="402" ht="17" customHeight="1">
      <x:c r="A402" s="9" t="str">
        <x:v>2027-01-01</x:v>
      </x:c>
      <x:c r="B402" s="9" t="str">
        <x:v>Forecast</x:v>
      </x:c>
      <x:c r="C402" s="9" t="str">
        <x:v>Customer Success</x:v>
      </x:c>
      <x:c r="D402" s="278" t="n">
        <x:v>15</x:v>
      </x:c>
      <x:c r="E402" s="278" t="n">
        <x:v>0</x:v>
      </x:c>
      <x:c r="F402" s="278" t="n">
        <x:v>0</x:v>
      </x:c>
      <x:c r="G402" s="107" t="n">
        <x:v>1.5149724</x:v>
      </x:c>
      <x:c r="H402" s="107" t="n">
        <x:v>0.28026989</x:v>
      </x:c>
    </x:row>
    <x:row r="403" ht="17" customHeight="1">
      <x:c r="A403" s="9" t="str">
        <x:v>2027-01-01</x:v>
      </x:c>
      <x:c r="B403" s="9" t="str">
        <x:v>Forecast</x:v>
      </x:c>
      <x:c r="C403" s="9" t="str">
        <x:v>Finance &amp; Corporate</x:v>
      </x:c>
      <x:c r="D403" s="278" t="n">
        <x:v>20</x:v>
      </x:c>
      <x:c r="E403" s="278" t="n">
        <x:v>0</x:v>
      </x:c>
      <x:c r="F403" s="278" t="n">
        <x:v>0</x:v>
      </x:c>
      <x:c r="G403" s="107" t="n">
        <x:v>2.2219594</x:v>
      </x:c>
      <x:c r="H403" s="107" t="n">
        <x:v>0.41106249</x:v>
      </x:c>
    </x:row>
    <x:row r="404" ht="17" customHeight="1">
      <x:c r="A404" s="9" t="str">
        <x:v>2027-01-01</x:v>
      </x:c>
      <x:c r="B404" s="9" t="str">
        <x:v>Forecast</x:v>
      </x:c>
      <x:c r="C404" s="9" t="str">
        <x:v>Marketing</x:v>
      </x:c>
      <x:c r="D404" s="278" t="n">
        <x:v>17</x:v>
      </x:c>
      <x:c r="E404" s="278" t="n">
        <x:v>0</x:v>
      </x:c>
      <x:c r="F404" s="278" t="n">
        <x:v>0</x:v>
      </x:c>
      <x:c r="G404" s="107" t="n">
        <x:v>1.73843071</x:v>
      </x:c>
      <x:c r="H404" s="107" t="n">
        <x:v>0.32160968</x:v>
      </x:c>
    </x:row>
    <x:row r="405" ht="17" customHeight="1">
      <x:c r="A405" s="9" t="str">
        <x:v>2027-01-01</x:v>
      </x:c>
      <x:c r="B405" s="9" t="str">
        <x:v>Forecast</x:v>
      </x:c>
      <x:c r="C405" s="9" t="str">
        <x:v>Operations</x:v>
      </x:c>
      <x:c r="D405" s="278" t="n">
        <x:v>31</x:v>
      </x:c>
      <x:c r="E405" s="278" t="n">
        <x:v>0</x:v>
      </x:c>
      <x:c r="F405" s="278" t="n">
        <x:v>0</x:v>
      </x:c>
      <x:c r="G405" s="107" t="n">
        <x:v>2.70043821</x:v>
      </x:c>
      <x:c r="H405" s="107" t="n">
        <x:v>0.49958107</x:v>
      </x:c>
    </x:row>
    <x:row r="406" ht="17" customHeight="1">
      <x:c r="A406" s="9" t="str">
        <x:v>2027-01-01</x:v>
      </x:c>
      <x:c r="B406" s="9" t="str">
        <x:v>Forecast</x:v>
      </x:c>
      <x:c r="C406" s="9" t="str">
        <x:v>Sales</x:v>
      </x:c>
      <x:c r="D406" s="278" t="n">
        <x:v>125</x:v>
      </x:c>
      <x:c r="E406" s="278" t="n">
        <x:v>0</x:v>
      </x:c>
      <x:c r="F406" s="278" t="n">
        <x:v>0</x:v>
      </x:c>
      <x:c r="G406" s="107" t="n">
        <x:v>12.02383025</x:v>
      </x:c>
      <x:c r="H406" s="107" t="n">
        <x:v>2.22440859</x:v>
      </x:c>
    </x:row>
    <x:row r="407" ht="17" customHeight="1">
      <x:c r="A407" s="9" t="str">
        <x:v>2027-01-01</x:v>
      </x:c>
      <x:c r="B407" s="9" t="str">
        <x:v>Forecast</x:v>
      </x:c>
      <x:c r="C407" s="9" t="str">
        <x:v>Technology</x:v>
      </x:c>
      <x:c r="D407" s="278" t="n">
        <x:v>23</x:v>
      </x:c>
      <x:c r="E407" s="278" t="n">
        <x:v>0</x:v>
      </x:c>
      <x:c r="F407" s="278" t="n">
        <x:v>0</x:v>
      </x:c>
      <x:c r="G407" s="107" t="n">
        <x:v>2.78754917</x:v>
      </x:c>
      <x:c r="H407" s="107" t="n">
        <x:v>0.5156966</x:v>
      </x:c>
    </x:row>
    <x:row r="408" ht="17" customHeight="1">
      <x:c r="A408" s="9" t="str">
        <x:v>2027-02-01</x:v>
      </x:c>
      <x:c r="B408" s="9" t="str">
        <x:v>Forecast</x:v>
      </x:c>
      <x:c r="C408" s="9" t="str">
        <x:v>Customer Success</x:v>
      </x:c>
      <x:c r="D408" s="278" t="n">
        <x:v>15</x:v>
      </x:c>
      <x:c r="E408" s="278" t="n">
        <x:v>0</x:v>
      </x:c>
      <x:c r="F408" s="278" t="n">
        <x:v>0</x:v>
      </x:c>
      <x:c r="G408" s="107" t="n">
        <x:v>1.5149724</x:v>
      </x:c>
      <x:c r="H408" s="107" t="n">
        <x:v>0.28026989</x:v>
      </x:c>
    </x:row>
    <x:row r="409" ht="17" customHeight="1">
      <x:c r="A409" s="9" t="str">
        <x:v>2027-02-01</x:v>
      </x:c>
      <x:c r="B409" s="9" t="str">
        <x:v>Forecast</x:v>
      </x:c>
      <x:c r="C409" s="9" t="str">
        <x:v>Finance &amp; Corporate</x:v>
      </x:c>
      <x:c r="D409" s="278" t="n">
        <x:v>20</x:v>
      </x:c>
      <x:c r="E409" s="278" t="n">
        <x:v>0</x:v>
      </x:c>
      <x:c r="F409" s="278" t="n">
        <x:v>0</x:v>
      </x:c>
      <x:c r="G409" s="107" t="n">
        <x:v>2.2219594</x:v>
      </x:c>
      <x:c r="H409" s="107" t="n">
        <x:v>0.41106249</x:v>
      </x:c>
    </x:row>
    <x:row r="410" ht="17" customHeight="1">
      <x:c r="A410" s="9" t="str">
        <x:v>2027-02-01</x:v>
      </x:c>
      <x:c r="B410" s="9" t="str">
        <x:v>Forecast</x:v>
      </x:c>
      <x:c r="C410" s="9" t="str">
        <x:v>Marketing</x:v>
      </x:c>
      <x:c r="D410" s="278" t="n">
        <x:v>17</x:v>
      </x:c>
      <x:c r="E410" s="278" t="n">
        <x:v>0</x:v>
      </x:c>
      <x:c r="F410" s="278" t="n">
        <x:v>0</x:v>
      </x:c>
      <x:c r="G410" s="107" t="n">
        <x:v>1.73843071</x:v>
      </x:c>
      <x:c r="H410" s="107" t="n">
        <x:v>0.32160968</x:v>
      </x:c>
    </x:row>
    <x:row r="411" ht="17" customHeight="1">
      <x:c r="A411" s="9" t="str">
        <x:v>2027-02-01</x:v>
      </x:c>
      <x:c r="B411" s="9" t="str">
        <x:v>Forecast</x:v>
      </x:c>
      <x:c r="C411" s="9" t="str">
        <x:v>Operations</x:v>
      </x:c>
      <x:c r="D411" s="278" t="n">
        <x:v>32</x:v>
      </x:c>
      <x:c r="E411" s="278" t="n">
        <x:v>1</x:v>
      </x:c>
      <x:c r="F411" s="278" t="n">
        <x:v>0</x:v>
      </x:c>
      <x:c r="G411" s="107" t="n">
        <x:v>2.78754912</x:v>
      </x:c>
      <x:c r="H411" s="107" t="n">
        <x:v>0.51569659</x:v>
      </x:c>
    </x:row>
    <x:row r="412" ht="17" customHeight="1">
      <x:c r="A412" s="9" t="str">
        <x:v>2027-02-01</x:v>
      </x:c>
      <x:c r="B412" s="9" t="str">
        <x:v>Forecast</x:v>
      </x:c>
      <x:c r="C412" s="9" t="str">
        <x:v>Sales</x:v>
      </x:c>
      <x:c r="D412" s="278" t="n">
        <x:v>132</x:v>
      </x:c>
      <x:c r="E412" s="278" t="n">
        <x:v>7</x:v>
      </x:c>
      <x:c r="F412" s="278" t="n">
        <x:v>0</x:v>
      </x:c>
      <x:c r="G412" s="107" t="n">
        <x:v>12.710617699999998</x:v>
      </x:c>
      <x:c r="H412" s="107" t="n">
        <x:v>2.35146427</x:v>
      </x:c>
    </x:row>
    <x:row r="413" ht="17" customHeight="1">
      <x:c r="A413" s="9" t="str">
        <x:v>2027-02-01</x:v>
      </x:c>
      <x:c r="B413" s="9" t="str">
        <x:v>Forecast</x:v>
      </x:c>
      <x:c r="C413" s="9" t="str">
        <x:v>Technology</x:v>
      </x:c>
      <x:c r="D413" s="278" t="n">
        <x:v>24</x:v>
      </x:c>
      <x:c r="E413" s="278" t="n">
        <x:v>1</x:v>
      </x:c>
      <x:c r="F413" s="278" t="n">
        <x:v>0</x:v>
      </x:c>
      <x:c r="G413" s="107" t="n">
        <x:v>2.9087469599999998</x:v>
      </x:c>
      <x:c r="H413" s="107" t="n">
        <x:v>0.5381181899999999</x:v>
      </x:c>
    </x:row>
    <x:row r="414" ht="17" customHeight="1">
      <x:c r="A414" s="9" t="str">
        <x:v>2027-03-01</x:v>
      </x:c>
      <x:c r="B414" s="9" t="str">
        <x:v>Forecast</x:v>
      </x:c>
      <x:c r="C414" s="9" t="str">
        <x:v>Customer Success</x:v>
      </x:c>
      <x:c r="D414" s="278" t="n">
        <x:v>15</x:v>
      </x:c>
      <x:c r="E414" s="278" t="n">
        <x:v>0</x:v>
      </x:c>
      <x:c r="F414" s="278" t="n">
        <x:v>0</x:v>
      </x:c>
      <x:c r="G414" s="107" t="n">
        <x:v>1.5149724</x:v>
      </x:c>
      <x:c r="H414" s="107" t="n">
        <x:v>0.28026989</x:v>
      </x:c>
    </x:row>
    <x:row r="415" ht="17" customHeight="1">
      <x:c r="A415" s="9" t="str">
        <x:v>2027-03-01</x:v>
      </x:c>
      <x:c r="B415" s="9" t="str">
        <x:v>Forecast</x:v>
      </x:c>
      <x:c r="C415" s="9" t="str">
        <x:v>Finance &amp; Corporate</x:v>
      </x:c>
      <x:c r="D415" s="278" t="n">
        <x:v>20</x:v>
      </x:c>
      <x:c r="E415" s="278" t="n">
        <x:v>0</x:v>
      </x:c>
      <x:c r="F415" s="278" t="n">
        <x:v>0</x:v>
      </x:c>
      <x:c r="G415" s="107" t="n">
        <x:v>2.2219594</x:v>
      </x:c>
      <x:c r="H415" s="107" t="n">
        <x:v>0.41106249</x:v>
      </x:c>
    </x:row>
    <x:row r="416" ht="17" customHeight="1">
      <x:c r="A416" s="9" t="str">
        <x:v>2027-03-01</x:v>
      </x:c>
      <x:c r="B416" s="9" t="str">
        <x:v>Forecast</x:v>
      </x:c>
      <x:c r="C416" s="9" t="str">
        <x:v>Marketing</x:v>
      </x:c>
      <x:c r="D416" s="278" t="n">
        <x:v>17</x:v>
      </x:c>
      <x:c r="E416" s="278" t="n">
        <x:v>0</x:v>
      </x:c>
      <x:c r="F416" s="278" t="n">
        <x:v>0</x:v>
      </x:c>
      <x:c r="G416" s="107" t="n">
        <x:v>1.73843071</x:v>
      </x:c>
      <x:c r="H416" s="107" t="n">
        <x:v>0.32160968</x:v>
      </x:c>
    </x:row>
    <x:row r="417" ht="17" customHeight="1">
      <x:c r="A417" s="9" t="str">
        <x:v>2027-03-01</x:v>
      </x:c>
      <x:c r="B417" s="9" t="str">
        <x:v>Forecast</x:v>
      </x:c>
      <x:c r="C417" s="9" t="str">
        <x:v>Operations</x:v>
      </x:c>
      <x:c r="D417" s="278" t="n">
        <x:v>32</x:v>
      </x:c>
      <x:c r="E417" s="278" t="n">
        <x:v>0</x:v>
      </x:c>
      <x:c r="F417" s="278" t="n">
        <x:v>0</x:v>
      </x:c>
      <x:c r="G417" s="107" t="n">
        <x:v>2.78754912</x:v>
      </x:c>
      <x:c r="H417" s="107" t="n">
        <x:v>0.51569659</x:v>
      </x:c>
    </x:row>
    <x:row r="418" ht="17" customHeight="1">
      <x:c r="A418" s="9" t="str">
        <x:v>2027-03-01</x:v>
      </x:c>
      <x:c r="B418" s="9" t="str">
        <x:v>Forecast</x:v>
      </x:c>
      <x:c r="C418" s="9" t="str">
        <x:v>Sales</x:v>
      </x:c>
      <x:c r="D418" s="278" t="n">
        <x:v>132</x:v>
      </x:c>
      <x:c r="E418" s="278" t="n">
        <x:v>0</x:v>
      </x:c>
      <x:c r="F418" s="278" t="n">
        <x:v>0</x:v>
      </x:c>
      <x:c r="G418" s="107" t="n">
        <x:v>12.710617699999998</x:v>
      </x:c>
      <x:c r="H418" s="107" t="n">
        <x:v>2.35146427</x:v>
      </x:c>
    </x:row>
    <x:row r="419" ht="17" customHeight="1">
      <x:c r="A419" s="9" t="str">
        <x:v>2027-03-01</x:v>
      </x:c>
      <x:c r="B419" s="9" t="str">
        <x:v>Forecast</x:v>
      </x:c>
      <x:c r="C419" s="9" t="str">
        <x:v>Technology</x:v>
      </x:c>
      <x:c r="D419" s="278" t="n">
        <x:v>24</x:v>
      </x:c>
      <x:c r="E419" s="278" t="n">
        <x:v>0</x:v>
      </x:c>
      <x:c r="F419" s="278" t="n">
        <x:v>0</x:v>
      </x:c>
      <x:c r="G419" s="107" t="n">
        <x:v>2.9087469599999998</x:v>
      </x:c>
      <x:c r="H419" s="107" t="n">
        <x:v>0.5381181899999999</x:v>
      </x:c>
    </x:row>
    <x:row r="420" ht="17" customHeight="1">
      <x:c r="A420" s="9" t="str">
        <x:v>2027-04-01</x:v>
      </x:c>
      <x:c r="B420" s="9" t="str">
        <x:v>Forecast</x:v>
      </x:c>
      <x:c r="C420" s="9" t="str">
        <x:v>Customer Success</x:v>
      </x:c>
      <x:c r="D420" s="278" t="n">
        <x:v>15</x:v>
      </x:c>
      <x:c r="E420" s="278" t="n">
        <x:v>0</x:v>
      </x:c>
      <x:c r="F420" s="278" t="n">
        <x:v>0</x:v>
      </x:c>
      <x:c r="G420" s="107" t="n">
        <x:v>1.74221826</x:v>
      </x:c>
      <x:c r="H420" s="107" t="n">
        <x:v>0.32231038</x:v>
      </x:c>
    </x:row>
    <x:row r="421" ht="17" customHeight="1">
      <x:c r="A421" s="9" t="str">
        <x:v>2027-04-01</x:v>
      </x:c>
      <x:c r="B421" s="9" t="str">
        <x:v>Forecast</x:v>
      </x:c>
      <x:c r="C421" s="9" t="str">
        <x:v>Finance &amp; Corporate</x:v>
      </x:c>
      <x:c r="D421" s="278" t="n">
        <x:v>20</x:v>
      </x:c>
      <x:c r="E421" s="278" t="n">
        <x:v>0</x:v>
      </x:c>
      <x:c r="F421" s="278" t="n">
        <x:v>0</x:v>
      </x:c>
      <x:c r="G421" s="107" t="n">
        <x:v>2.55525331</x:v>
      </x:c>
      <x:c r="H421" s="107" t="n">
        <x:v>0.47272186</x:v>
      </x:c>
    </x:row>
    <x:row r="422" ht="17" customHeight="1">
      <x:c r="A422" s="9" t="str">
        <x:v>2027-04-01</x:v>
      </x:c>
      <x:c r="B422" s="9" t="str">
        <x:v>Forecast</x:v>
      </x:c>
      <x:c r="C422" s="9" t="str">
        <x:v>Marketing</x:v>
      </x:c>
      <x:c r="D422" s="278" t="n">
        <x:v>17</x:v>
      </x:c>
      <x:c r="E422" s="278" t="n">
        <x:v>0</x:v>
      </x:c>
      <x:c r="F422" s="278" t="n">
        <x:v>0</x:v>
      </x:c>
      <x:c r="G422" s="107" t="n">
        <x:v>1.99919532</x:v>
      </x:c>
      <x:c r="H422" s="107" t="n">
        <x:v>0.36985113000000003</x:v>
      </x:c>
    </x:row>
    <x:row r="423" ht="17" customHeight="1">
      <x:c r="A423" s="9" t="str">
        <x:v>2027-04-01</x:v>
      </x:c>
      <x:c r="B423" s="9" t="str">
        <x:v>Forecast</x:v>
      </x:c>
      <x:c r="C423" s="9" t="str">
        <x:v>Operations</x:v>
      </x:c>
      <x:c r="D423" s="278" t="n">
        <x:v>32</x:v>
      </x:c>
      <x:c r="E423" s="278" t="n">
        <x:v>0</x:v>
      </x:c>
      <x:c r="F423" s="278" t="n">
        <x:v>0</x:v>
      </x:c>
      <x:c r="G423" s="107" t="n">
        <x:v>3.2056814900000004</x:v>
      </x:c>
      <x:c r="H423" s="107" t="n">
        <x:v>0.59305108</x:v>
      </x:c>
    </x:row>
    <x:row r="424" ht="17" customHeight="1">
      <x:c r="A424" s="9" t="str">
        <x:v>2027-04-01</x:v>
      </x:c>
      <x:c r="B424" s="9" t="str">
        <x:v>Forecast</x:v>
      </x:c>
      <x:c r="C424" s="9" t="str">
        <x:v>Sales</x:v>
      </x:c>
      <x:c r="D424" s="278" t="n">
        <x:v>132</x:v>
      </x:c>
      <x:c r="E424" s="278" t="n">
        <x:v>0</x:v>
      </x:c>
      <x:c r="F424" s="278" t="n">
        <x:v>0</x:v>
      </x:c>
      <x:c r="G424" s="107" t="n">
        <x:v>14.617210349999999</x:v>
      </x:c>
      <x:c r="H424" s="107" t="n">
        <x:v>2.7041839199999997</x:v>
      </x:c>
    </x:row>
    <x:row r="425" ht="17" customHeight="1">
      <x:c r="A425" s="9" t="str">
        <x:v>2027-04-01</x:v>
      </x:c>
      <x:c r="B425" s="9" t="str">
        <x:v>Forecast</x:v>
      </x:c>
      <x:c r="C425" s="9" t="str">
        <x:v>Technology</x:v>
      </x:c>
      <x:c r="D425" s="278" t="n">
        <x:v>24</x:v>
      </x:c>
      <x:c r="E425" s="278" t="n">
        <x:v>0</x:v>
      </x:c>
      <x:c r="F425" s="278" t="n">
        <x:v>0</x:v>
      </x:c>
      <x:c r="G425" s="107" t="n">
        <x:v>3.345059</x:v>
      </x:c>
      <x:c r="H425" s="107" t="n">
        <x:v>0.6188359200000001</x:v>
      </x:c>
    </x:row>
    <x:row r="426" ht="17" customHeight="1">
      <x:c r="A426" s="9" t="str">
        <x:v>2027-05-01</x:v>
      </x:c>
      <x:c r="B426" s="9" t="str">
        <x:v>Forecast</x:v>
      </x:c>
      <x:c r="C426" s="9" t="str">
        <x:v>Customer Success</x:v>
      </x:c>
      <x:c r="D426" s="278" t="n">
        <x:v>15</x:v>
      </x:c>
      <x:c r="E426" s="278" t="n">
        <x:v>0</x:v>
      </x:c>
      <x:c r="F426" s="278" t="n">
        <x:v>0</x:v>
      </x:c>
      <x:c r="G426" s="107" t="n">
        <x:v>1.74221826</x:v>
      </x:c>
      <x:c r="H426" s="107" t="n">
        <x:v>0.32231038</x:v>
      </x:c>
    </x:row>
    <x:row r="427" ht="17" customHeight="1">
      <x:c r="A427" s="9" t="str">
        <x:v>2027-05-01</x:v>
      </x:c>
      <x:c r="B427" s="9" t="str">
        <x:v>Forecast</x:v>
      </x:c>
      <x:c r="C427" s="9" t="str">
        <x:v>Finance &amp; Corporate</x:v>
      </x:c>
      <x:c r="D427" s="278" t="n">
        <x:v>20</x:v>
      </x:c>
      <x:c r="E427" s="278" t="n">
        <x:v>0</x:v>
      </x:c>
      <x:c r="F427" s="278" t="n">
        <x:v>0</x:v>
      </x:c>
      <x:c r="G427" s="107" t="n">
        <x:v>2.55525331</x:v>
      </x:c>
      <x:c r="H427" s="107" t="n">
        <x:v>0.47272186</x:v>
      </x:c>
    </x:row>
    <x:row r="428" ht="17" customHeight="1">
      <x:c r="A428" s="9" t="str">
        <x:v>2027-05-01</x:v>
      </x:c>
      <x:c r="B428" s="9" t="str">
        <x:v>Forecast</x:v>
      </x:c>
      <x:c r="C428" s="9" t="str">
        <x:v>Marketing</x:v>
      </x:c>
      <x:c r="D428" s="278" t="n">
        <x:v>17</x:v>
      </x:c>
      <x:c r="E428" s="278" t="n">
        <x:v>0</x:v>
      </x:c>
      <x:c r="F428" s="278" t="n">
        <x:v>0</x:v>
      </x:c>
      <x:c r="G428" s="107" t="n">
        <x:v>1.99919532</x:v>
      </x:c>
      <x:c r="H428" s="107" t="n">
        <x:v>0.36985113000000003</x:v>
      </x:c>
    </x:row>
    <x:row r="429" ht="17" customHeight="1">
      <x:c r="A429" s="9" t="str">
        <x:v>2027-05-01</x:v>
      </x:c>
      <x:c r="B429" s="9" t="str">
        <x:v>Forecast</x:v>
      </x:c>
      <x:c r="C429" s="9" t="str">
        <x:v>Operations</x:v>
      </x:c>
      <x:c r="D429" s="278" t="n">
        <x:v>32</x:v>
      </x:c>
      <x:c r="E429" s="278" t="n">
        <x:v>0</x:v>
      </x:c>
      <x:c r="F429" s="278" t="n">
        <x:v>0</x:v>
      </x:c>
      <x:c r="G429" s="107" t="n">
        <x:v>3.2056814900000004</x:v>
      </x:c>
      <x:c r="H429" s="107" t="n">
        <x:v>0.59305108</x:v>
      </x:c>
    </x:row>
    <x:row r="430" ht="17" customHeight="1">
      <x:c r="A430" s="9" t="str">
        <x:v>2027-05-01</x:v>
      </x:c>
      <x:c r="B430" s="9" t="str">
        <x:v>Forecast</x:v>
      </x:c>
      <x:c r="C430" s="9" t="str">
        <x:v>Sales</x:v>
      </x:c>
      <x:c r="D430" s="278" t="n">
        <x:v>132</x:v>
      </x:c>
      <x:c r="E430" s="278" t="n">
        <x:v>0</x:v>
      </x:c>
      <x:c r="F430" s="278" t="n">
        <x:v>0</x:v>
      </x:c>
      <x:c r="G430" s="107" t="n">
        <x:v>14.617210349999999</x:v>
      </x:c>
      <x:c r="H430" s="107" t="n">
        <x:v>2.7041839199999997</x:v>
      </x:c>
    </x:row>
    <x:row r="431" ht="17" customHeight="1">
      <x:c r="A431" s="9" t="str">
        <x:v>2027-05-01</x:v>
      </x:c>
      <x:c r="B431" s="9" t="str">
        <x:v>Forecast</x:v>
      </x:c>
      <x:c r="C431" s="9" t="str">
        <x:v>Technology</x:v>
      </x:c>
      <x:c r="D431" s="278" t="n">
        <x:v>24</x:v>
      </x:c>
      <x:c r="E431" s="278" t="n">
        <x:v>0</x:v>
      </x:c>
      <x:c r="F431" s="278" t="n">
        <x:v>0</x:v>
      </x:c>
      <x:c r="G431" s="107" t="n">
        <x:v>3.345059</x:v>
      </x:c>
      <x:c r="H431" s="107" t="n">
        <x:v>0.6188359200000001</x:v>
      </x:c>
    </x:row>
    <x:row r="432" ht="17" customHeight="1">
      <x:c r="A432" s="9" t="str">
        <x:v>2027-06-01</x:v>
      </x:c>
      <x:c r="B432" s="9" t="str">
        <x:v>Forecast</x:v>
      </x:c>
      <x:c r="C432" s="9" t="str">
        <x:v>Customer Success</x:v>
      </x:c>
      <x:c r="D432" s="278" t="n">
        <x:v>15</x:v>
      </x:c>
      <x:c r="E432" s="278" t="n">
        <x:v>0</x:v>
      </x:c>
      <x:c r="F432" s="278" t="n">
        <x:v>0</x:v>
      </x:c>
      <x:c r="G432" s="107" t="n">
        <x:v>1.74221826</x:v>
      </x:c>
      <x:c r="H432" s="107" t="n">
        <x:v>0.32231038</x:v>
      </x:c>
    </x:row>
    <x:row r="433" ht="17" customHeight="1">
      <x:c r="A433" s="9" t="str">
        <x:v>2027-06-01</x:v>
      </x:c>
      <x:c r="B433" s="9" t="str">
        <x:v>Forecast</x:v>
      </x:c>
      <x:c r="C433" s="9" t="str">
        <x:v>Finance &amp; Corporate</x:v>
      </x:c>
      <x:c r="D433" s="278" t="n">
        <x:v>20</x:v>
      </x:c>
      <x:c r="E433" s="278" t="n">
        <x:v>0</x:v>
      </x:c>
      <x:c r="F433" s="278" t="n">
        <x:v>0</x:v>
      </x:c>
      <x:c r="G433" s="107" t="n">
        <x:v>2.55525331</x:v>
      </x:c>
      <x:c r="H433" s="107" t="n">
        <x:v>0.47272186</x:v>
      </x:c>
    </x:row>
    <x:row r="434" ht="17" customHeight="1">
      <x:c r="A434" s="9" t="str">
        <x:v>2027-06-01</x:v>
      </x:c>
      <x:c r="B434" s="9" t="str">
        <x:v>Forecast</x:v>
      </x:c>
      <x:c r="C434" s="9" t="str">
        <x:v>Marketing</x:v>
      </x:c>
      <x:c r="D434" s="278" t="n">
        <x:v>17</x:v>
      </x:c>
      <x:c r="E434" s="278" t="n">
        <x:v>0</x:v>
      </x:c>
      <x:c r="F434" s="278" t="n">
        <x:v>0</x:v>
      </x:c>
      <x:c r="G434" s="107" t="n">
        <x:v>1.99919532</x:v>
      </x:c>
      <x:c r="H434" s="107" t="n">
        <x:v>0.36985113000000003</x:v>
      </x:c>
    </x:row>
    <x:row r="435" ht="17" customHeight="1">
      <x:c r="A435" s="9" t="str">
        <x:v>2027-06-01</x:v>
      </x:c>
      <x:c r="B435" s="9" t="str">
        <x:v>Forecast</x:v>
      </x:c>
      <x:c r="C435" s="9" t="str">
        <x:v>Operations</x:v>
      </x:c>
      <x:c r="D435" s="278" t="n">
        <x:v>32</x:v>
      </x:c>
      <x:c r="E435" s="278" t="n">
        <x:v>0</x:v>
      </x:c>
      <x:c r="F435" s="278" t="n">
        <x:v>0</x:v>
      </x:c>
      <x:c r="G435" s="107" t="n">
        <x:v>3.2056814900000004</x:v>
      </x:c>
      <x:c r="H435" s="107" t="n">
        <x:v>0.59305108</x:v>
      </x:c>
    </x:row>
    <x:row r="436" ht="17" customHeight="1">
      <x:c r="A436" s="9" t="str">
        <x:v>2027-06-01</x:v>
      </x:c>
      <x:c r="B436" s="9" t="str">
        <x:v>Forecast</x:v>
      </x:c>
      <x:c r="C436" s="9" t="str">
        <x:v>Sales</x:v>
      </x:c>
      <x:c r="D436" s="278" t="n">
        <x:v>132</x:v>
      </x:c>
      <x:c r="E436" s="278" t="n">
        <x:v>0</x:v>
      </x:c>
      <x:c r="F436" s="278" t="n">
        <x:v>0</x:v>
      </x:c>
      <x:c r="G436" s="107" t="n">
        <x:v>14.617210349999999</x:v>
      </x:c>
      <x:c r="H436" s="107" t="n">
        <x:v>2.7041839199999997</x:v>
      </x:c>
    </x:row>
    <x:row r="437" ht="17" customHeight="1">
      <x:c r="A437" s="9" t="str">
        <x:v>2027-06-01</x:v>
      </x:c>
      <x:c r="B437" s="9" t="str">
        <x:v>Forecast</x:v>
      </x:c>
      <x:c r="C437" s="9" t="str">
        <x:v>Technology</x:v>
      </x:c>
      <x:c r="D437" s="278" t="n">
        <x:v>24</x:v>
      </x:c>
      <x:c r="E437" s="278" t="n">
        <x:v>0</x:v>
      </x:c>
      <x:c r="F437" s="278" t="n">
        <x:v>0</x:v>
      </x:c>
      <x:c r="G437" s="107" t="n">
        <x:v>3.345059</x:v>
      </x:c>
      <x:c r="H437" s="107" t="n">
        <x:v>0.6188359200000001</x:v>
      </x:c>
    </x:row>
  </x:sheetData>
  <x:mergeCells>
    <x:mergeCell ref="A1:H2"/>
    <x:mergeCell ref="A3:H3"/>
  </x:mergeCells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27" hidden="0" customWidth="1"/>
    <x:col min="4" max="4" width="21" hidden="0" customWidth="1"/>
    <x:col min="5" max="5" width="21" hidden="0" customWidth="1"/>
    <x:col min="6" max="6" width="21" hidden="0" customWidth="1"/>
  </x:cols>
  <x:sheetData>
    <x:row r="1" ht="25" customHeight="1">
      <x:c r="A1" s="3" t="str">
        <x:v>Capex Data</x:v>
      </x:c>
      <x:c r="B1" s="3"/>
      <x:c r="C1" s="3"/>
      <x:c r="D1" s="3"/>
      <x:c r="E1" s="3"/>
      <x:c r="F1" s="3"/>
    </x:row>
    <x:row r="2" ht="25" customHeight="1">
      <x:c r="A2" s="3"/>
      <x:c r="B2" s="3"/>
      <x:c r="C2" s="3"/>
      <x:c r="D2" s="3"/>
      <x:c r="E2" s="3"/>
      <x:c r="F2" s="3"/>
    </x:row>
    <x:row r="3" ht="25" customHeight="1">
      <x:c r="A3" s="6" t="str">
        <x:v>Monthly capex, depreciation and remaining NBV</x:v>
      </x:c>
      <x:c r="B3" s="6"/>
      <x:c r="C3" s="6"/>
      <x:c r="D3" s="6"/>
      <x:c r="E3" s="6"/>
      <x:c r="F3" s="6"/>
    </x:row>
    <x:row r="5" ht="17" customHeight="1">
      <x:c r="A5" s="13" t="str">
        <x:v>Month</x:v>
      </x:c>
      <x:c r="B5" s="13" t="str">
        <x:v>Version</x:v>
      </x:c>
      <x:c r="C5" s="13" t="str">
        <x:v>Department</x:v>
      </x:c>
      <x:c r="D5" s="13" t="str">
        <x:v>CapexSpendTRY</x:v>
      </x:c>
      <x:c r="E5" s="13" t="str">
        <x:v>DepreciationTRY</x:v>
      </x:c>
      <x:c r="F5" s="13" t="str">
        <x:v>RemainingNBVTRY</x:v>
      </x:c>
    </x:row>
    <x:row r="6" ht="17" customHeight="1">
      <x:c r="A6" s="9" t="str">
        <x:v>2023-01-01</x:v>
      </x:c>
      <x:c r="B6" s="9" t="str">
        <x:v>Actual</x:v>
      </x:c>
      <x:c r="C6" s="9" t="str">
        <x:v>Customer Success</x:v>
      </x:c>
      <x:c r="D6" s="107" t="n">
        <x:v>0</x:v>
      </x:c>
      <x:c r="E6" s="107" t="n">
        <x:v>0</x:v>
      </x:c>
      <x:c r="F6" s="107" t="n">
        <x:v>9.35</x:v>
      </x:c>
    </x:row>
    <x:row r="7" ht="17" customHeight="1">
      <x:c r="A7" s="9" t="str">
        <x:v>2023-01-01</x:v>
      </x:c>
      <x:c r="B7" s="9" t="str">
        <x:v>Actual</x:v>
      </x:c>
      <x:c r="C7" s="9" t="str">
        <x:v>Finance &amp; Corporate</x:v>
      </x:c>
      <x:c r="D7" s="107" t="n">
        <x:v>0</x:v>
      </x:c>
      <x:c r="E7" s="107" t="n">
        <x:v>0</x:v>
      </x:c>
      <x:c r="F7" s="107" t="n">
        <x:v>10.2</x:v>
      </x:c>
    </x:row>
    <x:row r="8" ht="17" customHeight="1">
      <x:c r="A8" s="9" t="str">
        <x:v>2023-01-01</x:v>
      </x:c>
      <x:c r="B8" s="9" t="str">
        <x:v>Actual</x:v>
      </x:c>
      <x:c r="C8" s="9" t="str">
        <x:v>Operations</x:v>
      </x:c>
      <x:c r="D8" s="107" t="n">
        <x:v>0</x:v>
      </x:c>
      <x:c r="E8" s="107" t="n">
        <x:v>0</x:v>
      </x:c>
      <x:c r="F8" s="107" t="n">
        <x:v>15.9</x:v>
      </x:c>
    </x:row>
    <x:row r="9" ht="17" customHeight="1">
      <x:c r="A9" s="9" t="str">
        <x:v>2023-01-01</x:v>
      </x:c>
      <x:c r="B9" s="9" t="str">
        <x:v>Actual</x:v>
      </x:c>
      <x:c r="C9" s="9" t="str">
        <x:v>Sales</x:v>
      </x:c>
      <x:c r="D9" s="107" t="n">
        <x:v>0</x:v>
      </x:c>
      <x:c r="E9" s="107" t="n">
        <x:v>0</x:v>
      </x:c>
      <x:c r="F9" s="107" t="n">
        <x:v>14.5</x:v>
      </x:c>
    </x:row>
    <x:row r="10" ht="17" customHeight="1">
      <x:c r="A10" s="9" t="str">
        <x:v>2023-01-01</x:v>
      </x:c>
      <x:c r="B10" s="9" t="str">
        <x:v>Actual</x:v>
      </x:c>
      <x:c r="C10" s="9" t="str">
        <x:v>Technology</x:v>
      </x:c>
      <x:c r="D10" s="107" t="n">
        <x:v>0</x:v>
      </x:c>
      <x:c r="E10" s="107" t="n">
        <x:v>0</x:v>
      </x:c>
      <x:c r="F10" s="107" t="n">
        <x:v>20.45</x:v>
      </x:c>
    </x:row>
    <x:row r="11" ht="17" customHeight="1">
      <x:c r="A11" s="9" t="str">
        <x:v>2023-02-01</x:v>
      </x:c>
      <x:c r="B11" s="9" t="str">
        <x:v>Actual</x:v>
      </x:c>
      <x:c r="C11" s="9" t="str">
        <x:v>Customer Success</x:v>
      </x:c>
      <x:c r="D11" s="107" t="n">
        <x:v>0</x:v>
      </x:c>
      <x:c r="E11" s="107" t="n">
        <x:v>0</x:v>
      </x:c>
      <x:c r="F11" s="107" t="n">
        <x:v>9.35</x:v>
      </x:c>
    </x:row>
    <x:row r="12" ht="17" customHeight="1">
      <x:c r="A12" s="9" t="str">
        <x:v>2023-02-01</x:v>
      </x:c>
      <x:c r="B12" s="9" t="str">
        <x:v>Actual</x:v>
      </x:c>
      <x:c r="C12" s="9" t="str">
        <x:v>Finance &amp; Corporate</x:v>
      </x:c>
      <x:c r="D12" s="107" t="n">
        <x:v>0</x:v>
      </x:c>
      <x:c r="E12" s="107" t="n">
        <x:v>0</x:v>
      </x:c>
      <x:c r="F12" s="107" t="n">
        <x:v>10.2</x:v>
      </x:c>
    </x:row>
    <x:row r="13" ht="17" customHeight="1">
      <x:c r="A13" s="9" t="str">
        <x:v>2023-02-01</x:v>
      </x:c>
      <x:c r="B13" s="9" t="str">
        <x:v>Actual</x:v>
      </x:c>
      <x:c r="C13" s="9" t="str">
        <x:v>Operations</x:v>
      </x:c>
      <x:c r="D13" s="107" t="n">
        <x:v>0</x:v>
      </x:c>
      <x:c r="E13" s="107" t="n">
        <x:v>0</x:v>
      </x:c>
      <x:c r="F13" s="107" t="n">
        <x:v>15.9</x:v>
      </x:c>
    </x:row>
    <x:row r="14" ht="17" customHeight="1">
      <x:c r="A14" s="9" t="str">
        <x:v>2023-02-01</x:v>
      </x:c>
      <x:c r="B14" s="9" t="str">
        <x:v>Actual</x:v>
      </x:c>
      <x:c r="C14" s="9" t="str">
        <x:v>Sales</x:v>
      </x:c>
      <x:c r="D14" s="107" t="n">
        <x:v>0</x:v>
      </x:c>
      <x:c r="E14" s="107" t="n">
        <x:v>0</x:v>
      </x:c>
      <x:c r="F14" s="107" t="n">
        <x:v>14.5</x:v>
      </x:c>
    </x:row>
    <x:row r="15" ht="17" customHeight="1">
      <x:c r="A15" s="9" t="str">
        <x:v>2023-02-01</x:v>
      </x:c>
      <x:c r="B15" s="9" t="str">
        <x:v>Actual</x:v>
      </x:c>
      <x:c r="C15" s="9" t="str">
        <x:v>Technology</x:v>
      </x:c>
      <x:c r="D15" s="107" t="n">
        <x:v>1.63</x:v>
      </x:c>
      <x:c r="E15" s="107" t="n">
        <x:v>0</x:v>
      </x:c>
      <x:c r="F15" s="107" t="n">
        <x:v>20.45</x:v>
      </x:c>
    </x:row>
    <x:row r="16" ht="17" customHeight="1">
      <x:c r="A16" s="9" t="str">
        <x:v>2023-03-01</x:v>
      </x:c>
      <x:c r="B16" s="9" t="str">
        <x:v>Actual</x:v>
      </x:c>
      <x:c r="C16" s="9" t="str">
        <x:v>Customer Success</x:v>
      </x:c>
      <x:c r="D16" s="107" t="n">
        <x:v>0</x:v>
      </x:c>
      <x:c r="E16" s="107" t="n">
        <x:v>0</x:v>
      </x:c>
      <x:c r="F16" s="107" t="n">
        <x:v>9.35</x:v>
      </x:c>
    </x:row>
    <x:row r="17" ht="17" customHeight="1">
      <x:c r="A17" s="9" t="str">
        <x:v>2023-03-01</x:v>
      </x:c>
      <x:c r="B17" s="9" t="str">
        <x:v>Actual</x:v>
      </x:c>
      <x:c r="C17" s="9" t="str">
        <x:v>Finance &amp; Corporate</x:v>
      </x:c>
      <x:c r="D17" s="107" t="n">
        <x:v>0</x:v>
      </x:c>
      <x:c r="E17" s="107" t="n">
        <x:v>0</x:v>
      </x:c>
      <x:c r="F17" s="107" t="n">
        <x:v>10.2</x:v>
      </x:c>
    </x:row>
    <x:row r="18" ht="17" customHeight="1">
      <x:c r="A18" s="9" t="str">
        <x:v>2023-03-01</x:v>
      </x:c>
      <x:c r="B18" s="9" t="str">
        <x:v>Actual</x:v>
      </x:c>
      <x:c r="C18" s="9" t="str">
        <x:v>Operations</x:v>
      </x:c>
      <x:c r="D18" s="107" t="n">
        <x:v>0</x:v>
      </x:c>
      <x:c r="E18" s="107" t="n">
        <x:v>0</x:v>
      </x:c>
      <x:c r="F18" s="107" t="n">
        <x:v>15.9</x:v>
      </x:c>
    </x:row>
    <x:row r="19" ht="17" customHeight="1">
      <x:c r="A19" s="9" t="str">
        <x:v>2023-03-01</x:v>
      </x:c>
      <x:c r="B19" s="9" t="str">
        <x:v>Actual</x:v>
      </x:c>
      <x:c r="C19" s="9" t="str">
        <x:v>Sales</x:v>
      </x:c>
      <x:c r="D19" s="107" t="n">
        <x:v>0</x:v>
      </x:c>
      <x:c r="E19" s="107" t="n">
        <x:v>0</x:v>
      </x:c>
      <x:c r="F19" s="107" t="n">
        <x:v>14.5</x:v>
      </x:c>
    </x:row>
    <x:row r="20" ht="17" customHeight="1">
      <x:c r="A20" s="9" t="str">
        <x:v>2023-03-01</x:v>
      </x:c>
      <x:c r="B20" s="9" t="str">
        <x:v>Actual</x:v>
      </x:c>
      <x:c r="C20" s="9" t="str">
        <x:v>Technology</x:v>
      </x:c>
      <x:c r="D20" s="107" t="n">
        <x:v>1.63</x:v>
      </x:c>
      <x:c r="E20" s="107" t="n">
        <x:v>0</x:v>
      </x:c>
      <x:c r="F20" s="107" t="n">
        <x:v>20.45</x:v>
      </x:c>
    </x:row>
    <x:row r="21" ht="17" customHeight="1">
      <x:c r="A21" s="9" t="str">
        <x:v>2023-04-01</x:v>
      </x:c>
      <x:c r="B21" s="9" t="str">
        <x:v>Actual</x:v>
      </x:c>
      <x:c r="C21" s="9" t="str">
        <x:v>Customer Success</x:v>
      </x:c>
      <x:c r="D21" s="107" t="n">
        <x:v>0</x:v>
      </x:c>
      <x:c r="E21" s="107" t="n">
        <x:v>0</x:v>
      </x:c>
      <x:c r="F21" s="107" t="n">
        <x:v>9.35</x:v>
      </x:c>
    </x:row>
    <x:row r="22" ht="17" customHeight="1">
      <x:c r="A22" s="9" t="str">
        <x:v>2023-04-01</x:v>
      </x:c>
      <x:c r="B22" s="9" t="str">
        <x:v>Actual</x:v>
      </x:c>
      <x:c r="C22" s="9" t="str">
        <x:v>Finance &amp; Corporate</x:v>
      </x:c>
      <x:c r="D22" s="107" t="n">
        <x:v>0</x:v>
      </x:c>
      <x:c r="E22" s="107" t="n">
        <x:v>0</x:v>
      </x:c>
      <x:c r="F22" s="107" t="n">
        <x:v>10.2</x:v>
      </x:c>
    </x:row>
    <x:row r="23" ht="17" customHeight="1">
      <x:c r="A23" s="9" t="str">
        <x:v>2023-04-01</x:v>
      </x:c>
      <x:c r="B23" s="9" t="str">
        <x:v>Actual</x:v>
      </x:c>
      <x:c r="C23" s="9" t="str">
        <x:v>Operations</x:v>
      </x:c>
      <x:c r="D23" s="107" t="n">
        <x:v>0</x:v>
      </x:c>
      <x:c r="E23" s="107" t="n">
        <x:v>0</x:v>
      </x:c>
      <x:c r="F23" s="107" t="n">
        <x:v>15.9</x:v>
      </x:c>
    </x:row>
    <x:row r="24" ht="17" customHeight="1">
      <x:c r="A24" s="9" t="str">
        <x:v>2023-04-01</x:v>
      </x:c>
      <x:c r="B24" s="9" t="str">
        <x:v>Actual</x:v>
      </x:c>
      <x:c r="C24" s="9" t="str">
        <x:v>Sales</x:v>
      </x:c>
      <x:c r="D24" s="107" t="n">
        <x:v>0</x:v>
      </x:c>
      <x:c r="E24" s="107" t="n">
        <x:v>0</x:v>
      </x:c>
      <x:c r="F24" s="107" t="n">
        <x:v>14.5</x:v>
      </x:c>
    </x:row>
    <x:row r="25" ht="17" customHeight="1">
      <x:c r="A25" s="9" t="str">
        <x:v>2023-04-01</x:v>
      </x:c>
      <x:c r="B25" s="9" t="str">
        <x:v>Actual</x:v>
      </x:c>
      <x:c r="C25" s="9" t="str">
        <x:v>Technology</x:v>
      </x:c>
      <x:c r="D25" s="107" t="n">
        <x:v>1.63</x:v>
      </x:c>
      <x:c r="E25" s="107" t="n">
        <x:v>0</x:v>
      </x:c>
      <x:c r="F25" s="107" t="n">
        <x:v>20.45</x:v>
      </x:c>
    </x:row>
    <x:row r="26" ht="17" customHeight="1">
      <x:c r="A26" s="9" t="str">
        <x:v>2023-05-01</x:v>
      </x:c>
      <x:c r="B26" s="9" t="str">
        <x:v>Actual</x:v>
      </x:c>
      <x:c r="C26" s="9" t="str">
        <x:v>Customer Success</x:v>
      </x:c>
      <x:c r="D26" s="107" t="n">
        <x:v>0</x:v>
      </x:c>
      <x:c r="E26" s="107" t="n">
        <x:v>0</x:v>
      </x:c>
      <x:c r="F26" s="107" t="n">
        <x:v>9.35</x:v>
      </x:c>
    </x:row>
    <x:row r="27" ht="17" customHeight="1">
      <x:c r="A27" s="9" t="str">
        <x:v>2023-05-01</x:v>
      </x:c>
      <x:c r="B27" s="9" t="str">
        <x:v>Actual</x:v>
      </x:c>
      <x:c r="C27" s="9" t="str">
        <x:v>Finance &amp; Corporate</x:v>
      </x:c>
      <x:c r="D27" s="107" t="n">
        <x:v>0</x:v>
      </x:c>
      <x:c r="E27" s="107" t="n">
        <x:v>0</x:v>
      </x:c>
      <x:c r="F27" s="107" t="n">
        <x:v>10.2</x:v>
      </x:c>
    </x:row>
    <x:row r="28" ht="17" customHeight="1">
      <x:c r="A28" s="9" t="str">
        <x:v>2023-05-01</x:v>
      </x:c>
      <x:c r="B28" s="9" t="str">
        <x:v>Actual</x:v>
      </x:c>
      <x:c r="C28" s="9" t="str">
        <x:v>Operations</x:v>
      </x:c>
      <x:c r="D28" s="107" t="n">
        <x:v>0</x:v>
      </x:c>
      <x:c r="E28" s="107" t="n">
        <x:v>0</x:v>
      </x:c>
      <x:c r="F28" s="107" t="n">
        <x:v>15.9</x:v>
      </x:c>
    </x:row>
    <x:row r="29" ht="17" customHeight="1">
      <x:c r="A29" s="9" t="str">
        <x:v>2023-05-01</x:v>
      </x:c>
      <x:c r="B29" s="9" t="str">
        <x:v>Actual</x:v>
      </x:c>
      <x:c r="C29" s="9" t="str">
        <x:v>Sales</x:v>
      </x:c>
      <x:c r="D29" s="107" t="n">
        <x:v>1.075</x:v>
      </x:c>
      <x:c r="E29" s="107" t="n">
        <x:v>0</x:v>
      </x:c>
      <x:c r="F29" s="107" t="n">
        <x:v>14.5</x:v>
      </x:c>
    </x:row>
    <x:row r="30" ht="17" customHeight="1">
      <x:c r="A30" s="9" t="str">
        <x:v>2023-05-01</x:v>
      </x:c>
      <x:c r="B30" s="9" t="str">
        <x:v>Actual</x:v>
      </x:c>
      <x:c r="C30" s="9" t="str">
        <x:v>Technology</x:v>
      </x:c>
      <x:c r="D30" s="107" t="n">
        <x:v>1.63</x:v>
      </x:c>
      <x:c r="E30" s="107" t="n">
        <x:v>0</x:v>
      </x:c>
      <x:c r="F30" s="107" t="n">
        <x:v>20.45</x:v>
      </x:c>
    </x:row>
    <x:row r="31" ht="17" customHeight="1">
      <x:c r="A31" s="9" t="str">
        <x:v>2023-06-01</x:v>
      </x:c>
      <x:c r="B31" s="9" t="str">
        <x:v>Actual</x:v>
      </x:c>
      <x:c r="C31" s="9" t="str">
        <x:v>Customer Success</x:v>
      </x:c>
      <x:c r="D31" s="107" t="n">
        <x:v>0</x:v>
      </x:c>
      <x:c r="E31" s="107" t="n">
        <x:v>0</x:v>
      </x:c>
      <x:c r="F31" s="107" t="n">
        <x:v>9.35</x:v>
      </x:c>
    </x:row>
    <x:row r="32" ht="17" customHeight="1">
      <x:c r="A32" s="9" t="str">
        <x:v>2023-06-01</x:v>
      </x:c>
      <x:c r="B32" s="9" t="str">
        <x:v>Actual</x:v>
      </x:c>
      <x:c r="C32" s="9" t="str">
        <x:v>Finance &amp; Corporate</x:v>
      </x:c>
      <x:c r="D32" s="107" t="n">
        <x:v>0</x:v>
      </x:c>
      <x:c r="E32" s="107" t="n">
        <x:v>0</x:v>
      </x:c>
      <x:c r="F32" s="107" t="n">
        <x:v>10.2</x:v>
      </x:c>
    </x:row>
    <x:row r="33" ht="17" customHeight="1">
      <x:c r="A33" s="9" t="str">
        <x:v>2023-06-01</x:v>
      </x:c>
      <x:c r="B33" s="9" t="str">
        <x:v>Actual</x:v>
      </x:c>
      <x:c r="C33" s="9" t="str">
        <x:v>Operations</x:v>
      </x:c>
      <x:c r="D33" s="107" t="n">
        <x:v>0</x:v>
      </x:c>
      <x:c r="E33" s="107" t="n">
        <x:v>0</x:v>
      </x:c>
      <x:c r="F33" s="107" t="n">
        <x:v>15.9</x:v>
      </x:c>
    </x:row>
    <x:row r="34" ht="17" customHeight="1">
      <x:c r="A34" s="9" t="str">
        <x:v>2023-06-01</x:v>
      </x:c>
      <x:c r="B34" s="9" t="str">
        <x:v>Actual</x:v>
      </x:c>
      <x:c r="C34" s="9" t="str">
        <x:v>Sales</x:v>
      </x:c>
      <x:c r="D34" s="107" t="n">
        <x:v>1.075</x:v>
      </x:c>
      <x:c r="E34" s="107" t="n">
        <x:v>0</x:v>
      </x:c>
      <x:c r="F34" s="107" t="n">
        <x:v>14.5</x:v>
      </x:c>
    </x:row>
    <x:row r="35" ht="17" customHeight="1">
      <x:c r="A35" s="9" t="str">
        <x:v>2023-06-01</x:v>
      </x:c>
      <x:c r="B35" s="9" t="str">
        <x:v>Actual</x:v>
      </x:c>
      <x:c r="C35" s="9" t="str">
        <x:v>Technology</x:v>
      </x:c>
      <x:c r="D35" s="107" t="n">
        <x:v>1.63</x:v>
      </x:c>
      <x:c r="E35" s="107" t="n">
        <x:v>0.16979167</x:v>
      </x:c>
      <x:c r="F35" s="107" t="n">
        <x:v>20.280208329999997</x:v>
      </x:c>
    </x:row>
    <x:row r="36" ht="17" customHeight="1">
      <x:c r="A36" s="9" t="str">
        <x:v>2023-07-01</x:v>
      </x:c>
      <x:c r="B36" s="9" t="str">
        <x:v>Actual</x:v>
      </x:c>
      <x:c r="C36" s="9" t="str">
        <x:v>Customer Success</x:v>
      </x:c>
      <x:c r="D36" s="107" t="n">
        <x:v>0</x:v>
      </x:c>
      <x:c r="E36" s="107" t="n">
        <x:v>0</x:v>
      </x:c>
      <x:c r="F36" s="107" t="n">
        <x:v>9.35</x:v>
      </x:c>
    </x:row>
    <x:row r="37" ht="17" customHeight="1">
      <x:c r="A37" s="9" t="str">
        <x:v>2023-07-01</x:v>
      </x:c>
      <x:c r="B37" s="9" t="str">
        <x:v>Actual</x:v>
      </x:c>
      <x:c r="C37" s="9" t="str">
        <x:v>Finance &amp; Corporate</x:v>
      </x:c>
      <x:c r="D37" s="107" t="n">
        <x:v>0</x:v>
      </x:c>
      <x:c r="E37" s="107" t="n">
        <x:v>0</x:v>
      </x:c>
      <x:c r="F37" s="107" t="n">
        <x:v>10.2</x:v>
      </x:c>
    </x:row>
    <x:row r="38" ht="17" customHeight="1">
      <x:c r="A38" s="9" t="str">
        <x:v>2023-07-01</x:v>
      </x:c>
      <x:c r="B38" s="9" t="str">
        <x:v>Actual</x:v>
      </x:c>
      <x:c r="C38" s="9" t="str">
        <x:v>Operations</x:v>
      </x:c>
      <x:c r="D38" s="107" t="n">
        <x:v>0</x:v>
      </x:c>
      <x:c r="E38" s="107" t="n">
        <x:v>0</x:v>
      </x:c>
      <x:c r="F38" s="107" t="n">
        <x:v>15.9</x:v>
      </x:c>
    </x:row>
    <x:row r="39" ht="17" customHeight="1">
      <x:c r="A39" s="9" t="str">
        <x:v>2023-07-01</x:v>
      </x:c>
      <x:c r="B39" s="9" t="str">
        <x:v>Actual</x:v>
      </x:c>
      <x:c r="C39" s="9" t="str">
        <x:v>Sales</x:v>
      </x:c>
      <x:c r="D39" s="107" t="n">
        <x:v>1.075</x:v>
      </x:c>
      <x:c r="E39" s="107" t="n">
        <x:v>0</x:v>
      </x:c>
      <x:c r="F39" s="107" t="n">
        <x:v>14.5</x:v>
      </x:c>
    </x:row>
    <x:row r="40" ht="17" customHeight="1">
      <x:c r="A40" s="9" t="str">
        <x:v>2023-07-01</x:v>
      </x:c>
      <x:c r="B40" s="9" t="str">
        <x:v>Actual</x:v>
      </x:c>
      <x:c r="C40" s="9" t="str">
        <x:v>Technology</x:v>
      </x:c>
      <x:c r="D40" s="107" t="n">
        <x:v>0</x:v>
      </x:c>
      <x:c r="E40" s="107" t="n">
        <x:v>0.16979167</x:v>
      </x:c>
      <x:c r="F40" s="107" t="n">
        <x:v>20.110416670000003</x:v>
      </x:c>
    </x:row>
    <x:row r="41" ht="17" customHeight="1">
      <x:c r="A41" s="9" t="str">
        <x:v>2023-08-01</x:v>
      </x:c>
      <x:c r="B41" s="9" t="str">
        <x:v>Actual</x:v>
      </x:c>
      <x:c r="C41" s="9" t="str">
        <x:v>Customer Success</x:v>
      </x:c>
      <x:c r="D41" s="107" t="n">
        <x:v>0</x:v>
      </x:c>
      <x:c r="E41" s="107" t="n">
        <x:v>0</x:v>
      </x:c>
      <x:c r="F41" s="107" t="n">
        <x:v>9.35</x:v>
      </x:c>
    </x:row>
    <x:row r="42" ht="17" customHeight="1">
      <x:c r="A42" s="9" t="str">
        <x:v>2023-08-01</x:v>
      </x:c>
      <x:c r="B42" s="9" t="str">
        <x:v>Actual</x:v>
      </x:c>
      <x:c r="C42" s="9" t="str">
        <x:v>Finance &amp; Corporate</x:v>
      </x:c>
      <x:c r="D42" s="107" t="n">
        <x:v>0</x:v>
      </x:c>
      <x:c r="E42" s="107" t="n">
        <x:v>0</x:v>
      </x:c>
      <x:c r="F42" s="107" t="n">
        <x:v>10.2</x:v>
      </x:c>
    </x:row>
    <x:row r="43" ht="17" customHeight="1">
      <x:c r="A43" s="9" t="str">
        <x:v>2023-08-01</x:v>
      </x:c>
      <x:c r="B43" s="9" t="str">
        <x:v>Actual</x:v>
      </x:c>
      <x:c r="C43" s="9" t="str">
        <x:v>Operations</x:v>
      </x:c>
      <x:c r="D43" s="107" t="n">
        <x:v>0</x:v>
      </x:c>
      <x:c r="E43" s="107" t="n">
        <x:v>0</x:v>
      </x:c>
      <x:c r="F43" s="107" t="n">
        <x:v>15.9</x:v>
      </x:c>
    </x:row>
    <x:row r="44" ht="17" customHeight="1">
      <x:c r="A44" s="9" t="str">
        <x:v>2023-08-01</x:v>
      </x:c>
      <x:c r="B44" s="9" t="str">
        <x:v>Actual</x:v>
      </x:c>
      <x:c r="C44" s="9" t="str">
        <x:v>Sales</x:v>
      </x:c>
      <x:c r="D44" s="107" t="n">
        <x:v>1.075</x:v>
      </x:c>
      <x:c r="E44" s="107" t="n">
        <x:v>0</x:v>
      </x:c>
      <x:c r="F44" s="107" t="n">
        <x:v>14.5</x:v>
      </x:c>
    </x:row>
    <x:row r="45" ht="17" customHeight="1">
      <x:c r="A45" s="9" t="str">
        <x:v>2023-08-01</x:v>
      </x:c>
      <x:c r="B45" s="9" t="str">
        <x:v>Actual</x:v>
      </x:c>
      <x:c r="C45" s="9" t="str">
        <x:v>Technology</x:v>
      </x:c>
      <x:c r="D45" s="107" t="n">
        <x:v>0</x:v>
      </x:c>
      <x:c r="E45" s="107" t="n">
        <x:v>0.16979167</x:v>
      </x:c>
      <x:c r="F45" s="107" t="n">
        <x:v>19.940625</x:v>
      </x:c>
    </x:row>
    <x:row r="46" ht="17" customHeight="1">
      <x:c r="A46" s="9" t="str">
        <x:v>2023-09-01</x:v>
      </x:c>
      <x:c r="B46" s="9" t="str">
        <x:v>Actual</x:v>
      </x:c>
      <x:c r="C46" s="9" t="str">
        <x:v>Customer Success</x:v>
      </x:c>
      <x:c r="D46" s="107" t="n">
        <x:v>0</x:v>
      </x:c>
      <x:c r="E46" s="107" t="n">
        <x:v>0</x:v>
      </x:c>
      <x:c r="F46" s="107" t="n">
        <x:v>9.35</x:v>
      </x:c>
    </x:row>
    <x:row r="47" ht="17" customHeight="1">
      <x:c r="A47" s="9" t="str">
        <x:v>2023-09-01</x:v>
      </x:c>
      <x:c r="B47" s="9" t="str">
        <x:v>Actual</x:v>
      </x:c>
      <x:c r="C47" s="9" t="str">
        <x:v>Finance &amp; Corporate</x:v>
      </x:c>
      <x:c r="D47" s="107" t="n">
        <x:v>0</x:v>
      </x:c>
      <x:c r="E47" s="107" t="n">
        <x:v>0</x:v>
      </x:c>
      <x:c r="F47" s="107" t="n">
        <x:v>10.2</x:v>
      </x:c>
    </x:row>
    <x:row r="48" ht="17" customHeight="1">
      <x:c r="A48" s="9" t="str">
        <x:v>2023-09-01</x:v>
      </x:c>
      <x:c r="B48" s="9" t="str">
        <x:v>Actual</x:v>
      </x:c>
      <x:c r="C48" s="9" t="str">
        <x:v>Operations</x:v>
      </x:c>
      <x:c r="D48" s="107" t="n">
        <x:v>0</x:v>
      </x:c>
      <x:c r="E48" s="107" t="n">
        <x:v>0</x:v>
      </x:c>
      <x:c r="F48" s="107" t="n">
        <x:v>15.9</x:v>
      </x:c>
    </x:row>
    <x:row r="49" ht="17" customHeight="1">
      <x:c r="A49" s="9" t="str">
        <x:v>2023-09-01</x:v>
      </x:c>
      <x:c r="B49" s="9" t="str">
        <x:v>Actual</x:v>
      </x:c>
      <x:c r="C49" s="9" t="str">
        <x:v>Sales</x:v>
      </x:c>
      <x:c r="D49" s="107" t="n">
        <x:v>1.075</x:v>
      </x:c>
      <x:c r="E49" s="107" t="n">
        <x:v>0</x:v>
      </x:c>
      <x:c r="F49" s="107" t="n">
        <x:v>14.5</x:v>
      </x:c>
    </x:row>
    <x:row r="50" ht="17" customHeight="1">
      <x:c r="A50" s="9" t="str">
        <x:v>2023-09-01</x:v>
      </x:c>
      <x:c r="B50" s="9" t="str">
        <x:v>Actual</x:v>
      </x:c>
      <x:c r="C50" s="9" t="str">
        <x:v>Technology</x:v>
      </x:c>
      <x:c r="D50" s="107" t="n">
        <x:v>0</x:v>
      </x:c>
      <x:c r="E50" s="107" t="n">
        <x:v>0.16979167</x:v>
      </x:c>
      <x:c r="F50" s="107" t="n">
        <x:v>19.77083333</x:v>
      </x:c>
    </x:row>
    <x:row r="51" ht="17" customHeight="1">
      <x:c r="A51" s="9" t="str">
        <x:v>2023-10-01</x:v>
      </x:c>
      <x:c r="B51" s="9" t="str">
        <x:v>Actual</x:v>
      </x:c>
      <x:c r="C51" s="9" t="str">
        <x:v>Customer Success</x:v>
      </x:c>
      <x:c r="D51" s="107" t="n">
        <x:v>0</x:v>
      </x:c>
      <x:c r="E51" s="107" t="n">
        <x:v>0</x:v>
      </x:c>
      <x:c r="F51" s="107" t="n">
        <x:v>9.35</x:v>
      </x:c>
    </x:row>
    <x:row r="52" ht="17" customHeight="1">
      <x:c r="A52" s="9" t="str">
        <x:v>2023-10-01</x:v>
      </x:c>
      <x:c r="B52" s="9" t="str">
        <x:v>Actual</x:v>
      </x:c>
      <x:c r="C52" s="9" t="str">
        <x:v>Finance &amp; Corporate</x:v>
      </x:c>
      <x:c r="D52" s="107" t="n">
        <x:v>0</x:v>
      </x:c>
      <x:c r="E52" s="107" t="n">
        <x:v>0</x:v>
      </x:c>
      <x:c r="F52" s="107" t="n">
        <x:v>10.2</x:v>
      </x:c>
    </x:row>
    <x:row r="53" ht="17" customHeight="1">
      <x:c r="A53" s="9" t="str">
        <x:v>2023-10-01</x:v>
      </x:c>
      <x:c r="B53" s="9" t="str">
        <x:v>Actual</x:v>
      </x:c>
      <x:c r="C53" s="9" t="str">
        <x:v>Operations</x:v>
      </x:c>
      <x:c r="D53" s="107" t="n">
        <x:v>0</x:v>
      </x:c>
      <x:c r="E53" s="107" t="n">
        <x:v>0</x:v>
      </x:c>
      <x:c r="F53" s="107" t="n">
        <x:v>15.9</x:v>
      </x:c>
    </x:row>
    <x:row r="54" ht="17" customHeight="1">
      <x:c r="A54" s="9" t="str">
        <x:v>2023-10-01</x:v>
      </x:c>
      <x:c r="B54" s="9" t="str">
        <x:v>Actual</x:v>
      </x:c>
      <x:c r="C54" s="9" t="str">
        <x:v>Sales</x:v>
      </x:c>
      <x:c r="D54" s="107" t="n">
        <x:v>1.075</x:v>
      </x:c>
      <x:c r="E54" s="107" t="n">
        <x:v>0.1075</x:v>
      </x:c>
      <x:c r="F54" s="107" t="n">
        <x:v>14.3925</x:v>
      </x:c>
    </x:row>
    <x:row r="55" ht="17" customHeight="1">
      <x:c r="A55" s="9" t="str">
        <x:v>2023-10-01</x:v>
      </x:c>
      <x:c r="B55" s="9" t="str">
        <x:v>Actual</x:v>
      </x:c>
      <x:c r="C55" s="9" t="str">
        <x:v>Technology</x:v>
      </x:c>
      <x:c r="D55" s="107" t="n">
        <x:v>0</x:v>
      </x:c>
      <x:c r="E55" s="107" t="n">
        <x:v>0.16979167</x:v>
      </x:c>
      <x:c r="F55" s="107" t="n">
        <x:v>19.60104167</x:v>
      </x:c>
    </x:row>
    <x:row r="56" ht="17" customHeight="1">
      <x:c r="A56" s="9" t="str">
        <x:v>2023-11-01</x:v>
      </x:c>
      <x:c r="B56" s="9" t="str">
        <x:v>Actual</x:v>
      </x:c>
      <x:c r="C56" s="9" t="str">
        <x:v>Customer Success</x:v>
      </x:c>
      <x:c r="D56" s="107" t="n">
        <x:v>0</x:v>
      </x:c>
      <x:c r="E56" s="107" t="n">
        <x:v>0</x:v>
      </x:c>
      <x:c r="F56" s="107" t="n">
        <x:v>9.35</x:v>
      </x:c>
    </x:row>
    <x:row r="57" ht="17" customHeight="1">
      <x:c r="A57" s="9" t="str">
        <x:v>2023-11-01</x:v>
      </x:c>
      <x:c r="B57" s="9" t="str">
        <x:v>Actual</x:v>
      </x:c>
      <x:c r="C57" s="9" t="str">
        <x:v>Finance &amp; Corporate</x:v>
      </x:c>
      <x:c r="D57" s="107" t="n">
        <x:v>0</x:v>
      </x:c>
      <x:c r="E57" s="107" t="n">
        <x:v>0</x:v>
      </x:c>
      <x:c r="F57" s="107" t="n">
        <x:v>10.2</x:v>
      </x:c>
    </x:row>
    <x:row r="58" ht="17" customHeight="1">
      <x:c r="A58" s="9" t="str">
        <x:v>2023-11-01</x:v>
      </x:c>
      <x:c r="B58" s="9" t="str">
        <x:v>Actual</x:v>
      </x:c>
      <x:c r="C58" s="9" t="str">
        <x:v>Operations</x:v>
      </x:c>
      <x:c r="D58" s="107" t="n">
        <x:v>0</x:v>
      </x:c>
      <x:c r="E58" s="107" t="n">
        <x:v>0</x:v>
      </x:c>
      <x:c r="F58" s="107" t="n">
        <x:v>15.9</x:v>
      </x:c>
    </x:row>
    <x:row r="59" ht="17" customHeight="1">
      <x:c r="A59" s="9" t="str">
        <x:v>2023-11-01</x:v>
      </x:c>
      <x:c r="B59" s="9" t="str">
        <x:v>Actual</x:v>
      </x:c>
      <x:c r="C59" s="9" t="str">
        <x:v>Sales</x:v>
      </x:c>
      <x:c r="D59" s="107" t="n">
        <x:v>0</x:v>
      </x:c>
      <x:c r="E59" s="107" t="n">
        <x:v>0.1075</x:v>
      </x:c>
      <x:c r="F59" s="107" t="n">
        <x:v>14.285</x:v>
      </x:c>
    </x:row>
    <x:row r="60" ht="17" customHeight="1">
      <x:c r="A60" s="9" t="str">
        <x:v>2023-11-01</x:v>
      </x:c>
      <x:c r="B60" s="9" t="str">
        <x:v>Actual</x:v>
      </x:c>
      <x:c r="C60" s="9" t="str">
        <x:v>Technology</x:v>
      </x:c>
      <x:c r="D60" s="107" t="n">
        <x:v>0</x:v>
      </x:c>
      <x:c r="E60" s="107" t="n">
        <x:v>0.16979167</x:v>
      </x:c>
      <x:c r="F60" s="107" t="n">
        <x:v>19.43125</x:v>
      </x:c>
    </x:row>
    <x:row r="61" ht="17" customHeight="1">
      <x:c r="A61" s="9" t="str">
        <x:v>2023-12-01</x:v>
      </x:c>
      <x:c r="B61" s="9" t="str">
        <x:v>Actual</x:v>
      </x:c>
      <x:c r="C61" s="9" t="str">
        <x:v>Customer Success</x:v>
      </x:c>
      <x:c r="D61" s="107" t="n">
        <x:v>0</x:v>
      </x:c>
      <x:c r="E61" s="107" t="n">
        <x:v>0</x:v>
      </x:c>
      <x:c r="F61" s="107" t="n">
        <x:v>9.35</x:v>
      </x:c>
    </x:row>
    <x:row r="62" ht="17" customHeight="1">
      <x:c r="A62" s="9" t="str">
        <x:v>2023-12-01</x:v>
      </x:c>
      <x:c r="B62" s="9" t="str">
        <x:v>Actual</x:v>
      </x:c>
      <x:c r="C62" s="9" t="str">
        <x:v>Finance &amp; Corporate</x:v>
      </x:c>
      <x:c r="D62" s="107" t="n">
        <x:v>0</x:v>
      </x:c>
      <x:c r="E62" s="107" t="n">
        <x:v>0</x:v>
      </x:c>
      <x:c r="F62" s="107" t="n">
        <x:v>10.2</x:v>
      </x:c>
    </x:row>
    <x:row r="63" ht="17" customHeight="1">
      <x:c r="A63" s="9" t="str">
        <x:v>2023-12-01</x:v>
      </x:c>
      <x:c r="B63" s="9" t="str">
        <x:v>Actual</x:v>
      </x:c>
      <x:c r="C63" s="9" t="str">
        <x:v>Operations</x:v>
      </x:c>
      <x:c r="D63" s="107" t="n">
        <x:v>0</x:v>
      </x:c>
      <x:c r="E63" s="107" t="n">
        <x:v>0</x:v>
      </x:c>
      <x:c r="F63" s="107" t="n">
        <x:v>15.9</x:v>
      </x:c>
    </x:row>
    <x:row r="64" ht="17" customHeight="1">
      <x:c r="A64" s="9" t="str">
        <x:v>2023-12-01</x:v>
      </x:c>
      <x:c r="B64" s="9" t="str">
        <x:v>Actual</x:v>
      </x:c>
      <x:c r="C64" s="9" t="str">
        <x:v>Sales</x:v>
      </x:c>
      <x:c r="D64" s="107" t="n">
        <x:v>0</x:v>
      </x:c>
      <x:c r="E64" s="107" t="n">
        <x:v>0.1075</x:v>
      </x:c>
      <x:c r="F64" s="107" t="n">
        <x:v>14.1775</x:v>
      </x:c>
    </x:row>
    <x:row r="65" ht="17" customHeight="1">
      <x:c r="A65" s="9" t="str">
        <x:v>2023-12-01</x:v>
      </x:c>
      <x:c r="B65" s="9" t="str">
        <x:v>Actual</x:v>
      </x:c>
      <x:c r="C65" s="9" t="str">
        <x:v>Technology</x:v>
      </x:c>
      <x:c r="D65" s="107" t="n">
        <x:v>0</x:v>
      </x:c>
      <x:c r="E65" s="107" t="n">
        <x:v>0.16979167</x:v>
      </x:c>
      <x:c r="F65" s="107" t="n">
        <x:v>19.26145833</x:v>
      </x:c>
    </x:row>
    <x:row r="66" ht="17" customHeight="1">
      <x:c r="A66" s="9" t="str">
        <x:v>2024-01-01</x:v>
      </x:c>
      <x:c r="B66" s="9" t="str">
        <x:v>Actual</x:v>
      </x:c>
      <x:c r="C66" s="9" t="str">
        <x:v>Customer Success</x:v>
      </x:c>
      <x:c r="D66" s="107" t="n">
        <x:v>0</x:v>
      </x:c>
      <x:c r="E66" s="107" t="n">
        <x:v>0</x:v>
      </x:c>
      <x:c r="F66" s="107" t="n">
        <x:v>9.35</x:v>
      </x:c>
    </x:row>
    <x:row r="67" ht="17" customHeight="1">
      <x:c r="A67" s="9" t="str">
        <x:v>2024-01-01</x:v>
      </x:c>
      <x:c r="B67" s="9" t="str">
        <x:v>Actual</x:v>
      </x:c>
      <x:c r="C67" s="9" t="str">
        <x:v>Finance &amp; Corporate</x:v>
      </x:c>
      <x:c r="D67" s="107" t="n">
        <x:v>0</x:v>
      </x:c>
      <x:c r="E67" s="107" t="n">
        <x:v>0</x:v>
      </x:c>
      <x:c r="F67" s="107" t="n">
        <x:v>10.2</x:v>
      </x:c>
    </x:row>
    <x:row r="68" ht="17" customHeight="1">
      <x:c r="A68" s="9" t="str">
        <x:v>2024-01-01</x:v>
      </x:c>
      <x:c r="B68" s="9" t="str">
        <x:v>Actual</x:v>
      </x:c>
      <x:c r="C68" s="9" t="str">
        <x:v>Operations</x:v>
      </x:c>
      <x:c r="D68" s="107" t="n">
        <x:v>0</x:v>
      </x:c>
      <x:c r="E68" s="107" t="n">
        <x:v>0</x:v>
      </x:c>
      <x:c r="F68" s="107" t="n">
        <x:v>15.9</x:v>
      </x:c>
    </x:row>
    <x:row r="69" ht="17" customHeight="1">
      <x:c r="A69" s="9" t="str">
        <x:v>2024-01-01</x:v>
      </x:c>
      <x:c r="B69" s="9" t="str">
        <x:v>Actual</x:v>
      </x:c>
      <x:c r="C69" s="9" t="str">
        <x:v>Sales</x:v>
      </x:c>
      <x:c r="D69" s="107" t="n">
        <x:v>0</x:v>
      </x:c>
      <x:c r="E69" s="107" t="n">
        <x:v>0.1075</x:v>
      </x:c>
      <x:c r="F69" s="107" t="n">
        <x:v>14.07</x:v>
      </x:c>
    </x:row>
    <x:row r="70" ht="17" customHeight="1">
      <x:c r="A70" s="9" t="str">
        <x:v>2024-01-01</x:v>
      </x:c>
      <x:c r="B70" s="9" t="str">
        <x:v>Actual</x:v>
      </x:c>
      <x:c r="C70" s="9" t="str">
        <x:v>Technology</x:v>
      </x:c>
      <x:c r="D70" s="107" t="n">
        <x:v>1.75714286</x:v>
      </x:c>
      <x:c r="E70" s="107" t="n">
        <x:v>0.16979167</x:v>
      </x:c>
      <x:c r="F70" s="107" t="n">
        <x:v>19.091666670000002</x:v>
      </x:c>
    </x:row>
    <x:row r="71" ht="17" customHeight="1">
      <x:c r="A71" s="9" t="str">
        <x:v>2024-02-01</x:v>
      </x:c>
      <x:c r="B71" s="9" t="str">
        <x:v>Actual</x:v>
      </x:c>
      <x:c r="C71" s="9" t="str">
        <x:v>Customer Success</x:v>
      </x:c>
      <x:c r="D71" s="107" t="n">
        <x:v>0</x:v>
      </x:c>
      <x:c r="E71" s="107" t="n">
        <x:v>0</x:v>
      </x:c>
      <x:c r="F71" s="107" t="n">
        <x:v>9.35</x:v>
      </x:c>
    </x:row>
    <x:row r="72" ht="17" customHeight="1">
      <x:c r="A72" s="9" t="str">
        <x:v>2024-02-01</x:v>
      </x:c>
      <x:c r="B72" s="9" t="str">
        <x:v>Actual</x:v>
      </x:c>
      <x:c r="C72" s="9" t="str">
        <x:v>Finance &amp; Corporate</x:v>
      </x:c>
      <x:c r="D72" s="107" t="n">
        <x:v>0</x:v>
      </x:c>
      <x:c r="E72" s="107" t="n">
        <x:v>0</x:v>
      </x:c>
      <x:c r="F72" s="107" t="n">
        <x:v>10.2</x:v>
      </x:c>
    </x:row>
    <x:row r="73" ht="17" customHeight="1">
      <x:c r="A73" s="9" t="str">
        <x:v>2024-02-01</x:v>
      </x:c>
      <x:c r="B73" s="9" t="str">
        <x:v>Actual</x:v>
      </x:c>
      <x:c r="C73" s="9" t="str">
        <x:v>Operations</x:v>
      </x:c>
      <x:c r="D73" s="107" t="n">
        <x:v>0</x:v>
      </x:c>
      <x:c r="E73" s="107" t="n">
        <x:v>0</x:v>
      </x:c>
      <x:c r="F73" s="107" t="n">
        <x:v>15.9</x:v>
      </x:c>
    </x:row>
    <x:row r="74" ht="17" customHeight="1">
      <x:c r="A74" s="9" t="str">
        <x:v>2024-02-01</x:v>
      </x:c>
      <x:c r="B74" s="9" t="str">
        <x:v>Actual</x:v>
      </x:c>
      <x:c r="C74" s="9" t="str">
        <x:v>Sales</x:v>
      </x:c>
      <x:c r="D74" s="107" t="n">
        <x:v>0</x:v>
      </x:c>
      <x:c r="E74" s="107" t="n">
        <x:v>0.1075</x:v>
      </x:c>
      <x:c r="F74" s="107" t="n">
        <x:v>13.9625</x:v>
      </x:c>
    </x:row>
    <x:row r="75" ht="17" customHeight="1">
      <x:c r="A75" s="9" t="str">
        <x:v>2024-02-01</x:v>
      </x:c>
      <x:c r="B75" s="9" t="str">
        <x:v>Actual</x:v>
      </x:c>
      <x:c r="C75" s="9" t="str">
        <x:v>Technology</x:v>
      </x:c>
      <x:c r="D75" s="107" t="n">
        <x:v>1.75714286</x:v>
      </x:c>
      <x:c r="E75" s="107" t="n">
        <x:v>0.16979167</x:v>
      </x:c>
      <x:c r="F75" s="107" t="n">
        <x:v>18.921875</x:v>
      </x:c>
    </x:row>
    <x:row r="76" ht="17" customHeight="1">
      <x:c r="A76" s="9" t="str">
        <x:v>2024-03-01</x:v>
      </x:c>
      <x:c r="B76" s="9" t="str">
        <x:v>Actual</x:v>
      </x:c>
      <x:c r="C76" s="9" t="str">
        <x:v>Customer Success</x:v>
      </x:c>
      <x:c r="D76" s="107" t="n">
        <x:v>0</x:v>
      </x:c>
      <x:c r="E76" s="107" t="n">
        <x:v>0</x:v>
      </x:c>
      <x:c r="F76" s="107" t="n">
        <x:v>9.35</x:v>
      </x:c>
    </x:row>
    <x:row r="77" ht="17" customHeight="1">
      <x:c r="A77" s="9" t="str">
        <x:v>2024-03-01</x:v>
      </x:c>
      <x:c r="B77" s="9" t="str">
        <x:v>Actual</x:v>
      </x:c>
      <x:c r="C77" s="9" t="str">
        <x:v>Finance &amp; Corporate</x:v>
      </x:c>
      <x:c r="D77" s="107" t="n">
        <x:v>0</x:v>
      </x:c>
      <x:c r="E77" s="107" t="n">
        <x:v>0</x:v>
      </x:c>
      <x:c r="F77" s="107" t="n">
        <x:v>10.2</x:v>
      </x:c>
    </x:row>
    <x:row r="78" ht="17" customHeight="1">
      <x:c r="A78" s="9" t="str">
        <x:v>2024-03-01</x:v>
      </x:c>
      <x:c r="B78" s="9" t="str">
        <x:v>Actual</x:v>
      </x:c>
      <x:c r="C78" s="9" t="str">
        <x:v>Operations</x:v>
      </x:c>
      <x:c r="D78" s="107" t="n">
        <x:v>0</x:v>
      </x:c>
      <x:c r="E78" s="107" t="n">
        <x:v>0</x:v>
      </x:c>
      <x:c r="F78" s="107" t="n">
        <x:v>15.9</x:v>
      </x:c>
    </x:row>
    <x:row r="79" ht="17" customHeight="1">
      <x:c r="A79" s="9" t="str">
        <x:v>2024-03-01</x:v>
      </x:c>
      <x:c r="B79" s="9" t="str">
        <x:v>Actual</x:v>
      </x:c>
      <x:c r="C79" s="9" t="str">
        <x:v>Sales</x:v>
      </x:c>
      <x:c r="D79" s="107" t="n">
        <x:v>0</x:v>
      </x:c>
      <x:c r="E79" s="107" t="n">
        <x:v>0.1075</x:v>
      </x:c>
      <x:c r="F79" s="107" t="n">
        <x:v>13.855</x:v>
      </x:c>
    </x:row>
    <x:row r="80" ht="17" customHeight="1">
      <x:c r="A80" s="9" t="str">
        <x:v>2024-03-01</x:v>
      </x:c>
      <x:c r="B80" s="9" t="str">
        <x:v>Actual</x:v>
      </x:c>
      <x:c r="C80" s="9" t="str">
        <x:v>Technology</x:v>
      </x:c>
      <x:c r="D80" s="107" t="n">
        <x:v>1.75714286</x:v>
      </x:c>
      <x:c r="E80" s="107" t="n">
        <x:v>0.16979167</x:v>
      </x:c>
      <x:c r="F80" s="107" t="n">
        <x:v>18.752083329999998</x:v>
      </x:c>
    </x:row>
    <x:row r="81" ht="17" customHeight="1">
      <x:c r="A81" s="9" t="str">
        <x:v>2024-04-01</x:v>
      </x:c>
      <x:c r="B81" s="9" t="str">
        <x:v>Actual</x:v>
      </x:c>
      <x:c r="C81" s="9" t="str">
        <x:v>Customer Success</x:v>
      </x:c>
      <x:c r="D81" s="107" t="n">
        <x:v>0</x:v>
      </x:c>
      <x:c r="E81" s="107" t="n">
        <x:v>0</x:v>
      </x:c>
      <x:c r="F81" s="107" t="n">
        <x:v>9.35</x:v>
      </x:c>
    </x:row>
    <x:row r="82" ht="17" customHeight="1">
      <x:c r="A82" s="9" t="str">
        <x:v>2024-04-01</x:v>
      </x:c>
      <x:c r="B82" s="9" t="str">
        <x:v>Actual</x:v>
      </x:c>
      <x:c r="C82" s="9" t="str">
        <x:v>Finance &amp; Corporate</x:v>
      </x:c>
      <x:c r="D82" s="107" t="n">
        <x:v>0</x:v>
      </x:c>
      <x:c r="E82" s="107" t="n">
        <x:v>0</x:v>
      </x:c>
      <x:c r="F82" s="107" t="n">
        <x:v>10.2</x:v>
      </x:c>
    </x:row>
    <x:row r="83" ht="17" customHeight="1">
      <x:c r="A83" s="9" t="str">
        <x:v>2024-04-01</x:v>
      </x:c>
      <x:c r="B83" s="9" t="str">
        <x:v>Actual</x:v>
      </x:c>
      <x:c r="C83" s="9" t="str">
        <x:v>Operations</x:v>
      </x:c>
      <x:c r="D83" s="107" t="n">
        <x:v>1.9875</x:v>
      </x:c>
      <x:c r="E83" s="107" t="n">
        <x:v>0</x:v>
      </x:c>
      <x:c r="F83" s="107" t="n">
        <x:v>15.9</x:v>
      </x:c>
    </x:row>
    <x:row r="84" ht="17" customHeight="1">
      <x:c r="A84" s="9" t="str">
        <x:v>2024-04-01</x:v>
      </x:c>
      <x:c r="B84" s="9" t="str">
        <x:v>Actual</x:v>
      </x:c>
      <x:c r="C84" s="9" t="str">
        <x:v>Sales</x:v>
      </x:c>
      <x:c r="D84" s="107" t="n">
        <x:v>0</x:v>
      </x:c>
      <x:c r="E84" s="107" t="n">
        <x:v>0.1075</x:v>
      </x:c>
      <x:c r="F84" s="107" t="n">
        <x:v>13.7475</x:v>
      </x:c>
    </x:row>
    <x:row r="85" ht="17" customHeight="1">
      <x:c r="A85" s="9" t="str">
        <x:v>2024-04-01</x:v>
      </x:c>
      <x:c r="B85" s="9" t="str">
        <x:v>Actual</x:v>
      </x:c>
      <x:c r="C85" s="9" t="str">
        <x:v>Technology</x:v>
      </x:c>
      <x:c r="D85" s="107" t="n">
        <x:v>1.75714286</x:v>
      </x:c>
      <x:c r="E85" s="107" t="n">
        <x:v>0.16979167</x:v>
      </x:c>
      <x:c r="F85" s="107" t="n">
        <x:v>18.58229167</x:v>
      </x:c>
    </x:row>
    <x:row r="86" ht="17" customHeight="1">
      <x:c r="A86" s="9" t="str">
        <x:v>2024-05-01</x:v>
      </x:c>
      <x:c r="B86" s="9" t="str">
        <x:v>Actual</x:v>
      </x:c>
      <x:c r="C86" s="9" t="str">
        <x:v>Customer Success</x:v>
      </x:c>
      <x:c r="D86" s="107" t="n">
        <x:v>0</x:v>
      </x:c>
      <x:c r="E86" s="107" t="n">
        <x:v>0</x:v>
      </x:c>
      <x:c r="F86" s="107" t="n">
        <x:v>9.35</x:v>
      </x:c>
    </x:row>
    <x:row r="87" ht="17" customHeight="1">
      <x:c r="A87" s="9" t="str">
        <x:v>2024-05-01</x:v>
      </x:c>
      <x:c r="B87" s="9" t="str">
        <x:v>Actual</x:v>
      </x:c>
      <x:c r="C87" s="9" t="str">
        <x:v>Finance &amp; Corporate</x:v>
      </x:c>
      <x:c r="D87" s="107" t="n">
        <x:v>0</x:v>
      </x:c>
      <x:c r="E87" s="107" t="n">
        <x:v>0</x:v>
      </x:c>
      <x:c r="F87" s="107" t="n">
        <x:v>10.2</x:v>
      </x:c>
    </x:row>
    <x:row r="88" ht="17" customHeight="1">
      <x:c r="A88" s="9" t="str">
        <x:v>2024-05-01</x:v>
      </x:c>
      <x:c r="B88" s="9" t="str">
        <x:v>Actual</x:v>
      </x:c>
      <x:c r="C88" s="9" t="str">
        <x:v>Operations</x:v>
      </x:c>
      <x:c r="D88" s="107" t="n">
        <x:v>1.9875</x:v>
      </x:c>
      <x:c r="E88" s="107" t="n">
        <x:v>0</x:v>
      </x:c>
      <x:c r="F88" s="107" t="n">
        <x:v>15.9</x:v>
      </x:c>
    </x:row>
    <x:row r="89" ht="17" customHeight="1">
      <x:c r="A89" s="9" t="str">
        <x:v>2024-05-01</x:v>
      </x:c>
      <x:c r="B89" s="9" t="str">
        <x:v>Actual</x:v>
      </x:c>
      <x:c r="C89" s="9" t="str">
        <x:v>Sales</x:v>
      </x:c>
      <x:c r="D89" s="107" t="n">
        <x:v>0</x:v>
      </x:c>
      <x:c r="E89" s="107" t="n">
        <x:v>0.1075</x:v>
      </x:c>
      <x:c r="F89" s="107" t="n">
        <x:v>13.64</x:v>
      </x:c>
    </x:row>
    <x:row r="90" ht="17" customHeight="1">
      <x:c r="A90" s="9" t="str">
        <x:v>2024-05-01</x:v>
      </x:c>
      <x:c r="B90" s="9" t="str">
        <x:v>Actual</x:v>
      </x:c>
      <x:c r="C90" s="9" t="str">
        <x:v>Technology</x:v>
      </x:c>
      <x:c r="D90" s="107" t="n">
        <x:v>1.75714286</x:v>
      </x:c>
      <x:c r="E90" s="107" t="n">
        <x:v>0.16979167</x:v>
      </x:c>
      <x:c r="F90" s="107" t="n">
        <x:v>18.4125</x:v>
      </x:c>
    </x:row>
    <x:row r="91" ht="17" customHeight="1">
      <x:c r="A91" s="9" t="str">
        <x:v>2024-06-01</x:v>
      </x:c>
      <x:c r="B91" s="9" t="str">
        <x:v>Actual</x:v>
      </x:c>
      <x:c r="C91" s="9" t="str">
        <x:v>Customer Success</x:v>
      </x:c>
      <x:c r="D91" s="107" t="n">
        <x:v>0</x:v>
      </x:c>
      <x:c r="E91" s="107" t="n">
        <x:v>0</x:v>
      </x:c>
      <x:c r="F91" s="107" t="n">
        <x:v>9.35</x:v>
      </x:c>
    </x:row>
    <x:row r="92" ht="17" customHeight="1">
      <x:c r="A92" s="9" t="str">
        <x:v>2024-06-01</x:v>
      </x:c>
      <x:c r="B92" s="9" t="str">
        <x:v>Actual</x:v>
      </x:c>
      <x:c r="C92" s="9" t="str">
        <x:v>Finance &amp; Corporate</x:v>
      </x:c>
      <x:c r="D92" s="107" t="n">
        <x:v>0</x:v>
      </x:c>
      <x:c r="E92" s="107" t="n">
        <x:v>0</x:v>
      </x:c>
      <x:c r="F92" s="107" t="n">
        <x:v>10.2</x:v>
      </x:c>
    </x:row>
    <x:row r="93" ht="17" customHeight="1">
      <x:c r="A93" s="9" t="str">
        <x:v>2024-06-01</x:v>
      </x:c>
      <x:c r="B93" s="9" t="str">
        <x:v>Actual</x:v>
      </x:c>
      <x:c r="C93" s="9" t="str">
        <x:v>Operations</x:v>
      </x:c>
      <x:c r="D93" s="107" t="n">
        <x:v>1.9875</x:v>
      </x:c>
      <x:c r="E93" s="107" t="n">
        <x:v>0</x:v>
      </x:c>
      <x:c r="F93" s="107" t="n">
        <x:v>15.9</x:v>
      </x:c>
    </x:row>
    <x:row r="94" ht="17" customHeight="1">
      <x:c r="A94" s="9" t="str">
        <x:v>2024-06-01</x:v>
      </x:c>
      <x:c r="B94" s="9" t="str">
        <x:v>Actual</x:v>
      </x:c>
      <x:c r="C94" s="9" t="str">
        <x:v>Sales</x:v>
      </x:c>
      <x:c r="D94" s="107" t="n">
        <x:v>0</x:v>
      </x:c>
      <x:c r="E94" s="107" t="n">
        <x:v>0.1075</x:v>
      </x:c>
      <x:c r="F94" s="107" t="n">
        <x:v>13.5325</x:v>
      </x:c>
    </x:row>
    <x:row r="95" ht="17" customHeight="1">
      <x:c r="A95" s="9" t="str">
        <x:v>2024-06-01</x:v>
      </x:c>
      <x:c r="B95" s="9" t="str">
        <x:v>Actual</x:v>
      </x:c>
      <x:c r="C95" s="9" t="str">
        <x:v>Technology</x:v>
      </x:c>
      <x:c r="D95" s="107" t="n">
        <x:v>1.75714286</x:v>
      </x:c>
      <x:c r="E95" s="107" t="n">
        <x:v>0.16979167</x:v>
      </x:c>
      <x:c r="F95" s="107" t="n">
        <x:v>18.24270833</x:v>
      </x:c>
    </x:row>
    <x:row r="96" ht="17" customHeight="1">
      <x:c r="A96" s="9" t="str">
        <x:v>2024-07-01</x:v>
      </x:c>
      <x:c r="B96" s="9" t="str">
        <x:v>Actual</x:v>
      </x:c>
      <x:c r="C96" s="9" t="str">
        <x:v>Customer Success</x:v>
      </x:c>
      <x:c r="D96" s="107" t="n">
        <x:v>0</x:v>
      </x:c>
      <x:c r="E96" s="107" t="n">
        <x:v>0</x:v>
      </x:c>
      <x:c r="F96" s="107" t="n">
        <x:v>9.35</x:v>
      </x:c>
    </x:row>
    <x:row r="97" ht="17" customHeight="1">
      <x:c r="A97" s="9" t="str">
        <x:v>2024-07-01</x:v>
      </x:c>
      <x:c r="B97" s="9" t="str">
        <x:v>Actual</x:v>
      </x:c>
      <x:c r="C97" s="9" t="str">
        <x:v>Finance &amp; Corporate</x:v>
      </x:c>
      <x:c r="D97" s="107" t="n">
        <x:v>0</x:v>
      </x:c>
      <x:c r="E97" s="107" t="n">
        <x:v>0</x:v>
      </x:c>
      <x:c r="F97" s="107" t="n">
        <x:v>10.2</x:v>
      </x:c>
    </x:row>
    <x:row r="98" ht="17" customHeight="1">
      <x:c r="A98" s="9" t="str">
        <x:v>2024-07-01</x:v>
      </x:c>
      <x:c r="B98" s="9" t="str">
        <x:v>Actual</x:v>
      </x:c>
      <x:c r="C98" s="9" t="str">
        <x:v>Operations</x:v>
      </x:c>
      <x:c r="D98" s="107" t="n">
        <x:v>1.9875</x:v>
      </x:c>
      <x:c r="E98" s="107" t="n">
        <x:v>0</x:v>
      </x:c>
      <x:c r="F98" s="107" t="n">
        <x:v>15.9</x:v>
      </x:c>
    </x:row>
    <x:row r="99" ht="17" customHeight="1">
      <x:c r="A99" s="9" t="str">
        <x:v>2024-07-01</x:v>
      </x:c>
      <x:c r="B99" s="9" t="str">
        <x:v>Actual</x:v>
      </x:c>
      <x:c r="C99" s="9" t="str">
        <x:v>Sales</x:v>
      </x:c>
      <x:c r="D99" s="107" t="n">
        <x:v>0</x:v>
      </x:c>
      <x:c r="E99" s="107" t="n">
        <x:v>0.1075</x:v>
      </x:c>
      <x:c r="F99" s="107" t="n">
        <x:v>13.425</x:v>
      </x:c>
    </x:row>
    <x:row r="100" ht="17" customHeight="1">
      <x:c r="A100" s="9" t="str">
        <x:v>2024-07-01</x:v>
      </x:c>
      <x:c r="B100" s="9" t="str">
        <x:v>Actual</x:v>
      </x:c>
      <x:c r="C100" s="9" t="str">
        <x:v>Technology</x:v>
      </x:c>
      <x:c r="D100" s="107" t="n">
        <x:v>1.75714286</x:v>
      </x:c>
      <x:c r="E100" s="107" t="n">
        <x:v>0.42604167000000004</x:v>
      </x:c>
      <x:c r="F100" s="107" t="n">
        <x:v>17.81666667</x:v>
      </x:c>
    </x:row>
    <x:row r="101" ht="17" customHeight="1">
      <x:c r="A101" s="9" t="str">
        <x:v>2024-08-01</x:v>
      </x:c>
      <x:c r="B101" s="9" t="str">
        <x:v>Actual</x:v>
      </x:c>
      <x:c r="C101" s="9" t="str">
        <x:v>Customer Success</x:v>
      </x:c>
      <x:c r="D101" s="107" t="n">
        <x:v>0</x:v>
      </x:c>
      <x:c r="E101" s="107" t="n">
        <x:v>0</x:v>
      </x:c>
      <x:c r="F101" s="107" t="n">
        <x:v>9.35</x:v>
      </x:c>
    </x:row>
    <x:row r="102" ht="17" customHeight="1">
      <x:c r="A102" s="9" t="str">
        <x:v>2024-08-01</x:v>
      </x:c>
      <x:c r="B102" s="9" t="str">
        <x:v>Actual</x:v>
      </x:c>
      <x:c r="C102" s="9" t="str">
        <x:v>Finance &amp; Corporate</x:v>
      </x:c>
      <x:c r="D102" s="107" t="n">
        <x:v>0</x:v>
      </x:c>
      <x:c r="E102" s="107" t="n">
        <x:v>0</x:v>
      </x:c>
      <x:c r="F102" s="107" t="n">
        <x:v>10.2</x:v>
      </x:c>
    </x:row>
    <x:row r="103" ht="17" customHeight="1">
      <x:c r="A103" s="9" t="str">
        <x:v>2024-08-01</x:v>
      </x:c>
      <x:c r="B103" s="9" t="str">
        <x:v>Actual</x:v>
      </x:c>
      <x:c r="C103" s="9" t="str">
        <x:v>Operations</x:v>
      </x:c>
      <x:c r="D103" s="107" t="n">
        <x:v>1.9875</x:v>
      </x:c>
      <x:c r="E103" s="107" t="n">
        <x:v>0</x:v>
      </x:c>
      <x:c r="F103" s="107" t="n">
        <x:v>15.9</x:v>
      </x:c>
    </x:row>
    <x:row r="104" ht="17" customHeight="1">
      <x:c r="A104" s="9" t="str">
        <x:v>2024-08-01</x:v>
      </x:c>
      <x:c r="B104" s="9" t="str">
        <x:v>Actual</x:v>
      </x:c>
      <x:c r="C104" s="9" t="str">
        <x:v>Sales</x:v>
      </x:c>
      <x:c r="D104" s="107" t="n">
        <x:v>0</x:v>
      </x:c>
      <x:c r="E104" s="107" t="n">
        <x:v>0.1075</x:v>
      </x:c>
      <x:c r="F104" s="107" t="n">
        <x:v>13.3175</x:v>
      </x:c>
    </x:row>
    <x:row r="105" ht="17" customHeight="1">
      <x:c r="A105" s="9" t="str">
        <x:v>2024-08-01</x:v>
      </x:c>
      <x:c r="B105" s="9" t="str">
        <x:v>Actual</x:v>
      </x:c>
      <x:c r="C105" s="9" t="str">
        <x:v>Technology</x:v>
      </x:c>
      <x:c r="D105" s="107" t="n">
        <x:v>0</x:v>
      </x:c>
      <x:c r="E105" s="107" t="n">
        <x:v>0.42604167000000004</x:v>
      </x:c>
      <x:c r="F105" s="107" t="n">
        <x:v>17.390625</x:v>
      </x:c>
    </x:row>
    <x:row r="106" ht="17" customHeight="1">
      <x:c r="A106" s="9" t="str">
        <x:v>2024-09-01</x:v>
      </x:c>
      <x:c r="B106" s="9" t="str">
        <x:v>Actual</x:v>
      </x:c>
      <x:c r="C106" s="9" t="str">
        <x:v>Customer Success</x:v>
      </x:c>
      <x:c r="D106" s="107" t="n">
        <x:v>0</x:v>
      </x:c>
      <x:c r="E106" s="107" t="n">
        <x:v>0</x:v>
      </x:c>
      <x:c r="F106" s="107" t="n">
        <x:v>9.35</x:v>
      </x:c>
    </x:row>
    <x:row r="107" ht="17" customHeight="1">
      <x:c r="A107" s="9" t="str">
        <x:v>2024-09-01</x:v>
      </x:c>
      <x:c r="B107" s="9" t="str">
        <x:v>Actual</x:v>
      </x:c>
      <x:c r="C107" s="9" t="str">
        <x:v>Finance &amp; Corporate</x:v>
      </x:c>
      <x:c r="D107" s="107" t="n">
        <x:v>0</x:v>
      </x:c>
      <x:c r="E107" s="107" t="n">
        <x:v>0</x:v>
      </x:c>
      <x:c r="F107" s="107" t="n">
        <x:v>10.2</x:v>
      </x:c>
    </x:row>
    <x:row r="108" ht="17" customHeight="1">
      <x:c r="A108" s="9" t="str">
        <x:v>2024-09-01</x:v>
      </x:c>
      <x:c r="B108" s="9" t="str">
        <x:v>Actual</x:v>
      </x:c>
      <x:c r="C108" s="9" t="str">
        <x:v>Operations</x:v>
      </x:c>
      <x:c r="D108" s="107" t="n">
        <x:v>1.9875</x:v>
      </x:c>
      <x:c r="E108" s="107" t="n">
        <x:v>0</x:v>
      </x:c>
      <x:c r="F108" s="107" t="n">
        <x:v>15.9</x:v>
      </x:c>
    </x:row>
    <x:row r="109" ht="17" customHeight="1">
      <x:c r="A109" s="9" t="str">
        <x:v>2024-09-01</x:v>
      </x:c>
      <x:c r="B109" s="9" t="str">
        <x:v>Actual</x:v>
      </x:c>
      <x:c r="C109" s="9" t="str">
        <x:v>Sales</x:v>
      </x:c>
      <x:c r="D109" s="107" t="n">
        <x:v>0</x:v>
      </x:c>
      <x:c r="E109" s="107" t="n">
        <x:v>0.1075</x:v>
      </x:c>
      <x:c r="F109" s="107" t="n">
        <x:v>13.21</x:v>
      </x:c>
    </x:row>
    <x:row r="110" ht="17" customHeight="1">
      <x:c r="A110" s="9" t="str">
        <x:v>2024-09-01</x:v>
      </x:c>
      <x:c r="B110" s="9" t="str">
        <x:v>Actual</x:v>
      </x:c>
      <x:c r="C110" s="9" t="str">
        <x:v>Technology</x:v>
      </x:c>
      <x:c r="D110" s="107" t="n">
        <x:v>0</x:v>
      </x:c>
      <x:c r="E110" s="107" t="n">
        <x:v>0.42604167000000004</x:v>
      </x:c>
      <x:c r="F110" s="107" t="n">
        <x:v>16.96458333</x:v>
      </x:c>
    </x:row>
    <x:row r="111" ht="17" customHeight="1">
      <x:c r="A111" s="9" t="str">
        <x:v>2024-10-01</x:v>
      </x:c>
      <x:c r="B111" s="9" t="str">
        <x:v>Actual</x:v>
      </x:c>
      <x:c r="C111" s="9" t="str">
        <x:v>Customer Success</x:v>
      </x:c>
      <x:c r="D111" s="107" t="n">
        <x:v>0</x:v>
      </x:c>
      <x:c r="E111" s="107" t="n">
        <x:v>0</x:v>
      </x:c>
      <x:c r="F111" s="107" t="n">
        <x:v>9.35</x:v>
      </x:c>
    </x:row>
    <x:row r="112" ht="17" customHeight="1">
      <x:c r="A112" s="9" t="str">
        <x:v>2024-10-01</x:v>
      </x:c>
      <x:c r="B112" s="9" t="str">
        <x:v>Actual</x:v>
      </x:c>
      <x:c r="C112" s="9" t="str">
        <x:v>Finance &amp; Corporate</x:v>
      </x:c>
      <x:c r="D112" s="107" t="n">
        <x:v>0</x:v>
      </x:c>
      <x:c r="E112" s="107" t="n">
        <x:v>0</x:v>
      </x:c>
      <x:c r="F112" s="107" t="n">
        <x:v>10.2</x:v>
      </x:c>
    </x:row>
    <x:row r="113" ht="17" customHeight="1">
      <x:c r="A113" s="9" t="str">
        <x:v>2024-10-01</x:v>
      </x:c>
      <x:c r="B113" s="9" t="str">
        <x:v>Actual</x:v>
      </x:c>
      <x:c r="C113" s="9" t="str">
        <x:v>Operations</x:v>
      </x:c>
      <x:c r="D113" s="107" t="n">
        <x:v>1.9875</x:v>
      </x:c>
      <x:c r="E113" s="107" t="n">
        <x:v>0</x:v>
      </x:c>
      <x:c r="F113" s="107" t="n">
        <x:v>15.9</x:v>
      </x:c>
    </x:row>
    <x:row r="114" ht="17" customHeight="1">
      <x:c r="A114" s="9" t="str">
        <x:v>2024-10-01</x:v>
      </x:c>
      <x:c r="B114" s="9" t="str">
        <x:v>Actual</x:v>
      </x:c>
      <x:c r="C114" s="9" t="str">
        <x:v>Sales</x:v>
      </x:c>
      <x:c r="D114" s="107" t="n">
        <x:v>0</x:v>
      </x:c>
      <x:c r="E114" s="107" t="n">
        <x:v>0.1075</x:v>
      </x:c>
      <x:c r="F114" s="107" t="n">
        <x:v>13.1025</x:v>
      </x:c>
    </x:row>
    <x:row r="115" ht="17" customHeight="1">
      <x:c r="A115" s="9" t="str">
        <x:v>2024-10-01</x:v>
      </x:c>
      <x:c r="B115" s="9" t="str">
        <x:v>Actual</x:v>
      </x:c>
      <x:c r="C115" s="9" t="str">
        <x:v>Technology</x:v>
      </x:c>
      <x:c r="D115" s="107" t="n">
        <x:v>0</x:v>
      </x:c>
      <x:c r="E115" s="107" t="n">
        <x:v>0.42604167000000004</x:v>
      </x:c>
      <x:c r="F115" s="107" t="n">
        <x:v>16.53854167</x:v>
      </x:c>
    </x:row>
    <x:row r="116" ht="17" customHeight="1">
      <x:c r="A116" s="9" t="str">
        <x:v>2024-11-01</x:v>
      </x:c>
      <x:c r="B116" s="9" t="str">
        <x:v>Actual</x:v>
      </x:c>
      <x:c r="C116" s="9" t="str">
        <x:v>Customer Success</x:v>
      </x:c>
      <x:c r="D116" s="107" t="n">
        <x:v>0</x:v>
      </x:c>
      <x:c r="E116" s="107" t="n">
        <x:v>0</x:v>
      </x:c>
      <x:c r="F116" s="107" t="n">
        <x:v>9.35</x:v>
      </x:c>
    </x:row>
    <x:row r="117" ht="17" customHeight="1">
      <x:c r="A117" s="9" t="str">
        <x:v>2024-11-01</x:v>
      </x:c>
      <x:c r="B117" s="9" t="str">
        <x:v>Actual</x:v>
      </x:c>
      <x:c r="C117" s="9" t="str">
        <x:v>Finance &amp; Corporate</x:v>
      </x:c>
      <x:c r="D117" s="107" t="n">
        <x:v>0</x:v>
      </x:c>
      <x:c r="E117" s="107" t="n">
        <x:v>0</x:v>
      </x:c>
      <x:c r="F117" s="107" t="n">
        <x:v>10.2</x:v>
      </x:c>
    </x:row>
    <x:row r="118" ht="17" customHeight="1">
      <x:c r="A118" s="9" t="str">
        <x:v>2024-11-01</x:v>
      </x:c>
      <x:c r="B118" s="9" t="str">
        <x:v>Actual</x:v>
      </x:c>
      <x:c r="C118" s="9" t="str">
        <x:v>Operations</x:v>
      </x:c>
      <x:c r="D118" s="107" t="n">
        <x:v>1.9875</x:v>
      </x:c>
      <x:c r="E118" s="107" t="n">
        <x:v>0.22083333</x:v>
      </x:c>
      <x:c r="F118" s="107" t="n">
        <x:v>15.67916667</x:v>
      </x:c>
    </x:row>
    <x:row r="119" ht="17" customHeight="1">
      <x:c r="A119" s="9" t="str">
        <x:v>2024-11-01</x:v>
      </x:c>
      <x:c r="B119" s="9" t="str">
        <x:v>Actual</x:v>
      </x:c>
      <x:c r="C119" s="9" t="str">
        <x:v>Sales</x:v>
      </x:c>
      <x:c r="D119" s="107" t="n">
        <x:v>0</x:v>
      </x:c>
      <x:c r="E119" s="107" t="n">
        <x:v>0.1075</x:v>
      </x:c>
      <x:c r="F119" s="107" t="n">
        <x:v>12.995</x:v>
      </x:c>
    </x:row>
    <x:row r="120" ht="17" customHeight="1">
      <x:c r="A120" s="9" t="str">
        <x:v>2024-11-01</x:v>
      </x:c>
      <x:c r="B120" s="9" t="str">
        <x:v>Actual</x:v>
      </x:c>
      <x:c r="C120" s="9" t="str">
        <x:v>Technology</x:v>
      </x:c>
      <x:c r="D120" s="107" t="n">
        <x:v>0</x:v>
      </x:c>
      <x:c r="E120" s="107" t="n">
        <x:v>0.42604167000000004</x:v>
      </x:c>
      <x:c r="F120" s="107" t="n">
        <x:v>16.1125</x:v>
      </x:c>
    </x:row>
    <x:row r="121" ht="17" customHeight="1">
      <x:c r="A121" s="9" t="str">
        <x:v>2024-12-01</x:v>
      </x:c>
      <x:c r="B121" s="9" t="str">
        <x:v>Actual</x:v>
      </x:c>
      <x:c r="C121" s="9" t="str">
        <x:v>Customer Success</x:v>
      </x:c>
      <x:c r="D121" s="107" t="n">
        <x:v>0</x:v>
      </x:c>
      <x:c r="E121" s="107" t="n">
        <x:v>0</x:v>
      </x:c>
      <x:c r="F121" s="107" t="n">
        <x:v>9.35</x:v>
      </x:c>
    </x:row>
    <x:row r="122" ht="17" customHeight="1">
      <x:c r="A122" s="9" t="str">
        <x:v>2024-12-01</x:v>
      </x:c>
      <x:c r="B122" s="9" t="str">
        <x:v>Actual</x:v>
      </x:c>
      <x:c r="C122" s="9" t="str">
        <x:v>Finance &amp; Corporate</x:v>
      </x:c>
      <x:c r="D122" s="107" t="n">
        <x:v>0</x:v>
      </x:c>
      <x:c r="E122" s="107" t="n">
        <x:v>0</x:v>
      </x:c>
      <x:c r="F122" s="107" t="n">
        <x:v>10.2</x:v>
      </x:c>
    </x:row>
    <x:row r="123" ht="17" customHeight="1">
      <x:c r="A123" s="9" t="str">
        <x:v>2024-12-01</x:v>
      </x:c>
      <x:c r="B123" s="9" t="str">
        <x:v>Actual</x:v>
      </x:c>
      <x:c r="C123" s="9" t="str">
        <x:v>Operations</x:v>
      </x:c>
      <x:c r="D123" s="107" t="n">
        <x:v>0</x:v>
      </x:c>
      <x:c r="E123" s="107" t="n">
        <x:v>0.22083333</x:v>
      </x:c>
      <x:c r="F123" s="107" t="n">
        <x:v>15.45833333</x:v>
      </x:c>
    </x:row>
    <x:row r="124" ht="17" customHeight="1">
      <x:c r="A124" s="9" t="str">
        <x:v>2024-12-01</x:v>
      </x:c>
      <x:c r="B124" s="9" t="str">
        <x:v>Actual</x:v>
      </x:c>
      <x:c r="C124" s="9" t="str">
        <x:v>Sales</x:v>
      </x:c>
      <x:c r="D124" s="107" t="n">
        <x:v>0</x:v>
      </x:c>
      <x:c r="E124" s="107" t="n">
        <x:v>0.1075</x:v>
      </x:c>
      <x:c r="F124" s="107" t="n">
        <x:v>12.8875</x:v>
      </x:c>
    </x:row>
    <x:row r="125" ht="17" customHeight="1">
      <x:c r="A125" s="9" t="str">
        <x:v>2024-12-01</x:v>
      </x:c>
      <x:c r="B125" s="9" t="str">
        <x:v>Actual</x:v>
      </x:c>
      <x:c r="C125" s="9" t="str">
        <x:v>Technology</x:v>
      </x:c>
      <x:c r="D125" s="107" t="n">
        <x:v>0</x:v>
      </x:c>
      <x:c r="E125" s="107" t="n">
        <x:v>0.42604167000000004</x:v>
      </x:c>
      <x:c r="F125" s="107" t="n">
        <x:v>15.68645833</x:v>
      </x:c>
    </x:row>
    <x:row r="126" ht="17" customHeight="1">
      <x:c r="A126" s="9" t="str">
        <x:v>2025-01-01</x:v>
      </x:c>
      <x:c r="B126" s="9" t="str">
        <x:v>Actual</x:v>
      </x:c>
      <x:c r="C126" s="9" t="str">
        <x:v>Customer Success</x:v>
      </x:c>
      <x:c r="D126" s="107" t="n">
        <x:v>1.5583333300000002</x:v>
      </x:c>
      <x:c r="E126" s="107" t="n">
        <x:v>0</x:v>
      </x:c>
      <x:c r="F126" s="107" t="n">
        <x:v>9.35</x:v>
      </x:c>
    </x:row>
    <x:row r="127" ht="17" customHeight="1">
      <x:c r="A127" s="9" t="str">
        <x:v>2025-01-01</x:v>
      </x:c>
      <x:c r="B127" s="9" t="str">
        <x:v>Actual</x:v>
      </x:c>
      <x:c r="C127" s="9" t="str">
        <x:v>Finance &amp; Corporate</x:v>
      </x:c>
      <x:c r="D127" s="107" t="n">
        <x:v>0</x:v>
      </x:c>
      <x:c r="E127" s="107" t="n">
        <x:v>0</x:v>
      </x:c>
      <x:c r="F127" s="107" t="n">
        <x:v>10.2</x:v>
      </x:c>
    </x:row>
    <x:row r="128" ht="17" customHeight="1">
      <x:c r="A128" s="9" t="str">
        <x:v>2025-01-01</x:v>
      </x:c>
      <x:c r="B128" s="9" t="str">
        <x:v>Actual</x:v>
      </x:c>
      <x:c r="C128" s="9" t="str">
        <x:v>Operations</x:v>
      </x:c>
      <x:c r="D128" s="107" t="n">
        <x:v>0</x:v>
      </x:c>
      <x:c r="E128" s="107" t="n">
        <x:v>0.22083333</x:v>
      </x:c>
      <x:c r="F128" s="107" t="n">
        <x:v>15.2375</x:v>
      </x:c>
    </x:row>
    <x:row r="129" ht="17" customHeight="1">
      <x:c r="A129" s="9" t="str">
        <x:v>2025-01-01</x:v>
      </x:c>
      <x:c r="B129" s="9" t="str">
        <x:v>Actual</x:v>
      </x:c>
      <x:c r="C129" s="9" t="str">
        <x:v>Sales</x:v>
      </x:c>
      <x:c r="D129" s="107" t="n">
        <x:v>0</x:v>
      </x:c>
      <x:c r="E129" s="107" t="n">
        <x:v>0.1075</x:v>
      </x:c>
      <x:c r="F129" s="107" t="n">
        <x:v>12.78</x:v>
      </x:c>
    </x:row>
    <x:row r="130" ht="17" customHeight="1">
      <x:c r="A130" s="9" t="str">
        <x:v>2025-01-01</x:v>
      </x:c>
      <x:c r="B130" s="9" t="str">
        <x:v>Actual</x:v>
      </x:c>
      <x:c r="C130" s="9" t="str">
        <x:v>Technology</x:v>
      </x:c>
      <x:c r="D130" s="107" t="n">
        <x:v>0</x:v>
      </x:c>
      <x:c r="E130" s="107" t="n">
        <x:v>0.42604167000000004</x:v>
      </x:c>
      <x:c r="F130" s="107" t="n">
        <x:v>15.26041667</x:v>
      </x:c>
    </x:row>
    <x:row r="131" ht="17" customHeight="1">
      <x:c r="A131" s="9" t="str">
        <x:v>2025-02-01</x:v>
      </x:c>
      <x:c r="B131" s="9" t="str">
        <x:v>Actual</x:v>
      </x:c>
      <x:c r="C131" s="9" t="str">
        <x:v>Customer Success</x:v>
      </x:c>
      <x:c r="D131" s="107" t="n">
        <x:v>1.5583333300000002</x:v>
      </x:c>
      <x:c r="E131" s="107" t="n">
        <x:v>0</x:v>
      </x:c>
      <x:c r="F131" s="107" t="n">
        <x:v>9.35</x:v>
      </x:c>
    </x:row>
    <x:row r="132" ht="17" customHeight="1">
      <x:c r="A132" s="9" t="str">
        <x:v>2025-02-01</x:v>
      </x:c>
      <x:c r="B132" s="9" t="str">
        <x:v>Actual</x:v>
      </x:c>
      <x:c r="C132" s="9" t="str">
        <x:v>Finance &amp; Corporate</x:v>
      </x:c>
      <x:c r="D132" s="107" t="n">
        <x:v>0</x:v>
      </x:c>
      <x:c r="E132" s="107" t="n">
        <x:v>0</x:v>
      </x:c>
      <x:c r="F132" s="107" t="n">
        <x:v>10.2</x:v>
      </x:c>
    </x:row>
    <x:row r="133" ht="17" customHeight="1">
      <x:c r="A133" s="9" t="str">
        <x:v>2025-02-01</x:v>
      </x:c>
      <x:c r="B133" s="9" t="str">
        <x:v>Actual</x:v>
      </x:c>
      <x:c r="C133" s="9" t="str">
        <x:v>Operations</x:v>
      </x:c>
      <x:c r="D133" s="107" t="n">
        <x:v>0</x:v>
      </x:c>
      <x:c r="E133" s="107" t="n">
        <x:v>0.22083333</x:v>
      </x:c>
      <x:c r="F133" s="107" t="n">
        <x:v>15.01666667</x:v>
      </x:c>
    </x:row>
    <x:row r="134" ht="17" customHeight="1">
      <x:c r="A134" s="9" t="str">
        <x:v>2025-02-01</x:v>
      </x:c>
      <x:c r="B134" s="9" t="str">
        <x:v>Actual</x:v>
      </x:c>
      <x:c r="C134" s="9" t="str">
        <x:v>Sales</x:v>
      </x:c>
      <x:c r="D134" s="107" t="n">
        <x:v>0</x:v>
      </x:c>
      <x:c r="E134" s="107" t="n">
        <x:v>0.1075</x:v>
      </x:c>
      <x:c r="F134" s="107" t="n">
        <x:v>12.6725</x:v>
      </x:c>
    </x:row>
    <x:row r="135" ht="17" customHeight="1">
      <x:c r="A135" s="9" t="str">
        <x:v>2025-02-01</x:v>
      </x:c>
      <x:c r="B135" s="9" t="str">
        <x:v>Actual</x:v>
      </x:c>
      <x:c r="C135" s="9" t="str">
        <x:v>Technology</x:v>
      </x:c>
      <x:c r="D135" s="107" t="n">
        <x:v>0</x:v>
      </x:c>
      <x:c r="E135" s="107" t="n">
        <x:v>0.42604167000000004</x:v>
      </x:c>
      <x:c r="F135" s="107" t="n">
        <x:v>14.834375</x:v>
      </x:c>
    </x:row>
    <x:row r="136" ht="17" customHeight="1">
      <x:c r="A136" s="9" t="str">
        <x:v>2025-03-01</x:v>
      </x:c>
      <x:c r="B136" s="9" t="str">
        <x:v>Actual</x:v>
      </x:c>
      <x:c r="C136" s="9" t="str">
        <x:v>Customer Success</x:v>
      </x:c>
      <x:c r="D136" s="107" t="n">
        <x:v>1.5583333300000002</x:v>
      </x:c>
      <x:c r="E136" s="107" t="n">
        <x:v>0</x:v>
      </x:c>
      <x:c r="F136" s="107" t="n">
        <x:v>9.35</x:v>
      </x:c>
    </x:row>
    <x:row r="137" ht="17" customHeight="1">
      <x:c r="A137" s="9" t="str">
        <x:v>2025-03-01</x:v>
      </x:c>
      <x:c r="B137" s="9" t="str">
        <x:v>Actual</x:v>
      </x:c>
      <x:c r="C137" s="9" t="str">
        <x:v>Finance &amp; Corporate</x:v>
      </x:c>
      <x:c r="D137" s="107" t="n">
        <x:v>0</x:v>
      </x:c>
      <x:c r="E137" s="107" t="n">
        <x:v>0</x:v>
      </x:c>
      <x:c r="F137" s="107" t="n">
        <x:v>10.2</x:v>
      </x:c>
    </x:row>
    <x:row r="138" ht="17" customHeight="1">
      <x:c r="A138" s="9" t="str">
        <x:v>2025-03-01</x:v>
      </x:c>
      <x:c r="B138" s="9" t="str">
        <x:v>Actual</x:v>
      </x:c>
      <x:c r="C138" s="9" t="str">
        <x:v>Operations</x:v>
      </x:c>
      <x:c r="D138" s="107" t="n">
        <x:v>0</x:v>
      </x:c>
      <x:c r="E138" s="107" t="n">
        <x:v>0.22083333</x:v>
      </x:c>
      <x:c r="F138" s="107" t="n">
        <x:v>14.79583333</x:v>
      </x:c>
    </x:row>
    <x:row r="139" ht="17" customHeight="1">
      <x:c r="A139" s="9" t="str">
        <x:v>2025-03-01</x:v>
      </x:c>
      <x:c r="B139" s="9" t="str">
        <x:v>Actual</x:v>
      </x:c>
      <x:c r="C139" s="9" t="str">
        <x:v>Sales</x:v>
      </x:c>
      <x:c r="D139" s="107" t="n">
        <x:v>1.15</x:v>
      </x:c>
      <x:c r="E139" s="107" t="n">
        <x:v>0.1075</x:v>
      </x:c>
      <x:c r="F139" s="107" t="n">
        <x:v>12.565</x:v>
      </x:c>
    </x:row>
    <x:row r="140" ht="17" customHeight="1">
      <x:c r="A140" s="9" t="str">
        <x:v>2025-03-01</x:v>
      </x:c>
      <x:c r="B140" s="9" t="str">
        <x:v>Actual</x:v>
      </x:c>
      <x:c r="C140" s="9" t="str">
        <x:v>Technology</x:v>
      </x:c>
      <x:c r="D140" s="107" t="n">
        <x:v>0</x:v>
      </x:c>
      <x:c r="E140" s="107" t="n">
        <x:v>0.42604167000000004</x:v>
      </x:c>
      <x:c r="F140" s="107" t="n">
        <x:v>14.40833333</x:v>
      </x:c>
    </x:row>
    <x:row r="141" ht="17" customHeight="1">
      <x:c r="A141" s="9" t="str">
        <x:v>2025-04-01</x:v>
      </x:c>
      <x:c r="B141" s="9" t="str">
        <x:v>Actual</x:v>
      </x:c>
      <x:c r="C141" s="9" t="str">
        <x:v>Customer Success</x:v>
      </x:c>
      <x:c r="D141" s="107" t="n">
        <x:v>1.5583333300000002</x:v>
      </x:c>
      <x:c r="E141" s="107" t="n">
        <x:v>0</x:v>
      </x:c>
      <x:c r="F141" s="107" t="n">
        <x:v>9.35</x:v>
      </x:c>
    </x:row>
    <x:row r="142" ht="17" customHeight="1">
      <x:c r="A142" s="9" t="str">
        <x:v>2025-04-01</x:v>
      </x:c>
      <x:c r="B142" s="9" t="str">
        <x:v>Actual</x:v>
      </x:c>
      <x:c r="C142" s="9" t="str">
        <x:v>Finance &amp; Corporate</x:v>
      </x:c>
      <x:c r="D142" s="107" t="n">
        <x:v>0</x:v>
      </x:c>
      <x:c r="E142" s="107" t="n">
        <x:v>0</x:v>
      </x:c>
      <x:c r="F142" s="107" t="n">
        <x:v>10.2</x:v>
      </x:c>
    </x:row>
    <x:row r="143" ht="17" customHeight="1">
      <x:c r="A143" s="9" t="str">
        <x:v>2025-04-01</x:v>
      </x:c>
      <x:c r="B143" s="9" t="str">
        <x:v>Actual</x:v>
      </x:c>
      <x:c r="C143" s="9" t="str">
        <x:v>Operations</x:v>
      </x:c>
      <x:c r="D143" s="107" t="n">
        <x:v>0</x:v>
      </x:c>
      <x:c r="E143" s="107" t="n">
        <x:v>0.22083333</x:v>
      </x:c>
      <x:c r="F143" s="107" t="n">
        <x:v>14.575</x:v>
      </x:c>
    </x:row>
    <x:row r="144" ht="17" customHeight="1">
      <x:c r="A144" s="9" t="str">
        <x:v>2025-04-01</x:v>
      </x:c>
      <x:c r="B144" s="9" t="str">
        <x:v>Actual</x:v>
      </x:c>
      <x:c r="C144" s="9" t="str">
        <x:v>Sales</x:v>
      </x:c>
      <x:c r="D144" s="107" t="n">
        <x:v>1.15</x:v>
      </x:c>
      <x:c r="E144" s="107" t="n">
        <x:v>0.1075</x:v>
      </x:c>
      <x:c r="F144" s="107" t="n">
        <x:v>12.4575</x:v>
      </x:c>
    </x:row>
    <x:row r="145" ht="17" customHeight="1">
      <x:c r="A145" s="9" t="str">
        <x:v>2025-04-01</x:v>
      </x:c>
      <x:c r="B145" s="9" t="str">
        <x:v>Actual</x:v>
      </x:c>
      <x:c r="C145" s="9" t="str">
        <x:v>Technology</x:v>
      </x:c>
      <x:c r="D145" s="107" t="n">
        <x:v>0</x:v>
      </x:c>
      <x:c r="E145" s="107" t="n">
        <x:v>0.42604167000000004</x:v>
      </x:c>
      <x:c r="F145" s="107" t="n">
        <x:v>13.98229167</x:v>
      </x:c>
    </x:row>
    <x:row r="146" ht="17" customHeight="1">
      <x:c r="A146" s="9" t="str">
        <x:v>2025-05-01</x:v>
      </x:c>
      <x:c r="B146" s="9" t="str">
        <x:v>Actual</x:v>
      </x:c>
      <x:c r="C146" s="9" t="str">
        <x:v>Customer Success</x:v>
      </x:c>
      <x:c r="D146" s="107" t="n">
        <x:v>1.5583333300000002</x:v>
      </x:c>
      <x:c r="E146" s="107" t="n">
        <x:v>0</x:v>
      </x:c>
      <x:c r="F146" s="107" t="n">
        <x:v>9.35</x:v>
      </x:c>
    </x:row>
    <x:row r="147" ht="17" customHeight="1">
      <x:c r="A147" s="9" t="str">
        <x:v>2025-05-01</x:v>
      </x:c>
      <x:c r="B147" s="9" t="str">
        <x:v>Actual</x:v>
      </x:c>
      <x:c r="C147" s="9" t="str">
        <x:v>Finance &amp; Corporate</x:v>
      </x:c>
      <x:c r="D147" s="107" t="n">
        <x:v>0</x:v>
      </x:c>
      <x:c r="E147" s="107" t="n">
        <x:v>0</x:v>
      </x:c>
      <x:c r="F147" s="107" t="n">
        <x:v>10.2</x:v>
      </x:c>
    </x:row>
    <x:row r="148" ht="17" customHeight="1">
      <x:c r="A148" s="9" t="str">
        <x:v>2025-05-01</x:v>
      </x:c>
      <x:c r="B148" s="9" t="str">
        <x:v>Actual</x:v>
      </x:c>
      <x:c r="C148" s="9" t="str">
        <x:v>Operations</x:v>
      </x:c>
      <x:c r="D148" s="107" t="n">
        <x:v>0</x:v>
      </x:c>
      <x:c r="E148" s="107" t="n">
        <x:v>0.22083333</x:v>
      </x:c>
      <x:c r="F148" s="107" t="n">
        <x:v>14.35416667</x:v>
      </x:c>
    </x:row>
    <x:row r="149" ht="17" customHeight="1">
      <x:c r="A149" s="9" t="str">
        <x:v>2025-05-01</x:v>
      </x:c>
      <x:c r="B149" s="9" t="str">
        <x:v>Actual</x:v>
      </x:c>
      <x:c r="C149" s="9" t="str">
        <x:v>Sales</x:v>
      </x:c>
      <x:c r="D149" s="107" t="n">
        <x:v>1.15</x:v>
      </x:c>
      <x:c r="E149" s="107" t="n">
        <x:v>0.1075</x:v>
      </x:c>
      <x:c r="F149" s="107" t="n">
        <x:v>12.35</x:v>
      </x:c>
    </x:row>
    <x:row r="150" ht="17" customHeight="1">
      <x:c r="A150" s="9" t="str">
        <x:v>2025-05-01</x:v>
      </x:c>
      <x:c r="B150" s="9" t="str">
        <x:v>Actual</x:v>
      </x:c>
      <x:c r="C150" s="9" t="str">
        <x:v>Technology</x:v>
      </x:c>
      <x:c r="D150" s="107" t="n">
        <x:v>0</x:v>
      </x:c>
      <x:c r="E150" s="107" t="n">
        <x:v>0.42604167000000004</x:v>
      </x:c>
      <x:c r="F150" s="107" t="n">
        <x:v>13.55625</x:v>
      </x:c>
    </x:row>
    <x:row r="151" ht="17" customHeight="1">
      <x:c r="A151" s="9" t="str">
        <x:v>2025-06-01</x:v>
      </x:c>
      <x:c r="B151" s="9" t="str">
        <x:v>Actual</x:v>
      </x:c>
      <x:c r="C151" s="9" t="str">
        <x:v>Customer Success</x:v>
      </x:c>
      <x:c r="D151" s="107" t="n">
        <x:v>1.5583333300000002</x:v>
      </x:c>
      <x:c r="E151" s="107" t="n">
        <x:v>0.19479167</x:v>
      </x:c>
      <x:c r="F151" s="107" t="n">
        <x:v>9.15520833</x:v>
      </x:c>
    </x:row>
    <x:row r="152" ht="17" customHeight="1">
      <x:c r="A152" s="9" t="str">
        <x:v>2025-06-01</x:v>
      </x:c>
      <x:c r="B152" s="9" t="str">
        <x:v>Actual</x:v>
      </x:c>
      <x:c r="C152" s="9" t="str">
        <x:v>Finance &amp; Corporate</x:v>
      </x:c>
      <x:c r="D152" s="107" t="n">
        <x:v>0</x:v>
      </x:c>
      <x:c r="E152" s="107" t="n">
        <x:v>0</x:v>
      </x:c>
      <x:c r="F152" s="107" t="n">
        <x:v>10.2</x:v>
      </x:c>
    </x:row>
    <x:row r="153" ht="17" customHeight="1">
      <x:c r="A153" s="9" t="str">
        <x:v>2025-06-01</x:v>
      </x:c>
      <x:c r="B153" s="9" t="str">
        <x:v>Actual</x:v>
      </x:c>
      <x:c r="C153" s="9" t="str">
        <x:v>Operations</x:v>
      </x:c>
      <x:c r="D153" s="107" t="n">
        <x:v>0</x:v>
      </x:c>
      <x:c r="E153" s="107" t="n">
        <x:v>0.22083333</x:v>
      </x:c>
      <x:c r="F153" s="107" t="n">
        <x:v>14.13333333</x:v>
      </x:c>
    </x:row>
    <x:row r="154" ht="17" customHeight="1">
      <x:c r="A154" s="9" t="str">
        <x:v>2025-06-01</x:v>
      </x:c>
      <x:c r="B154" s="9" t="str">
        <x:v>Actual</x:v>
      </x:c>
      <x:c r="C154" s="9" t="str">
        <x:v>Sales</x:v>
      </x:c>
      <x:c r="D154" s="107" t="n">
        <x:v>1.15</x:v>
      </x:c>
      <x:c r="E154" s="107" t="n">
        <x:v>0.1075</x:v>
      </x:c>
      <x:c r="F154" s="107" t="n">
        <x:v>12.2425</x:v>
      </x:c>
    </x:row>
    <x:row r="155" ht="17" customHeight="1">
      <x:c r="A155" s="9" t="str">
        <x:v>2025-06-01</x:v>
      </x:c>
      <x:c r="B155" s="9" t="str">
        <x:v>Actual</x:v>
      </x:c>
      <x:c r="C155" s="9" t="str">
        <x:v>Technology</x:v>
      </x:c>
      <x:c r="D155" s="107" t="n">
        <x:v>0</x:v>
      </x:c>
      <x:c r="E155" s="107" t="n">
        <x:v>0.42604167000000004</x:v>
      </x:c>
      <x:c r="F155" s="107" t="n">
        <x:v>13.13020833</x:v>
      </x:c>
    </x:row>
    <x:row r="156" ht="17" customHeight="1">
      <x:c r="A156" s="9" t="str">
        <x:v>2025-07-01</x:v>
      </x:c>
      <x:c r="B156" s="9" t="str">
        <x:v>Actual</x:v>
      </x:c>
      <x:c r="C156" s="9" t="str">
        <x:v>Customer Success</x:v>
      </x:c>
      <x:c r="D156" s="107" t="n">
        <x:v>0</x:v>
      </x:c>
      <x:c r="E156" s="107" t="n">
        <x:v>0.19479167</x:v>
      </x:c>
      <x:c r="F156" s="107" t="n">
        <x:v>8.96041667</x:v>
      </x:c>
    </x:row>
    <x:row r="157" ht="17" customHeight="1">
      <x:c r="A157" s="9" t="str">
        <x:v>2025-07-01</x:v>
      </x:c>
      <x:c r="B157" s="9" t="str">
        <x:v>Actual</x:v>
      </x:c>
      <x:c r="C157" s="9" t="str">
        <x:v>Finance &amp; Corporate</x:v>
      </x:c>
      <x:c r="D157" s="107" t="n">
        <x:v>1.1333333300000001</x:v>
      </x:c>
      <x:c r="E157" s="107" t="n">
        <x:v>0</x:v>
      </x:c>
      <x:c r="F157" s="107" t="n">
        <x:v>10.2</x:v>
      </x:c>
    </x:row>
    <x:row r="158" ht="17" customHeight="1">
      <x:c r="A158" s="9" t="str">
        <x:v>2025-07-01</x:v>
      </x:c>
      <x:c r="B158" s="9" t="str">
        <x:v>Actual</x:v>
      </x:c>
      <x:c r="C158" s="9" t="str">
        <x:v>Operations</x:v>
      </x:c>
      <x:c r="D158" s="107" t="n">
        <x:v>0</x:v>
      </x:c>
      <x:c r="E158" s="107" t="n">
        <x:v>0.22083333</x:v>
      </x:c>
      <x:c r="F158" s="107" t="n">
        <x:v>13.9125</x:v>
      </x:c>
    </x:row>
    <x:row r="159" ht="17" customHeight="1">
      <x:c r="A159" s="9" t="str">
        <x:v>2025-07-01</x:v>
      </x:c>
      <x:c r="B159" s="9" t="str">
        <x:v>Actual</x:v>
      </x:c>
      <x:c r="C159" s="9" t="str">
        <x:v>Sales</x:v>
      </x:c>
      <x:c r="D159" s="107" t="n">
        <x:v>1.15</x:v>
      </x:c>
      <x:c r="E159" s="107" t="n">
        <x:v>0.1075</x:v>
      </x:c>
      <x:c r="F159" s="107" t="n">
        <x:v>12.135</x:v>
      </x:c>
    </x:row>
    <x:row r="160" ht="17" customHeight="1">
      <x:c r="A160" s="9" t="str">
        <x:v>2025-07-01</x:v>
      </x:c>
      <x:c r="B160" s="9" t="str">
        <x:v>Actual</x:v>
      </x:c>
      <x:c r="C160" s="9" t="str">
        <x:v>Technology</x:v>
      </x:c>
      <x:c r="D160" s="107" t="n">
        <x:v>0</x:v>
      </x:c>
      <x:c r="E160" s="107" t="n">
        <x:v>0.42604167000000004</x:v>
      </x:c>
      <x:c r="F160" s="107" t="n">
        <x:v>12.70416667</x:v>
      </x:c>
    </x:row>
    <x:row r="161" ht="17" customHeight="1">
      <x:c r="A161" s="9" t="str">
        <x:v>2025-08-01</x:v>
      </x:c>
      <x:c r="B161" s="9" t="str">
        <x:v>Actual</x:v>
      </x:c>
      <x:c r="C161" s="9" t="str">
        <x:v>Customer Success</x:v>
      </x:c>
      <x:c r="D161" s="107" t="n">
        <x:v>0</x:v>
      </x:c>
      <x:c r="E161" s="107" t="n">
        <x:v>0.19479167</x:v>
      </x:c>
      <x:c r="F161" s="107" t="n">
        <x:v>8.765625</x:v>
      </x:c>
    </x:row>
    <x:row r="162" ht="17" customHeight="1">
      <x:c r="A162" s="9" t="str">
        <x:v>2025-08-01</x:v>
      </x:c>
      <x:c r="B162" s="9" t="str">
        <x:v>Actual</x:v>
      </x:c>
      <x:c r="C162" s="9" t="str">
        <x:v>Finance &amp; Corporate</x:v>
      </x:c>
      <x:c r="D162" s="107" t="n">
        <x:v>1.1333333300000001</x:v>
      </x:c>
      <x:c r="E162" s="107" t="n">
        <x:v>0</x:v>
      </x:c>
      <x:c r="F162" s="107" t="n">
        <x:v>10.2</x:v>
      </x:c>
    </x:row>
    <x:row r="163" ht="17" customHeight="1">
      <x:c r="A163" s="9" t="str">
        <x:v>2025-08-01</x:v>
      </x:c>
      <x:c r="B163" s="9" t="str">
        <x:v>Actual</x:v>
      </x:c>
      <x:c r="C163" s="9" t="str">
        <x:v>Operations</x:v>
      </x:c>
      <x:c r="D163" s="107" t="n">
        <x:v>0</x:v>
      </x:c>
      <x:c r="E163" s="107" t="n">
        <x:v>0.22083333</x:v>
      </x:c>
      <x:c r="F163" s="107" t="n">
        <x:v>13.69166667</x:v>
      </x:c>
    </x:row>
    <x:row r="164" ht="17" customHeight="1">
      <x:c r="A164" s="9" t="str">
        <x:v>2025-08-01</x:v>
      </x:c>
      <x:c r="B164" s="9" t="str">
        <x:v>Actual</x:v>
      </x:c>
      <x:c r="C164" s="9" t="str">
        <x:v>Sales</x:v>
      </x:c>
      <x:c r="D164" s="107" t="n">
        <x:v>1.15</x:v>
      </x:c>
      <x:c r="E164" s="107" t="n">
        <x:v>0.1075</x:v>
      </x:c>
      <x:c r="F164" s="107" t="n">
        <x:v>12.0275</x:v>
      </x:c>
    </x:row>
    <x:row r="165" ht="17" customHeight="1">
      <x:c r="A165" s="9" t="str">
        <x:v>2025-08-01</x:v>
      </x:c>
      <x:c r="B165" s="9" t="str">
        <x:v>Actual</x:v>
      </x:c>
      <x:c r="C165" s="9" t="str">
        <x:v>Technology</x:v>
      </x:c>
      <x:c r="D165" s="107" t="n">
        <x:v>0</x:v>
      </x:c>
      <x:c r="E165" s="107" t="n">
        <x:v>0.42604167000000004</x:v>
      </x:c>
      <x:c r="F165" s="107" t="n">
        <x:v>12.278125</x:v>
      </x:c>
    </x:row>
    <x:row r="166" ht="17" customHeight="1">
      <x:c r="A166" s="9" t="str">
        <x:v>2025-09-01</x:v>
      </x:c>
      <x:c r="B166" s="9" t="str">
        <x:v>Actual</x:v>
      </x:c>
      <x:c r="C166" s="9" t="str">
        <x:v>Customer Success</x:v>
      </x:c>
      <x:c r="D166" s="107" t="n">
        <x:v>0</x:v>
      </x:c>
      <x:c r="E166" s="107" t="n">
        <x:v>0.19479167</x:v>
      </x:c>
      <x:c r="F166" s="107" t="n">
        <x:v>8.57083333</x:v>
      </x:c>
    </x:row>
    <x:row r="167" ht="17" customHeight="1">
      <x:c r="A167" s="9" t="str">
        <x:v>2025-09-01</x:v>
      </x:c>
      <x:c r="B167" s="9" t="str">
        <x:v>Actual</x:v>
      </x:c>
      <x:c r="C167" s="9" t="str">
        <x:v>Finance &amp; Corporate</x:v>
      </x:c>
      <x:c r="D167" s="107" t="n">
        <x:v>1.1333333300000001</x:v>
      </x:c>
      <x:c r="E167" s="107" t="n">
        <x:v>0</x:v>
      </x:c>
      <x:c r="F167" s="107" t="n">
        <x:v>10.2</x:v>
      </x:c>
    </x:row>
    <x:row r="168" ht="17" customHeight="1">
      <x:c r="A168" s="9" t="str">
        <x:v>2025-09-01</x:v>
      </x:c>
      <x:c r="B168" s="9" t="str">
        <x:v>Actual</x:v>
      </x:c>
      <x:c r="C168" s="9" t="str">
        <x:v>Operations</x:v>
      </x:c>
      <x:c r="D168" s="107" t="n">
        <x:v>0</x:v>
      </x:c>
      <x:c r="E168" s="107" t="n">
        <x:v>0.22083333</x:v>
      </x:c>
      <x:c r="F168" s="107" t="n">
        <x:v>13.47083333</x:v>
      </x:c>
    </x:row>
    <x:row r="169" ht="17" customHeight="1">
      <x:c r="A169" s="9" t="str">
        <x:v>2025-09-01</x:v>
      </x:c>
      <x:c r="B169" s="9" t="str">
        <x:v>Actual</x:v>
      </x:c>
      <x:c r="C169" s="9" t="str">
        <x:v>Sales</x:v>
      </x:c>
      <x:c r="D169" s="107" t="n">
        <x:v>1.15</x:v>
      </x:c>
      <x:c r="E169" s="107" t="n">
        <x:v>0.24166667</x:v>
      </x:c>
      <x:c r="F169" s="107" t="n">
        <x:v>11.78583333</x:v>
      </x:c>
    </x:row>
    <x:row r="170" ht="17" customHeight="1">
      <x:c r="A170" s="9" t="str">
        <x:v>2025-09-01</x:v>
      </x:c>
      <x:c r="B170" s="9" t="str">
        <x:v>Actual</x:v>
      </x:c>
      <x:c r="C170" s="9" t="str">
        <x:v>Technology</x:v>
      </x:c>
      <x:c r="D170" s="107" t="n">
        <x:v>0</x:v>
      </x:c>
      <x:c r="E170" s="107" t="n">
        <x:v>0.42604167000000004</x:v>
      </x:c>
      <x:c r="F170" s="107" t="n">
        <x:v>11.85208333</x:v>
      </x:c>
    </x:row>
    <x:row r="171" ht="17" customHeight="1">
      <x:c r="A171" s="9" t="str">
        <x:v>2025-10-01</x:v>
      </x:c>
      <x:c r="B171" s="9" t="str">
        <x:v>Actual</x:v>
      </x:c>
      <x:c r="C171" s="9" t="str">
        <x:v>Customer Success</x:v>
      </x:c>
      <x:c r="D171" s="107" t="n">
        <x:v>0</x:v>
      </x:c>
      <x:c r="E171" s="107" t="n">
        <x:v>0.19479167</x:v>
      </x:c>
      <x:c r="F171" s="107" t="n">
        <x:v>8.37604167</x:v>
      </x:c>
    </x:row>
    <x:row r="172" ht="17" customHeight="1">
      <x:c r="A172" s="9" t="str">
        <x:v>2025-10-01</x:v>
      </x:c>
      <x:c r="B172" s="9" t="str">
        <x:v>Actual</x:v>
      </x:c>
      <x:c r="C172" s="9" t="str">
        <x:v>Finance &amp; Corporate</x:v>
      </x:c>
      <x:c r="D172" s="107" t="n">
        <x:v>1.1333333300000001</x:v>
      </x:c>
      <x:c r="E172" s="107" t="n">
        <x:v>0</x:v>
      </x:c>
      <x:c r="F172" s="107" t="n">
        <x:v>10.2</x:v>
      </x:c>
    </x:row>
    <x:row r="173" ht="17" customHeight="1">
      <x:c r="A173" s="9" t="str">
        <x:v>2025-10-01</x:v>
      </x:c>
      <x:c r="B173" s="9" t="str">
        <x:v>Actual</x:v>
      </x:c>
      <x:c r="C173" s="9" t="str">
        <x:v>Operations</x:v>
      </x:c>
      <x:c r="D173" s="107" t="n">
        <x:v>0</x:v>
      </x:c>
      <x:c r="E173" s="107" t="n">
        <x:v>0.22083333</x:v>
      </x:c>
      <x:c r="F173" s="107" t="n">
        <x:v>13.25</x:v>
      </x:c>
    </x:row>
    <x:row r="174" ht="17" customHeight="1">
      <x:c r="A174" s="9" t="str">
        <x:v>2025-10-01</x:v>
      </x:c>
      <x:c r="B174" s="9" t="str">
        <x:v>Actual</x:v>
      </x:c>
      <x:c r="C174" s="9" t="str">
        <x:v>Sales</x:v>
      </x:c>
      <x:c r="D174" s="107" t="n">
        <x:v>0</x:v>
      </x:c>
      <x:c r="E174" s="107" t="n">
        <x:v>0.24166667</x:v>
      </x:c>
      <x:c r="F174" s="107" t="n">
        <x:v>11.54416667</x:v>
      </x:c>
    </x:row>
    <x:row r="175" ht="17" customHeight="1">
      <x:c r="A175" s="9" t="str">
        <x:v>2025-10-01</x:v>
      </x:c>
      <x:c r="B175" s="9" t="str">
        <x:v>Actual</x:v>
      </x:c>
      <x:c r="C175" s="9" t="str">
        <x:v>Technology</x:v>
      </x:c>
      <x:c r="D175" s="107" t="n">
        <x:v>0</x:v>
      </x:c>
      <x:c r="E175" s="107" t="n">
        <x:v>0.42604167000000004</x:v>
      </x:c>
      <x:c r="F175" s="107" t="n">
        <x:v>11.42604167</x:v>
      </x:c>
    </x:row>
    <x:row r="176" ht="17" customHeight="1">
      <x:c r="A176" s="9" t="str">
        <x:v>2025-11-01</x:v>
      </x:c>
      <x:c r="B176" s="9" t="str">
        <x:v>Actual</x:v>
      </x:c>
      <x:c r="C176" s="9" t="str">
        <x:v>Customer Success</x:v>
      </x:c>
      <x:c r="D176" s="107" t="n">
        <x:v>0</x:v>
      </x:c>
      <x:c r="E176" s="107" t="n">
        <x:v>0.19479167</x:v>
      </x:c>
      <x:c r="F176" s="107" t="n">
        <x:v>8.18125</x:v>
      </x:c>
    </x:row>
    <x:row r="177" ht="17" customHeight="1">
      <x:c r="A177" s="9" t="str">
        <x:v>2025-11-01</x:v>
      </x:c>
      <x:c r="B177" s="9" t="str">
        <x:v>Actual</x:v>
      </x:c>
      <x:c r="C177" s="9" t="str">
        <x:v>Finance &amp; Corporate</x:v>
      </x:c>
      <x:c r="D177" s="107" t="n">
        <x:v>1.1333333300000001</x:v>
      </x:c>
      <x:c r="E177" s="107" t="n">
        <x:v>0</x:v>
      </x:c>
      <x:c r="F177" s="107" t="n">
        <x:v>10.2</x:v>
      </x:c>
    </x:row>
    <x:row r="178" ht="17" customHeight="1">
      <x:c r="A178" s="9" t="str">
        <x:v>2025-11-01</x:v>
      </x:c>
      <x:c r="B178" s="9" t="str">
        <x:v>Actual</x:v>
      </x:c>
      <x:c r="C178" s="9" t="str">
        <x:v>Operations</x:v>
      </x:c>
      <x:c r="D178" s="107" t="n">
        <x:v>0</x:v>
      </x:c>
      <x:c r="E178" s="107" t="n">
        <x:v>0.22083333</x:v>
      </x:c>
      <x:c r="F178" s="107" t="n">
        <x:v>13.02916667</x:v>
      </x:c>
    </x:row>
    <x:row r="179" ht="17" customHeight="1">
      <x:c r="A179" s="9" t="str">
        <x:v>2025-11-01</x:v>
      </x:c>
      <x:c r="B179" s="9" t="str">
        <x:v>Actual</x:v>
      </x:c>
      <x:c r="C179" s="9" t="str">
        <x:v>Sales</x:v>
      </x:c>
      <x:c r="D179" s="107" t="n">
        <x:v>0</x:v>
      </x:c>
      <x:c r="E179" s="107" t="n">
        <x:v>0.24166667</x:v>
      </x:c>
      <x:c r="F179" s="107" t="n">
        <x:v>11.3025</x:v>
      </x:c>
    </x:row>
    <x:row r="180" ht="17" customHeight="1">
      <x:c r="A180" s="9" t="str">
        <x:v>2025-11-01</x:v>
      </x:c>
      <x:c r="B180" s="9" t="str">
        <x:v>Actual</x:v>
      </x:c>
      <x:c r="C180" s="9" t="str">
        <x:v>Technology</x:v>
      </x:c>
      <x:c r="D180" s="107" t="n">
        <x:v>0</x:v>
      </x:c>
      <x:c r="E180" s="107" t="n">
        <x:v>0.42604167000000004</x:v>
      </x:c>
      <x:c r="F180" s="107" t="n">
        <x:v>11</x:v>
      </x:c>
    </x:row>
    <x:row r="181" ht="17" customHeight="1">
      <x:c r="A181" s="9" t="str">
        <x:v>2025-12-01</x:v>
      </x:c>
      <x:c r="B181" s="9" t="str">
        <x:v>Actual</x:v>
      </x:c>
      <x:c r="C181" s="9" t="str">
        <x:v>Customer Success</x:v>
      </x:c>
      <x:c r="D181" s="107" t="n">
        <x:v>0</x:v>
      </x:c>
      <x:c r="E181" s="107" t="n">
        <x:v>0.19479167</x:v>
      </x:c>
      <x:c r="F181" s="107" t="n">
        <x:v>7.9864583300000005</x:v>
      </x:c>
    </x:row>
    <x:row r="182" ht="17" customHeight="1">
      <x:c r="A182" s="9" t="str">
        <x:v>2025-12-01</x:v>
      </x:c>
      <x:c r="B182" s="9" t="str">
        <x:v>Actual</x:v>
      </x:c>
      <x:c r="C182" s="9" t="str">
        <x:v>Finance &amp; Corporate</x:v>
      </x:c>
      <x:c r="D182" s="107" t="n">
        <x:v>1.1333333300000001</x:v>
      </x:c>
      <x:c r="E182" s="107" t="n">
        <x:v>0</x:v>
      </x:c>
      <x:c r="F182" s="107" t="n">
        <x:v>10.2</x:v>
      </x:c>
    </x:row>
    <x:row r="183" ht="17" customHeight="1">
      <x:c r="A183" s="9" t="str">
        <x:v>2025-12-01</x:v>
      </x:c>
      <x:c r="B183" s="9" t="str">
        <x:v>Actual</x:v>
      </x:c>
      <x:c r="C183" s="9" t="str">
        <x:v>Operations</x:v>
      </x:c>
      <x:c r="D183" s="107" t="n">
        <x:v>0</x:v>
      </x:c>
      <x:c r="E183" s="107" t="n">
        <x:v>0.22083333</x:v>
      </x:c>
      <x:c r="F183" s="107" t="n">
        <x:v>12.80833333</x:v>
      </x:c>
    </x:row>
    <x:row r="184" ht="17" customHeight="1">
      <x:c r="A184" s="9" t="str">
        <x:v>2025-12-01</x:v>
      </x:c>
      <x:c r="B184" s="9" t="str">
        <x:v>Actual</x:v>
      </x:c>
      <x:c r="C184" s="9" t="str">
        <x:v>Sales</x:v>
      </x:c>
      <x:c r="D184" s="107" t="n">
        <x:v>0</x:v>
      </x:c>
      <x:c r="E184" s="107" t="n">
        <x:v>0.24166667</x:v>
      </x:c>
      <x:c r="F184" s="107" t="n">
        <x:v>11.06083333</x:v>
      </x:c>
    </x:row>
    <x:row r="185" ht="17" customHeight="1">
      <x:c r="A185" s="9" t="str">
        <x:v>2025-12-01</x:v>
      </x:c>
      <x:c r="B185" s="9" t="str">
        <x:v>Actual</x:v>
      </x:c>
      <x:c r="C185" s="9" t="str">
        <x:v>Technology</x:v>
      </x:c>
      <x:c r="D185" s="107" t="n">
        <x:v>0</x:v>
      </x:c>
      <x:c r="E185" s="107" t="n">
        <x:v>0.42604167000000004</x:v>
      </x:c>
      <x:c r="F185" s="107" t="n">
        <x:v>10.57395833</x:v>
      </x:c>
    </x:row>
    <x:row r="186" ht="17" customHeight="1">
      <x:c r="A186" s="9" t="str">
        <x:v>2026-01-01</x:v>
      </x:c>
      <x:c r="B186" s="9" t="str">
        <x:v>Actual</x:v>
      </x:c>
      <x:c r="C186" s="9" t="str">
        <x:v>Customer Success</x:v>
      </x:c>
      <x:c r="D186" s="107" t="n">
        <x:v>0</x:v>
      </x:c>
      <x:c r="E186" s="107" t="n">
        <x:v>0.19479167</x:v>
      </x:c>
      <x:c r="F186" s="107" t="n">
        <x:v>7.79166667</x:v>
      </x:c>
    </x:row>
    <x:row r="187" ht="17" customHeight="1">
      <x:c r="A187" s="9" t="str">
        <x:v>2026-01-01</x:v>
      </x:c>
      <x:c r="B187" s="9" t="str">
        <x:v>Actual</x:v>
      </x:c>
      <x:c r="C187" s="9" t="str">
        <x:v>Finance &amp; Corporate</x:v>
      </x:c>
      <x:c r="D187" s="107" t="n">
        <x:v>1.1333333300000001</x:v>
      </x:c>
      <x:c r="E187" s="107" t="n">
        <x:v>0</x:v>
      </x:c>
      <x:c r="F187" s="107" t="n">
        <x:v>10.2</x:v>
      </x:c>
    </x:row>
    <x:row r="188" ht="17" customHeight="1">
      <x:c r="A188" s="9" t="str">
        <x:v>2026-01-01</x:v>
      </x:c>
      <x:c r="B188" s="9" t="str">
        <x:v>Actual</x:v>
      </x:c>
      <x:c r="C188" s="9" t="str">
        <x:v>Operations</x:v>
      </x:c>
      <x:c r="D188" s="107" t="n">
        <x:v>0</x:v>
      </x:c>
      <x:c r="E188" s="107" t="n">
        <x:v>0.22083333</x:v>
      </x:c>
      <x:c r="F188" s="107" t="n">
        <x:v>12.5875</x:v>
      </x:c>
    </x:row>
    <x:row r="189" ht="17" customHeight="1">
      <x:c r="A189" s="9" t="str">
        <x:v>2026-01-01</x:v>
      </x:c>
      <x:c r="B189" s="9" t="str">
        <x:v>Actual</x:v>
      </x:c>
      <x:c r="C189" s="9" t="str">
        <x:v>Sales</x:v>
      </x:c>
      <x:c r="D189" s="107" t="n">
        <x:v>0</x:v>
      </x:c>
      <x:c r="E189" s="107" t="n">
        <x:v>0.24166667</x:v>
      </x:c>
      <x:c r="F189" s="107" t="n">
        <x:v>10.81916667</x:v>
      </x:c>
    </x:row>
    <x:row r="190" ht="17" customHeight="1">
      <x:c r="A190" s="9" t="str">
        <x:v>2026-01-01</x:v>
      </x:c>
      <x:c r="B190" s="9" t="str">
        <x:v>Actual</x:v>
      </x:c>
      <x:c r="C190" s="9" t="str">
        <x:v>Technology</x:v>
      </x:c>
      <x:c r="D190" s="107" t="n">
        <x:v>0</x:v>
      </x:c>
      <x:c r="E190" s="107" t="n">
        <x:v>0.42604167000000004</x:v>
      </x:c>
      <x:c r="F190" s="107" t="n">
        <x:v>10.14791667</x:v>
      </x:c>
    </x:row>
    <x:row r="191" ht="17" customHeight="1">
      <x:c r="A191" s="9" t="str">
        <x:v>2026-02-01</x:v>
      </x:c>
      <x:c r="B191" s="9" t="str">
        <x:v>Actual</x:v>
      </x:c>
      <x:c r="C191" s="9" t="str">
        <x:v>Customer Success</x:v>
      </x:c>
      <x:c r="D191" s="107" t="n">
        <x:v>0</x:v>
      </x:c>
      <x:c r="E191" s="107" t="n">
        <x:v>0.19479167</x:v>
      </x:c>
      <x:c r="F191" s="107" t="n">
        <x:v>7.596875</x:v>
      </x:c>
    </x:row>
    <x:row r="192" ht="17" customHeight="1">
      <x:c r="A192" s="9" t="str">
        <x:v>2026-02-01</x:v>
      </x:c>
      <x:c r="B192" s="9" t="str">
        <x:v>Actual</x:v>
      </x:c>
      <x:c r="C192" s="9" t="str">
        <x:v>Finance &amp; Corporate</x:v>
      </x:c>
      <x:c r="D192" s="107" t="n">
        <x:v>1.1333333300000001</x:v>
      </x:c>
      <x:c r="E192" s="107" t="n">
        <x:v>0</x:v>
      </x:c>
      <x:c r="F192" s="107" t="n">
        <x:v>10.2</x:v>
      </x:c>
    </x:row>
    <x:row r="193" ht="17" customHeight="1">
      <x:c r="A193" s="9" t="str">
        <x:v>2026-02-01</x:v>
      </x:c>
      <x:c r="B193" s="9" t="str">
        <x:v>Actual</x:v>
      </x:c>
      <x:c r="C193" s="9" t="str">
        <x:v>Operations</x:v>
      </x:c>
      <x:c r="D193" s="107" t="n">
        <x:v>0</x:v>
      </x:c>
      <x:c r="E193" s="107" t="n">
        <x:v>0.22083333</x:v>
      </x:c>
      <x:c r="F193" s="107" t="n">
        <x:v>12.36666667</x:v>
      </x:c>
    </x:row>
    <x:row r="194" ht="17" customHeight="1">
      <x:c r="A194" s="9" t="str">
        <x:v>2026-02-01</x:v>
      </x:c>
      <x:c r="B194" s="9" t="str">
        <x:v>Actual</x:v>
      </x:c>
      <x:c r="C194" s="9" t="str">
        <x:v>Sales</x:v>
      </x:c>
      <x:c r="D194" s="107" t="n">
        <x:v>0</x:v>
      </x:c>
      <x:c r="E194" s="107" t="n">
        <x:v>0.24166667</x:v>
      </x:c>
      <x:c r="F194" s="107" t="n">
        <x:v>10.5775</x:v>
      </x:c>
    </x:row>
    <x:row r="195" ht="17" customHeight="1">
      <x:c r="A195" s="9" t="str">
        <x:v>2026-02-01</x:v>
      </x:c>
      <x:c r="B195" s="9" t="str">
        <x:v>Actual</x:v>
      </x:c>
      <x:c r="C195" s="9" t="str">
        <x:v>Technology</x:v>
      </x:c>
      <x:c r="D195" s="107" t="n">
        <x:v>0</x:v>
      </x:c>
      <x:c r="E195" s="107" t="n">
        <x:v>0.42604167000000004</x:v>
      </x:c>
      <x:c r="F195" s="107" t="n">
        <x:v>9.721875</x:v>
      </x:c>
    </x:row>
    <x:row r="196" ht="17" customHeight="1">
      <x:c r="A196" s="9" t="str">
        <x:v>2026-03-01</x:v>
      </x:c>
      <x:c r="B196" s="9" t="str">
        <x:v>Actual</x:v>
      </x:c>
      <x:c r="C196" s="9" t="str">
        <x:v>Customer Success</x:v>
      </x:c>
      <x:c r="D196" s="107" t="n">
        <x:v>0</x:v>
      </x:c>
      <x:c r="E196" s="107" t="n">
        <x:v>0.19479167</x:v>
      </x:c>
      <x:c r="F196" s="107" t="n">
        <x:v>7.40208333</x:v>
      </x:c>
    </x:row>
    <x:row r="197" ht="17" customHeight="1">
      <x:c r="A197" s="9" t="str">
        <x:v>2026-03-01</x:v>
      </x:c>
      <x:c r="B197" s="9" t="str">
        <x:v>Actual</x:v>
      </x:c>
      <x:c r="C197" s="9" t="str">
        <x:v>Finance &amp; Corporate</x:v>
      </x:c>
      <x:c r="D197" s="107" t="n">
        <x:v>1.1333333300000001</x:v>
      </x:c>
      <x:c r="E197" s="107" t="n">
        <x:v>0.17</x:v>
      </x:c>
      <x:c r="F197" s="107" t="n">
        <x:v>10.03</x:v>
      </x:c>
    </x:row>
    <x:row r="198" ht="17" customHeight="1">
      <x:c r="A198" s="9" t="str">
        <x:v>2026-03-01</x:v>
      </x:c>
      <x:c r="B198" s="9" t="str">
        <x:v>Actual</x:v>
      </x:c>
      <x:c r="C198" s="9" t="str">
        <x:v>Operations</x:v>
      </x:c>
      <x:c r="D198" s="107" t="n">
        <x:v>0</x:v>
      </x:c>
      <x:c r="E198" s="107" t="n">
        <x:v>0.22083333</x:v>
      </x:c>
      <x:c r="F198" s="107" t="n">
        <x:v>12.14583333</x:v>
      </x:c>
    </x:row>
    <x:row r="199" ht="17" customHeight="1">
      <x:c r="A199" s="9" t="str">
        <x:v>2026-03-01</x:v>
      </x:c>
      <x:c r="B199" s="9" t="str">
        <x:v>Actual</x:v>
      </x:c>
      <x:c r="C199" s="9" t="str">
        <x:v>Sales</x:v>
      </x:c>
      <x:c r="D199" s="107" t="n">
        <x:v>0</x:v>
      </x:c>
      <x:c r="E199" s="107" t="n">
        <x:v>0.24166667</x:v>
      </x:c>
      <x:c r="F199" s="107" t="n">
        <x:v>10.33583333</x:v>
      </x:c>
    </x:row>
    <x:row r="200" ht="17" customHeight="1">
      <x:c r="A200" s="9" t="str">
        <x:v>2026-03-01</x:v>
      </x:c>
      <x:c r="B200" s="9" t="str">
        <x:v>Actual</x:v>
      </x:c>
      <x:c r="C200" s="9" t="str">
        <x:v>Technology</x:v>
      </x:c>
      <x:c r="D200" s="107" t="n">
        <x:v>0</x:v>
      </x:c>
      <x:c r="E200" s="107" t="n">
        <x:v>0.42604167000000004</x:v>
      </x:c>
      <x:c r="F200" s="107" t="n">
        <x:v>9.29583333</x:v>
      </x:c>
    </x:row>
    <x:row r="201" ht="17" customHeight="1">
      <x:c r="A201" s="9" t="str">
        <x:v>2026-04-01</x:v>
      </x:c>
      <x:c r="B201" s="9" t="str">
        <x:v>Actual</x:v>
      </x:c>
      <x:c r="C201" s="9" t="str">
        <x:v>Customer Success</x:v>
      </x:c>
      <x:c r="D201" s="107" t="n">
        <x:v>0</x:v>
      </x:c>
      <x:c r="E201" s="107" t="n">
        <x:v>0.19479167</x:v>
      </x:c>
      <x:c r="F201" s="107" t="n">
        <x:v>7.20729167</x:v>
      </x:c>
    </x:row>
    <x:row r="202" ht="17" customHeight="1">
      <x:c r="A202" s="9" t="str">
        <x:v>2026-04-01</x:v>
      </x:c>
      <x:c r="B202" s="9" t="str">
        <x:v>Actual</x:v>
      </x:c>
      <x:c r="C202" s="9" t="str">
        <x:v>Finance &amp; Corporate</x:v>
      </x:c>
      <x:c r="D202" s="107" t="n">
        <x:v>0</x:v>
      </x:c>
      <x:c r="E202" s="107" t="n">
        <x:v>0.17</x:v>
      </x:c>
      <x:c r="F202" s="107" t="n">
        <x:v>9.86</x:v>
      </x:c>
    </x:row>
    <x:row r="203" ht="17" customHeight="1">
      <x:c r="A203" s="9" t="str">
        <x:v>2026-04-01</x:v>
      </x:c>
      <x:c r="B203" s="9" t="str">
        <x:v>Actual</x:v>
      </x:c>
      <x:c r="C203" s="9" t="str">
        <x:v>Operations</x:v>
      </x:c>
      <x:c r="D203" s="107" t="n">
        <x:v>0</x:v>
      </x:c>
      <x:c r="E203" s="107" t="n">
        <x:v>0.22083333</x:v>
      </x:c>
      <x:c r="F203" s="107" t="n">
        <x:v>11.925</x:v>
      </x:c>
    </x:row>
    <x:row r="204" ht="17" customHeight="1">
      <x:c r="A204" s="9" t="str">
        <x:v>2026-04-01</x:v>
      </x:c>
      <x:c r="B204" s="9" t="str">
        <x:v>Actual</x:v>
      </x:c>
      <x:c r="C204" s="9" t="str">
        <x:v>Sales</x:v>
      </x:c>
      <x:c r="D204" s="107" t="n">
        <x:v>0</x:v>
      </x:c>
      <x:c r="E204" s="107" t="n">
        <x:v>0.24166667</x:v>
      </x:c>
      <x:c r="F204" s="107" t="n">
        <x:v>10.09416667</x:v>
      </x:c>
    </x:row>
    <x:row r="205" ht="17" customHeight="1">
      <x:c r="A205" s="9" t="str">
        <x:v>2026-04-01</x:v>
      </x:c>
      <x:c r="B205" s="9" t="str">
        <x:v>Actual</x:v>
      </x:c>
      <x:c r="C205" s="9" t="str">
        <x:v>Technology</x:v>
      </x:c>
      <x:c r="D205" s="107" t="n">
        <x:v>0</x:v>
      </x:c>
      <x:c r="E205" s="107" t="n">
        <x:v>0.42604167000000004</x:v>
      </x:c>
      <x:c r="F205" s="107" t="n">
        <x:v>8.86979167</x:v>
      </x:c>
    </x:row>
    <x:row r="206" ht="17" customHeight="1">
      <x:c r="A206" s="9" t="str">
        <x:v>2026-05-01</x:v>
      </x:c>
      <x:c r="B206" s="9" t="str">
        <x:v>Actual</x:v>
      </x:c>
      <x:c r="C206" s="9" t="str">
        <x:v>Customer Success</x:v>
      </x:c>
      <x:c r="D206" s="107" t="n">
        <x:v>0</x:v>
      </x:c>
      <x:c r="E206" s="107" t="n">
        <x:v>0.19479167</x:v>
      </x:c>
      <x:c r="F206" s="107" t="n">
        <x:v>7.0125</x:v>
      </x:c>
    </x:row>
    <x:row r="207" ht="17" customHeight="1">
      <x:c r="A207" s="9" t="str">
        <x:v>2026-05-01</x:v>
      </x:c>
      <x:c r="B207" s="9" t="str">
        <x:v>Actual</x:v>
      </x:c>
      <x:c r="C207" s="9" t="str">
        <x:v>Finance &amp; Corporate</x:v>
      </x:c>
      <x:c r="D207" s="107" t="n">
        <x:v>0</x:v>
      </x:c>
      <x:c r="E207" s="107" t="n">
        <x:v>0.17</x:v>
      </x:c>
      <x:c r="F207" s="107" t="n">
        <x:v>9.69</x:v>
      </x:c>
    </x:row>
    <x:row r="208" ht="17" customHeight="1">
      <x:c r="A208" s="9" t="str">
        <x:v>2026-05-01</x:v>
      </x:c>
      <x:c r="B208" s="9" t="str">
        <x:v>Actual</x:v>
      </x:c>
      <x:c r="C208" s="9" t="str">
        <x:v>Operations</x:v>
      </x:c>
      <x:c r="D208" s="107" t="n">
        <x:v>0</x:v>
      </x:c>
      <x:c r="E208" s="107" t="n">
        <x:v>0.22083333</x:v>
      </x:c>
      <x:c r="F208" s="107" t="n">
        <x:v>11.70416667</x:v>
      </x:c>
    </x:row>
    <x:row r="209" ht="17" customHeight="1">
      <x:c r="A209" s="9" t="str">
        <x:v>2026-05-01</x:v>
      </x:c>
      <x:c r="B209" s="9" t="str">
        <x:v>Actual</x:v>
      </x:c>
      <x:c r="C209" s="9" t="str">
        <x:v>Sales</x:v>
      </x:c>
      <x:c r="D209" s="107" t="n">
        <x:v>0</x:v>
      </x:c>
      <x:c r="E209" s="107" t="n">
        <x:v>0.24166667</x:v>
      </x:c>
      <x:c r="F209" s="107" t="n">
        <x:v>9.8525</x:v>
      </x:c>
    </x:row>
    <x:row r="210" ht="17" customHeight="1">
      <x:c r="A210" s="9" t="str">
        <x:v>2026-05-01</x:v>
      </x:c>
      <x:c r="B210" s="9" t="str">
        <x:v>Actual</x:v>
      </x:c>
      <x:c r="C210" s="9" t="str">
        <x:v>Technology</x:v>
      </x:c>
      <x:c r="D210" s="107" t="n">
        <x:v>0</x:v>
      </x:c>
      <x:c r="E210" s="107" t="n">
        <x:v>0.42604167000000004</x:v>
      </x:c>
      <x:c r="F210" s="107" t="n">
        <x:v>8.44375</x:v>
      </x:c>
    </x:row>
    <x:row r="211" ht="17" customHeight="1">
      <x:c r="A211" s="9" t="str">
        <x:v>2026-06-01</x:v>
      </x:c>
      <x:c r="B211" s="9" t="str">
        <x:v>Actual</x:v>
      </x:c>
      <x:c r="C211" s="9" t="str">
        <x:v>Customer Success</x:v>
      </x:c>
      <x:c r="D211" s="107" t="n">
        <x:v>0</x:v>
      </x:c>
      <x:c r="E211" s="107" t="n">
        <x:v>0.19479167</x:v>
      </x:c>
      <x:c r="F211" s="107" t="n">
        <x:v>6.81770833</x:v>
      </x:c>
    </x:row>
    <x:row r="212" ht="17" customHeight="1">
      <x:c r="A212" s="9" t="str">
        <x:v>2026-06-01</x:v>
      </x:c>
      <x:c r="B212" s="9" t="str">
        <x:v>Actual</x:v>
      </x:c>
      <x:c r="C212" s="9" t="str">
        <x:v>Finance &amp; Corporate</x:v>
      </x:c>
      <x:c r="D212" s="107" t="n">
        <x:v>0</x:v>
      </x:c>
      <x:c r="E212" s="107" t="n">
        <x:v>0.17</x:v>
      </x:c>
      <x:c r="F212" s="107" t="n">
        <x:v>9.52</x:v>
      </x:c>
    </x:row>
    <x:row r="213" ht="17" customHeight="1">
      <x:c r="A213" s="9" t="str">
        <x:v>2026-06-01</x:v>
      </x:c>
      <x:c r="B213" s="9" t="str">
        <x:v>Actual</x:v>
      </x:c>
      <x:c r="C213" s="9" t="str">
        <x:v>Operations</x:v>
      </x:c>
      <x:c r="D213" s="107" t="n">
        <x:v>0</x:v>
      </x:c>
      <x:c r="E213" s="107" t="n">
        <x:v>0.22083333</x:v>
      </x:c>
      <x:c r="F213" s="107" t="n">
        <x:v>11.48333333</x:v>
      </x:c>
    </x:row>
    <x:row r="214" ht="17" customHeight="1">
      <x:c r="A214" s="9" t="str">
        <x:v>2026-06-01</x:v>
      </x:c>
      <x:c r="B214" s="9" t="str">
        <x:v>Actual</x:v>
      </x:c>
      <x:c r="C214" s="9" t="str">
        <x:v>Sales</x:v>
      </x:c>
      <x:c r="D214" s="107" t="n">
        <x:v>0</x:v>
      </x:c>
      <x:c r="E214" s="107" t="n">
        <x:v>0.24166667</x:v>
      </x:c>
      <x:c r="F214" s="107" t="n">
        <x:v>9.61083333</x:v>
      </x:c>
    </x:row>
    <x:row r="215" ht="17" customHeight="1">
      <x:c r="A215" s="9" t="str">
        <x:v>2026-06-01</x:v>
      </x:c>
      <x:c r="B215" s="9" t="str">
        <x:v>Actual</x:v>
      </x:c>
      <x:c r="C215" s="9" t="str">
        <x:v>Technology</x:v>
      </x:c>
      <x:c r="D215" s="107" t="n">
        <x:v>0</x:v>
      </x:c>
      <x:c r="E215" s="107" t="n">
        <x:v>0.42604167000000004</x:v>
      </x:c>
      <x:c r="F215" s="107" t="n">
        <x:v>8.01770833</x:v>
      </x:c>
    </x:row>
    <x:row r="216" ht="17" customHeight="1">
      <x:c r="A216" s="9" t="str">
        <x:v>2023-01-01</x:v>
      </x:c>
      <x:c r="B216" s="9" t="str">
        <x:v>Budget</x:v>
      </x:c>
      <x:c r="C216" s="9" t="str">
        <x:v>Customer Success</x:v>
      </x:c>
      <x:c r="D216" s="107" t="n">
        <x:v>0</x:v>
      </x:c>
      <x:c r="E216" s="107" t="n">
        <x:v>0</x:v>
      </x:c>
      <x:c r="F216" s="107" t="n">
        <x:v>20.8</x:v>
      </x:c>
    </x:row>
    <x:row r="217" ht="17" customHeight="1">
      <x:c r="A217" s="9" t="str">
        <x:v>2023-01-01</x:v>
      </x:c>
      <x:c r="B217" s="9" t="str">
        <x:v>Budget</x:v>
      </x:c>
      <x:c r="C217" s="9" t="str">
        <x:v>Finance &amp; Corporate</x:v>
      </x:c>
      <x:c r="D217" s="107" t="n">
        <x:v>0</x:v>
      </x:c>
      <x:c r="E217" s="107" t="n">
        <x:v>0</x:v>
      </x:c>
      <x:c r="F217" s="107" t="n">
        <x:v>10.5</x:v>
      </x:c>
    </x:row>
    <x:row r="218" ht="17" customHeight="1">
      <x:c r="A218" s="9" t="str">
        <x:v>2023-01-01</x:v>
      </x:c>
      <x:c r="B218" s="9" t="str">
        <x:v>Budget</x:v>
      </x:c>
      <x:c r="C218" s="9" t="str">
        <x:v>Operations</x:v>
      </x:c>
      <x:c r="D218" s="107" t="n">
        <x:v>0</x:v>
      </x:c>
      <x:c r="E218" s="107" t="n">
        <x:v>0</x:v>
      </x:c>
      <x:c r="F218" s="107" t="n">
        <x:v>33.5</x:v>
      </x:c>
    </x:row>
    <x:row r="219" ht="17" customHeight="1">
      <x:c r="A219" s="9" t="str">
        <x:v>2023-01-01</x:v>
      </x:c>
      <x:c r="B219" s="9" t="str">
        <x:v>Budget</x:v>
      </x:c>
      <x:c r="C219" s="9" t="str">
        <x:v>Sales</x:v>
      </x:c>
      <x:c r="D219" s="107" t="n">
        <x:v>0</x:v>
      </x:c>
      <x:c r="E219" s="107" t="n">
        <x:v>0</x:v>
      </x:c>
      <x:c r="F219" s="107" t="n">
        <x:v>14</x:v>
      </x:c>
    </x:row>
    <x:row r="220" ht="17" customHeight="1">
      <x:c r="A220" s="9" t="str">
        <x:v>2023-01-01</x:v>
      </x:c>
      <x:c r="B220" s="9" t="str">
        <x:v>Budget</x:v>
      </x:c>
      <x:c r="C220" s="9" t="str">
        <x:v>Technology</x:v>
      </x:c>
      <x:c r="D220" s="107" t="n">
        <x:v>0</x:v>
      </x:c>
      <x:c r="E220" s="107" t="n">
        <x:v>0</x:v>
      </x:c>
      <x:c r="F220" s="107" t="n">
        <x:v>34.7</x:v>
      </x:c>
    </x:row>
    <x:row r="221" ht="17" customHeight="1">
      <x:c r="A221" s="9" t="str">
        <x:v>2023-02-01</x:v>
      </x:c>
      <x:c r="B221" s="9" t="str">
        <x:v>Budget</x:v>
      </x:c>
      <x:c r="C221" s="9" t="str">
        <x:v>Customer Success</x:v>
      </x:c>
      <x:c r="D221" s="107" t="n">
        <x:v>0</x:v>
      </x:c>
      <x:c r="E221" s="107" t="n">
        <x:v>0</x:v>
      </x:c>
      <x:c r="F221" s="107" t="n">
        <x:v>20.8</x:v>
      </x:c>
    </x:row>
    <x:row r="222" ht="17" customHeight="1">
      <x:c r="A222" s="9" t="str">
        <x:v>2023-02-01</x:v>
      </x:c>
      <x:c r="B222" s="9" t="str">
        <x:v>Budget</x:v>
      </x:c>
      <x:c r="C222" s="9" t="str">
        <x:v>Finance &amp; Corporate</x:v>
      </x:c>
      <x:c r="D222" s="107" t="n">
        <x:v>0</x:v>
      </x:c>
      <x:c r="E222" s="107" t="n">
        <x:v>0</x:v>
      </x:c>
      <x:c r="F222" s="107" t="n">
        <x:v>10.5</x:v>
      </x:c>
    </x:row>
    <x:row r="223" ht="17" customHeight="1">
      <x:c r="A223" s="9" t="str">
        <x:v>2023-02-01</x:v>
      </x:c>
      <x:c r="B223" s="9" t="str">
        <x:v>Budget</x:v>
      </x:c>
      <x:c r="C223" s="9" t="str">
        <x:v>Operations</x:v>
      </x:c>
      <x:c r="D223" s="107" t="n">
        <x:v>0</x:v>
      </x:c>
      <x:c r="E223" s="107" t="n">
        <x:v>0</x:v>
      </x:c>
      <x:c r="F223" s="107" t="n">
        <x:v>33.5</x:v>
      </x:c>
    </x:row>
    <x:row r="224" ht="17" customHeight="1">
      <x:c r="A224" s="9" t="str">
        <x:v>2023-02-01</x:v>
      </x:c>
      <x:c r="B224" s="9" t="str">
        <x:v>Budget</x:v>
      </x:c>
      <x:c r="C224" s="9" t="str">
        <x:v>Sales</x:v>
      </x:c>
      <x:c r="D224" s="107" t="n">
        <x:v>0</x:v>
      </x:c>
      <x:c r="E224" s="107" t="n">
        <x:v>0</x:v>
      </x:c>
      <x:c r="F224" s="107" t="n">
        <x:v>14</x:v>
      </x:c>
    </x:row>
    <x:row r="225" ht="17" customHeight="1">
      <x:c r="A225" s="9" t="str">
        <x:v>2023-02-01</x:v>
      </x:c>
      <x:c r="B225" s="9" t="str">
        <x:v>Budget</x:v>
      </x:c>
      <x:c r="C225" s="9" t="str">
        <x:v>Technology</x:v>
      </x:c>
      <x:c r="D225" s="107" t="n">
        <x:v>1.68</x:v>
      </x:c>
      <x:c r="E225" s="107" t="n">
        <x:v>0</x:v>
      </x:c>
      <x:c r="F225" s="107" t="n">
        <x:v>34.7</x:v>
      </x:c>
    </x:row>
    <x:row r="226" ht="17" customHeight="1">
      <x:c r="A226" s="9" t="str">
        <x:v>2023-03-01</x:v>
      </x:c>
      <x:c r="B226" s="9" t="str">
        <x:v>Budget</x:v>
      </x:c>
      <x:c r="C226" s="9" t="str">
        <x:v>Customer Success</x:v>
      </x:c>
      <x:c r="D226" s="107" t="n">
        <x:v>0</x:v>
      </x:c>
      <x:c r="E226" s="107" t="n">
        <x:v>0</x:v>
      </x:c>
      <x:c r="F226" s="107" t="n">
        <x:v>20.8</x:v>
      </x:c>
    </x:row>
    <x:row r="227" ht="17" customHeight="1">
      <x:c r="A227" s="9" t="str">
        <x:v>2023-03-01</x:v>
      </x:c>
      <x:c r="B227" s="9" t="str">
        <x:v>Budget</x:v>
      </x:c>
      <x:c r="C227" s="9" t="str">
        <x:v>Finance &amp; Corporate</x:v>
      </x:c>
      <x:c r="D227" s="107" t="n">
        <x:v>0</x:v>
      </x:c>
      <x:c r="E227" s="107" t="n">
        <x:v>0</x:v>
      </x:c>
      <x:c r="F227" s="107" t="n">
        <x:v>10.5</x:v>
      </x:c>
    </x:row>
    <x:row r="228" ht="17" customHeight="1">
      <x:c r="A228" s="9" t="str">
        <x:v>2023-03-01</x:v>
      </x:c>
      <x:c r="B228" s="9" t="str">
        <x:v>Budget</x:v>
      </x:c>
      <x:c r="C228" s="9" t="str">
        <x:v>Operations</x:v>
      </x:c>
      <x:c r="D228" s="107" t="n">
        <x:v>0</x:v>
      </x:c>
      <x:c r="E228" s="107" t="n">
        <x:v>0</x:v>
      </x:c>
      <x:c r="F228" s="107" t="n">
        <x:v>33.5</x:v>
      </x:c>
    </x:row>
    <x:row r="229" ht="17" customHeight="1">
      <x:c r="A229" s="9" t="str">
        <x:v>2023-03-01</x:v>
      </x:c>
      <x:c r="B229" s="9" t="str">
        <x:v>Budget</x:v>
      </x:c>
      <x:c r="C229" s="9" t="str">
        <x:v>Sales</x:v>
      </x:c>
      <x:c r="D229" s="107" t="n">
        <x:v>0</x:v>
      </x:c>
      <x:c r="E229" s="107" t="n">
        <x:v>0</x:v>
      </x:c>
      <x:c r="F229" s="107" t="n">
        <x:v>14</x:v>
      </x:c>
    </x:row>
    <x:row r="230" ht="17" customHeight="1">
      <x:c r="A230" s="9" t="str">
        <x:v>2023-03-01</x:v>
      </x:c>
      <x:c r="B230" s="9" t="str">
        <x:v>Budget</x:v>
      </x:c>
      <x:c r="C230" s="9" t="str">
        <x:v>Technology</x:v>
      </x:c>
      <x:c r="D230" s="107" t="n">
        <x:v>1.68</x:v>
      </x:c>
      <x:c r="E230" s="107" t="n">
        <x:v>0</x:v>
      </x:c>
      <x:c r="F230" s="107" t="n">
        <x:v>34.7</x:v>
      </x:c>
    </x:row>
    <x:row r="231" ht="17" customHeight="1">
      <x:c r="A231" s="9" t="str">
        <x:v>2023-04-01</x:v>
      </x:c>
      <x:c r="B231" s="9" t="str">
        <x:v>Budget</x:v>
      </x:c>
      <x:c r="C231" s="9" t="str">
        <x:v>Customer Success</x:v>
      </x:c>
      <x:c r="D231" s="107" t="n">
        <x:v>0</x:v>
      </x:c>
      <x:c r="E231" s="107" t="n">
        <x:v>0</x:v>
      </x:c>
      <x:c r="F231" s="107" t="n">
        <x:v>20.8</x:v>
      </x:c>
    </x:row>
    <x:row r="232" ht="17" customHeight="1">
      <x:c r="A232" s="9" t="str">
        <x:v>2023-04-01</x:v>
      </x:c>
      <x:c r="B232" s="9" t="str">
        <x:v>Budget</x:v>
      </x:c>
      <x:c r="C232" s="9" t="str">
        <x:v>Finance &amp; Corporate</x:v>
      </x:c>
      <x:c r="D232" s="107" t="n">
        <x:v>0</x:v>
      </x:c>
      <x:c r="E232" s="107" t="n">
        <x:v>0</x:v>
      </x:c>
      <x:c r="F232" s="107" t="n">
        <x:v>10.5</x:v>
      </x:c>
    </x:row>
    <x:row r="233" ht="17" customHeight="1">
      <x:c r="A233" s="9" t="str">
        <x:v>2023-04-01</x:v>
      </x:c>
      <x:c r="B233" s="9" t="str">
        <x:v>Budget</x:v>
      </x:c>
      <x:c r="C233" s="9" t="str">
        <x:v>Operations</x:v>
      </x:c>
      <x:c r="D233" s="107" t="n">
        <x:v>0</x:v>
      </x:c>
      <x:c r="E233" s="107" t="n">
        <x:v>0</x:v>
      </x:c>
      <x:c r="F233" s="107" t="n">
        <x:v>33.5</x:v>
      </x:c>
    </x:row>
    <x:row r="234" ht="17" customHeight="1">
      <x:c r="A234" s="9" t="str">
        <x:v>2023-04-01</x:v>
      </x:c>
      <x:c r="B234" s="9" t="str">
        <x:v>Budget</x:v>
      </x:c>
      <x:c r="C234" s="9" t="str">
        <x:v>Sales</x:v>
      </x:c>
      <x:c r="D234" s="107" t="n">
        <x:v>0</x:v>
      </x:c>
      <x:c r="E234" s="107" t="n">
        <x:v>0</x:v>
      </x:c>
      <x:c r="F234" s="107" t="n">
        <x:v>14</x:v>
      </x:c>
    </x:row>
    <x:row r="235" ht="17" customHeight="1">
      <x:c r="A235" s="9" t="str">
        <x:v>2023-04-01</x:v>
      </x:c>
      <x:c r="B235" s="9" t="str">
        <x:v>Budget</x:v>
      </x:c>
      <x:c r="C235" s="9" t="str">
        <x:v>Technology</x:v>
      </x:c>
      <x:c r="D235" s="107" t="n">
        <x:v>1.68</x:v>
      </x:c>
      <x:c r="E235" s="107" t="n">
        <x:v>0</x:v>
      </x:c>
      <x:c r="F235" s="107" t="n">
        <x:v>34.7</x:v>
      </x:c>
    </x:row>
    <x:row r="236" ht="17" customHeight="1">
      <x:c r="A236" s="9" t="str">
        <x:v>2023-05-01</x:v>
      </x:c>
      <x:c r="B236" s="9" t="str">
        <x:v>Budget</x:v>
      </x:c>
      <x:c r="C236" s="9" t="str">
        <x:v>Customer Success</x:v>
      </x:c>
      <x:c r="D236" s="107" t="n">
        <x:v>0</x:v>
      </x:c>
      <x:c r="E236" s="107" t="n">
        <x:v>0</x:v>
      </x:c>
      <x:c r="F236" s="107" t="n">
        <x:v>20.8</x:v>
      </x:c>
    </x:row>
    <x:row r="237" ht="17" customHeight="1">
      <x:c r="A237" s="9" t="str">
        <x:v>2023-05-01</x:v>
      </x:c>
      <x:c r="B237" s="9" t="str">
        <x:v>Budget</x:v>
      </x:c>
      <x:c r="C237" s="9" t="str">
        <x:v>Finance &amp; Corporate</x:v>
      </x:c>
      <x:c r="D237" s="107" t="n">
        <x:v>0</x:v>
      </x:c>
      <x:c r="E237" s="107" t="n">
        <x:v>0</x:v>
      </x:c>
      <x:c r="F237" s="107" t="n">
        <x:v>10.5</x:v>
      </x:c>
    </x:row>
    <x:row r="238" ht="17" customHeight="1">
      <x:c r="A238" s="9" t="str">
        <x:v>2023-05-01</x:v>
      </x:c>
      <x:c r="B238" s="9" t="str">
        <x:v>Budget</x:v>
      </x:c>
      <x:c r="C238" s="9" t="str">
        <x:v>Operations</x:v>
      </x:c>
      <x:c r="D238" s="107" t="n">
        <x:v>0</x:v>
      </x:c>
      <x:c r="E238" s="107" t="n">
        <x:v>0</x:v>
      </x:c>
      <x:c r="F238" s="107" t="n">
        <x:v>33.5</x:v>
      </x:c>
    </x:row>
    <x:row r="239" ht="17" customHeight="1">
      <x:c r="A239" s="9" t="str">
        <x:v>2023-05-01</x:v>
      </x:c>
      <x:c r="B239" s="9" t="str">
        <x:v>Budget</x:v>
      </x:c>
      <x:c r="C239" s="9" t="str">
        <x:v>Sales</x:v>
      </x:c>
      <x:c r="D239" s="107" t="n">
        <x:v>1.03333333</x:v>
      </x:c>
      <x:c r="E239" s="107" t="n">
        <x:v>0</x:v>
      </x:c>
      <x:c r="F239" s="107" t="n">
        <x:v>14</x:v>
      </x:c>
    </x:row>
    <x:row r="240" ht="17" customHeight="1">
      <x:c r="A240" s="9" t="str">
        <x:v>2023-05-01</x:v>
      </x:c>
      <x:c r="B240" s="9" t="str">
        <x:v>Budget</x:v>
      </x:c>
      <x:c r="C240" s="9" t="str">
        <x:v>Technology</x:v>
      </x:c>
      <x:c r="D240" s="107" t="n">
        <x:v>1.68</x:v>
      </x:c>
      <x:c r="E240" s="107" t="n">
        <x:v>0</x:v>
      </x:c>
      <x:c r="F240" s="107" t="n">
        <x:v>34.7</x:v>
      </x:c>
    </x:row>
    <x:row r="241" ht="17" customHeight="1">
      <x:c r="A241" s="9" t="str">
        <x:v>2023-06-01</x:v>
      </x:c>
      <x:c r="B241" s="9" t="str">
        <x:v>Budget</x:v>
      </x:c>
      <x:c r="C241" s="9" t="str">
        <x:v>Customer Success</x:v>
      </x:c>
      <x:c r="D241" s="107" t="n">
        <x:v>0</x:v>
      </x:c>
      <x:c r="E241" s="107" t="n">
        <x:v>0</x:v>
      </x:c>
      <x:c r="F241" s="107" t="n">
        <x:v>20.8</x:v>
      </x:c>
    </x:row>
    <x:row r="242" ht="17" customHeight="1">
      <x:c r="A242" s="9" t="str">
        <x:v>2023-06-01</x:v>
      </x:c>
      <x:c r="B242" s="9" t="str">
        <x:v>Budget</x:v>
      </x:c>
      <x:c r="C242" s="9" t="str">
        <x:v>Finance &amp; Corporate</x:v>
      </x:c>
      <x:c r="D242" s="107" t="n">
        <x:v>0</x:v>
      </x:c>
      <x:c r="E242" s="107" t="n">
        <x:v>0</x:v>
      </x:c>
      <x:c r="F242" s="107" t="n">
        <x:v>10.5</x:v>
      </x:c>
    </x:row>
    <x:row r="243" ht="17" customHeight="1">
      <x:c r="A243" s="9" t="str">
        <x:v>2023-06-01</x:v>
      </x:c>
      <x:c r="B243" s="9" t="str">
        <x:v>Budget</x:v>
      </x:c>
      <x:c r="C243" s="9" t="str">
        <x:v>Operations</x:v>
      </x:c>
      <x:c r="D243" s="107" t="n">
        <x:v>0</x:v>
      </x:c>
      <x:c r="E243" s="107" t="n">
        <x:v>0</x:v>
      </x:c>
      <x:c r="F243" s="107" t="n">
        <x:v>33.5</x:v>
      </x:c>
    </x:row>
    <x:row r="244" ht="17" customHeight="1">
      <x:c r="A244" s="9" t="str">
        <x:v>2023-06-01</x:v>
      </x:c>
      <x:c r="B244" s="9" t="str">
        <x:v>Budget</x:v>
      </x:c>
      <x:c r="C244" s="9" t="str">
        <x:v>Sales</x:v>
      </x:c>
      <x:c r="D244" s="107" t="n">
        <x:v>1.03333333</x:v>
      </x:c>
      <x:c r="E244" s="107" t="n">
        <x:v>0</x:v>
      </x:c>
      <x:c r="F244" s="107" t="n">
        <x:v>14</x:v>
      </x:c>
    </x:row>
    <x:row r="245" ht="17" customHeight="1">
      <x:c r="A245" s="9" t="str">
        <x:v>2023-06-01</x:v>
      </x:c>
      <x:c r="B245" s="9" t="str">
        <x:v>Budget</x:v>
      </x:c>
      <x:c r="C245" s="9" t="str">
        <x:v>Technology</x:v>
      </x:c>
      <x:c r="D245" s="107" t="n">
        <x:v>1.68</x:v>
      </x:c>
      <x:c r="E245" s="107" t="n">
        <x:v>0.175</x:v>
      </x:c>
      <x:c r="F245" s="107" t="n">
        <x:v>34.525</x:v>
      </x:c>
    </x:row>
    <x:row r="246" ht="17" customHeight="1">
      <x:c r="A246" s="9" t="str">
        <x:v>2023-07-01</x:v>
      </x:c>
      <x:c r="B246" s="9" t="str">
        <x:v>Budget</x:v>
      </x:c>
      <x:c r="C246" s="9" t="str">
        <x:v>Customer Success</x:v>
      </x:c>
      <x:c r="D246" s="107" t="n">
        <x:v>0</x:v>
      </x:c>
      <x:c r="E246" s="107" t="n">
        <x:v>0</x:v>
      </x:c>
      <x:c r="F246" s="107" t="n">
        <x:v>20.8</x:v>
      </x:c>
    </x:row>
    <x:row r="247" ht="17" customHeight="1">
      <x:c r="A247" s="9" t="str">
        <x:v>2023-07-01</x:v>
      </x:c>
      <x:c r="B247" s="9" t="str">
        <x:v>Budget</x:v>
      </x:c>
      <x:c r="C247" s="9" t="str">
        <x:v>Finance &amp; Corporate</x:v>
      </x:c>
      <x:c r="D247" s="107" t="n">
        <x:v>0</x:v>
      </x:c>
      <x:c r="E247" s="107" t="n">
        <x:v>0</x:v>
      </x:c>
      <x:c r="F247" s="107" t="n">
        <x:v>10.5</x:v>
      </x:c>
    </x:row>
    <x:row r="248" ht="17" customHeight="1">
      <x:c r="A248" s="9" t="str">
        <x:v>2023-07-01</x:v>
      </x:c>
      <x:c r="B248" s="9" t="str">
        <x:v>Budget</x:v>
      </x:c>
      <x:c r="C248" s="9" t="str">
        <x:v>Operations</x:v>
      </x:c>
      <x:c r="D248" s="107" t="n">
        <x:v>0</x:v>
      </x:c>
      <x:c r="E248" s="107" t="n">
        <x:v>0</x:v>
      </x:c>
      <x:c r="F248" s="107" t="n">
        <x:v>33.5</x:v>
      </x:c>
    </x:row>
    <x:row r="249" ht="17" customHeight="1">
      <x:c r="A249" s="9" t="str">
        <x:v>2023-07-01</x:v>
      </x:c>
      <x:c r="B249" s="9" t="str">
        <x:v>Budget</x:v>
      </x:c>
      <x:c r="C249" s="9" t="str">
        <x:v>Sales</x:v>
      </x:c>
      <x:c r="D249" s="107" t="n">
        <x:v>1.03333333</x:v>
      </x:c>
      <x:c r="E249" s="107" t="n">
        <x:v>0</x:v>
      </x:c>
      <x:c r="F249" s="107" t="n">
        <x:v>14</x:v>
      </x:c>
    </x:row>
    <x:row r="250" ht="17" customHeight="1">
      <x:c r="A250" s="9" t="str">
        <x:v>2023-07-01</x:v>
      </x:c>
      <x:c r="B250" s="9" t="str">
        <x:v>Budget</x:v>
      </x:c>
      <x:c r="C250" s="9" t="str">
        <x:v>Technology</x:v>
      </x:c>
      <x:c r="D250" s="107" t="n">
        <x:v>0</x:v>
      </x:c>
      <x:c r="E250" s="107" t="n">
        <x:v>0.175</x:v>
      </x:c>
      <x:c r="F250" s="107" t="n">
        <x:v>34.35</x:v>
      </x:c>
    </x:row>
    <x:row r="251" ht="17" customHeight="1">
      <x:c r="A251" s="9" t="str">
        <x:v>2023-08-01</x:v>
      </x:c>
      <x:c r="B251" s="9" t="str">
        <x:v>Budget</x:v>
      </x:c>
      <x:c r="C251" s="9" t="str">
        <x:v>Customer Success</x:v>
      </x:c>
      <x:c r="D251" s="107" t="n">
        <x:v>0</x:v>
      </x:c>
      <x:c r="E251" s="107" t="n">
        <x:v>0</x:v>
      </x:c>
      <x:c r="F251" s="107" t="n">
        <x:v>20.8</x:v>
      </x:c>
    </x:row>
    <x:row r="252" ht="17" customHeight="1">
      <x:c r="A252" s="9" t="str">
        <x:v>2023-08-01</x:v>
      </x:c>
      <x:c r="B252" s="9" t="str">
        <x:v>Budget</x:v>
      </x:c>
      <x:c r="C252" s="9" t="str">
        <x:v>Finance &amp; Corporate</x:v>
      </x:c>
      <x:c r="D252" s="107" t="n">
        <x:v>0</x:v>
      </x:c>
      <x:c r="E252" s="107" t="n">
        <x:v>0</x:v>
      </x:c>
      <x:c r="F252" s="107" t="n">
        <x:v>10.5</x:v>
      </x:c>
    </x:row>
    <x:row r="253" ht="17" customHeight="1">
      <x:c r="A253" s="9" t="str">
        <x:v>2023-08-01</x:v>
      </x:c>
      <x:c r="B253" s="9" t="str">
        <x:v>Budget</x:v>
      </x:c>
      <x:c r="C253" s="9" t="str">
        <x:v>Operations</x:v>
      </x:c>
      <x:c r="D253" s="107" t="n">
        <x:v>0</x:v>
      </x:c>
      <x:c r="E253" s="107" t="n">
        <x:v>0</x:v>
      </x:c>
      <x:c r="F253" s="107" t="n">
        <x:v>33.5</x:v>
      </x:c>
    </x:row>
    <x:row r="254" ht="17" customHeight="1">
      <x:c r="A254" s="9" t="str">
        <x:v>2023-08-01</x:v>
      </x:c>
      <x:c r="B254" s="9" t="str">
        <x:v>Budget</x:v>
      </x:c>
      <x:c r="C254" s="9" t="str">
        <x:v>Sales</x:v>
      </x:c>
      <x:c r="D254" s="107" t="n">
        <x:v>1.03333333</x:v>
      </x:c>
      <x:c r="E254" s="107" t="n">
        <x:v>0</x:v>
      </x:c>
      <x:c r="F254" s="107" t="n">
        <x:v>14</x:v>
      </x:c>
    </x:row>
    <x:row r="255" ht="17" customHeight="1">
      <x:c r="A255" s="9" t="str">
        <x:v>2023-08-01</x:v>
      </x:c>
      <x:c r="B255" s="9" t="str">
        <x:v>Budget</x:v>
      </x:c>
      <x:c r="C255" s="9" t="str">
        <x:v>Technology</x:v>
      </x:c>
      <x:c r="D255" s="107" t="n">
        <x:v>0</x:v>
      </x:c>
      <x:c r="E255" s="107" t="n">
        <x:v>0.175</x:v>
      </x:c>
      <x:c r="F255" s="107" t="n">
        <x:v>34.175</x:v>
      </x:c>
    </x:row>
    <x:row r="256" ht="17" customHeight="1">
      <x:c r="A256" s="9" t="str">
        <x:v>2023-09-01</x:v>
      </x:c>
      <x:c r="B256" s="9" t="str">
        <x:v>Budget</x:v>
      </x:c>
      <x:c r="C256" s="9" t="str">
        <x:v>Customer Success</x:v>
      </x:c>
      <x:c r="D256" s="107" t="n">
        <x:v>0</x:v>
      </x:c>
      <x:c r="E256" s="107" t="n">
        <x:v>0</x:v>
      </x:c>
      <x:c r="F256" s="107" t="n">
        <x:v>20.8</x:v>
      </x:c>
    </x:row>
    <x:row r="257" ht="17" customHeight="1">
      <x:c r="A257" s="9" t="str">
        <x:v>2023-09-01</x:v>
      </x:c>
      <x:c r="B257" s="9" t="str">
        <x:v>Budget</x:v>
      </x:c>
      <x:c r="C257" s="9" t="str">
        <x:v>Finance &amp; Corporate</x:v>
      </x:c>
      <x:c r="D257" s="107" t="n">
        <x:v>0</x:v>
      </x:c>
      <x:c r="E257" s="107" t="n">
        <x:v>0</x:v>
      </x:c>
      <x:c r="F257" s="107" t="n">
        <x:v>10.5</x:v>
      </x:c>
    </x:row>
    <x:row r="258" ht="17" customHeight="1">
      <x:c r="A258" s="9" t="str">
        <x:v>2023-09-01</x:v>
      </x:c>
      <x:c r="B258" s="9" t="str">
        <x:v>Budget</x:v>
      </x:c>
      <x:c r="C258" s="9" t="str">
        <x:v>Operations</x:v>
      </x:c>
      <x:c r="D258" s="107" t="n">
        <x:v>0</x:v>
      </x:c>
      <x:c r="E258" s="107" t="n">
        <x:v>0</x:v>
      </x:c>
      <x:c r="F258" s="107" t="n">
        <x:v>33.5</x:v>
      </x:c>
    </x:row>
    <x:row r="259" ht="17" customHeight="1">
      <x:c r="A259" s="9" t="str">
        <x:v>2023-09-01</x:v>
      </x:c>
      <x:c r="B259" s="9" t="str">
        <x:v>Budget</x:v>
      </x:c>
      <x:c r="C259" s="9" t="str">
        <x:v>Sales</x:v>
      </x:c>
      <x:c r="D259" s="107" t="n">
        <x:v>1.03333333</x:v>
      </x:c>
      <x:c r="E259" s="107" t="n">
        <x:v>0</x:v>
      </x:c>
      <x:c r="F259" s="107" t="n">
        <x:v>14</x:v>
      </x:c>
    </x:row>
    <x:row r="260" ht="17" customHeight="1">
      <x:c r="A260" s="9" t="str">
        <x:v>2023-09-01</x:v>
      </x:c>
      <x:c r="B260" s="9" t="str">
        <x:v>Budget</x:v>
      </x:c>
      <x:c r="C260" s="9" t="str">
        <x:v>Technology</x:v>
      </x:c>
      <x:c r="D260" s="107" t="n">
        <x:v>0</x:v>
      </x:c>
      <x:c r="E260" s="107" t="n">
        <x:v>0.175</x:v>
      </x:c>
      <x:c r="F260" s="107" t="n">
        <x:v>34</x:v>
      </x:c>
    </x:row>
    <x:row r="261" ht="17" customHeight="1">
      <x:c r="A261" s="9" t="str">
        <x:v>2023-10-01</x:v>
      </x:c>
      <x:c r="B261" s="9" t="str">
        <x:v>Budget</x:v>
      </x:c>
      <x:c r="C261" s="9" t="str">
        <x:v>Customer Success</x:v>
      </x:c>
      <x:c r="D261" s="107" t="n">
        <x:v>0</x:v>
      </x:c>
      <x:c r="E261" s="107" t="n">
        <x:v>0</x:v>
      </x:c>
      <x:c r="F261" s="107" t="n">
        <x:v>20.8</x:v>
      </x:c>
    </x:row>
    <x:row r="262" ht="17" customHeight="1">
      <x:c r="A262" s="9" t="str">
        <x:v>2023-10-01</x:v>
      </x:c>
      <x:c r="B262" s="9" t="str">
        <x:v>Budget</x:v>
      </x:c>
      <x:c r="C262" s="9" t="str">
        <x:v>Finance &amp; Corporate</x:v>
      </x:c>
      <x:c r="D262" s="107" t="n">
        <x:v>0</x:v>
      </x:c>
      <x:c r="E262" s="107" t="n">
        <x:v>0</x:v>
      </x:c>
      <x:c r="F262" s="107" t="n">
        <x:v>10.5</x:v>
      </x:c>
    </x:row>
    <x:row r="263" ht="17" customHeight="1">
      <x:c r="A263" s="9" t="str">
        <x:v>2023-10-01</x:v>
      </x:c>
      <x:c r="B263" s="9" t="str">
        <x:v>Budget</x:v>
      </x:c>
      <x:c r="C263" s="9" t="str">
        <x:v>Operations</x:v>
      </x:c>
      <x:c r="D263" s="107" t="n">
        <x:v>0</x:v>
      </x:c>
      <x:c r="E263" s="107" t="n">
        <x:v>0</x:v>
      </x:c>
      <x:c r="F263" s="107" t="n">
        <x:v>33.5</x:v>
      </x:c>
    </x:row>
    <x:row r="264" ht="17" customHeight="1">
      <x:c r="A264" s="9" t="str">
        <x:v>2023-10-01</x:v>
      </x:c>
      <x:c r="B264" s="9" t="str">
        <x:v>Budget</x:v>
      </x:c>
      <x:c r="C264" s="9" t="str">
        <x:v>Sales</x:v>
      </x:c>
      <x:c r="D264" s="107" t="n">
        <x:v>1.03333333</x:v>
      </x:c>
      <x:c r="E264" s="107" t="n">
        <x:v>0.10333333</x:v>
      </x:c>
      <x:c r="F264" s="107" t="n">
        <x:v>13.89666667</x:v>
      </x:c>
    </x:row>
    <x:row r="265" ht="17" customHeight="1">
      <x:c r="A265" s="9" t="str">
        <x:v>2023-10-01</x:v>
      </x:c>
      <x:c r="B265" s="9" t="str">
        <x:v>Budget</x:v>
      </x:c>
      <x:c r="C265" s="9" t="str">
        <x:v>Technology</x:v>
      </x:c>
      <x:c r="D265" s="107" t="n">
        <x:v>0</x:v>
      </x:c>
      <x:c r="E265" s="107" t="n">
        <x:v>0.175</x:v>
      </x:c>
      <x:c r="F265" s="107" t="n">
        <x:v>33.825</x:v>
      </x:c>
    </x:row>
    <x:row r="266" ht="17" customHeight="1">
      <x:c r="A266" s="9" t="str">
        <x:v>2023-11-01</x:v>
      </x:c>
      <x:c r="B266" s="9" t="str">
        <x:v>Budget</x:v>
      </x:c>
      <x:c r="C266" s="9" t="str">
        <x:v>Customer Success</x:v>
      </x:c>
      <x:c r="D266" s="107" t="n">
        <x:v>0</x:v>
      </x:c>
      <x:c r="E266" s="107" t="n">
        <x:v>0</x:v>
      </x:c>
      <x:c r="F266" s="107" t="n">
        <x:v>20.8</x:v>
      </x:c>
    </x:row>
    <x:row r="267" ht="17" customHeight="1">
      <x:c r="A267" s="9" t="str">
        <x:v>2023-11-01</x:v>
      </x:c>
      <x:c r="B267" s="9" t="str">
        <x:v>Budget</x:v>
      </x:c>
      <x:c r="C267" s="9" t="str">
        <x:v>Finance &amp; Corporate</x:v>
      </x:c>
      <x:c r="D267" s="107" t="n">
        <x:v>0</x:v>
      </x:c>
      <x:c r="E267" s="107" t="n">
        <x:v>0</x:v>
      </x:c>
      <x:c r="F267" s="107" t="n">
        <x:v>10.5</x:v>
      </x:c>
    </x:row>
    <x:row r="268" ht="17" customHeight="1">
      <x:c r="A268" s="9" t="str">
        <x:v>2023-11-01</x:v>
      </x:c>
      <x:c r="B268" s="9" t="str">
        <x:v>Budget</x:v>
      </x:c>
      <x:c r="C268" s="9" t="str">
        <x:v>Operations</x:v>
      </x:c>
      <x:c r="D268" s="107" t="n">
        <x:v>0</x:v>
      </x:c>
      <x:c r="E268" s="107" t="n">
        <x:v>0</x:v>
      </x:c>
      <x:c r="F268" s="107" t="n">
        <x:v>33.5</x:v>
      </x:c>
    </x:row>
    <x:row r="269" ht="17" customHeight="1">
      <x:c r="A269" s="9" t="str">
        <x:v>2023-11-01</x:v>
      </x:c>
      <x:c r="B269" s="9" t="str">
        <x:v>Budget</x:v>
      </x:c>
      <x:c r="C269" s="9" t="str">
        <x:v>Sales</x:v>
      </x:c>
      <x:c r="D269" s="107" t="n">
        <x:v>0</x:v>
      </x:c>
      <x:c r="E269" s="107" t="n">
        <x:v>0.10333333</x:v>
      </x:c>
      <x:c r="F269" s="107" t="n">
        <x:v>13.79333333</x:v>
      </x:c>
    </x:row>
    <x:row r="270" ht="17" customHeight="1">
      <x:c r="A270" s="9" t="str">
        <x:v>2023-11-01</x:v>
      </x:c>
      <x:c r="B270" s="9" t="str">
        <x:v>Budget</x:v>
      </x:c>
      <x:c r="C270" s="9" t="str">
        <x:v>Technology</x:v>
      </x:c>
      <x:c r="D270" s="107" t="n">
        <x:v>0</x:v>
      </x:c>
      <x:c r="E270" s="107" t="n">
        <x:v>0.175</x:v>
      </x:c>
      <x:c r="F270" s="107" t="n">
        <x:v>33.65</x:v>
      </x:c>
    </x:row>
    <x:row r="271" ht="17" customHeight="1">
      <x:c r="A271" s="9" t="str">
        <x:v>2023-12-01</x:v>
      </x:c>
      <x:c r="B271" s="9" t="str">
        <x:v>Budget</x:v>
      </x:c>
      <x:c r="C271" s="9" t="str">
        <x:v>Customer Success</x:v>
      </x:c>
      <x:c r="D271" s="107" t="n">
        <x:v>0</x:v>
      </x:c>
      <x:c r="E271" s="107" t="n">
        <x:v>0</x:v>
      </x:c>
      <x:c r="F271" s="107" t="n">
        <x:v>20.8</x:v>
      </x:c>
    </x:row>
    <x:row r="272" ht="17" customHeight="1">
      <x:c r="A272" s="9" t="str">
        <x:v>2023-12-01</x:v>
      </x:c>
      <x:c r="B272" s="9" t="str">
        <x:v>Budget</x:v>
      </x:c>
      <x:c r="C272" s="9" t="str">
        <x:v>Finance &amp; Corporate</x:v>
      </x:c>
      <x:c r="D272" s="107" t="n">
        <x:v>0</x:v>
      </x:c>
      <x:c r="E272" s="107" t="n">
        <x:v>0</x:v>
      </x:c>
      <x:c r="F272" s="107" t="n">
        <x:v>10.5</x:v>
      </x:c>
    </x:row>
    <x:row r="273" ht="17" customHeight="1">
      <x:c r="A273" s="9" t="str">
        <x:v>2023-12-01</x:v>
      </x:c>
      <x:c r="B273" s="9" t="str">
        <x:v>Budget</x:v>
      </x:c>
      <x:c r="C273" s="9" t="str">
        <x:v>Operations</x:v>
      </x:c>
      <x:c r="D273" s="107" t="n">
        <x:v>0</x:v>
      </x:c>
      <x:c r="E273" s="107" t="n">
        <x:v>0</x:v>
      </x:c>
      <x:c r="F273" s="107" t="n">
        <x:v>33.5</x:v>
      </x:c>
    </x:row>
    <x:row r="274" ht="17" customHeight="1">
      <x:c r="A274" s="9" t="str">
        <x:v>2023-12-01</x:v>
      </x:c>
      <x:c r="B274" s="9" t="str">
        <x:v>Budget</x:v>
      </x:c>
      <x:c r="C274" s="9" t="str">
        <x:v>Sales</x:v>
      </x:c>
      <x:c r="D274" s="107" t="n">
        <x:v>0</x:v>
      </x:c>
      <x:c r="E274" s="107" t="n">
        <x:v>0.10333333</x:v>
      </x:c>
      <x:c r="F274" s="107" t="n">
        <x:v>13.69</x:v>
      </x:c>
    </x:row>
    <x:row r="275" ht="17" customHeight="1">
      <x:c r="A275" s="9" t="str">
        <x:v>2023-12-01</x:v>
      </x:c>
      <x:c r="B275" s="9" t="str">
        <x:v>Budget</x:v>
      </x:c>
      <x:c r="C275" s="9" t="str">
        <x:v>Technology</x:v>
      </x:c>
      <x:c r="D275" s="107" t="n">
        <x:v>0</x:v>
      </x:c>
      <x:c r="E275" s="107" t="n">
        <x:v>0.175</x:v>
      </x:c>
      <x:c r="F275" s="107" t="n">
        <x:v>33.475</x:v>
      </x:c>
    </x:row>
    <x:row r="276" ht="17" customHeight="1">
      <x:c r="A276" s="9" t="str">
        <x:v>2024-01-01</x:v>
      </x:c>
      <x:c r="B276" s="9" t="str">
        <x:v>Budget</x:v>
      </x:c>
      <x:c r="C276" s="9" t="str">
        <x:v>Customer Success</x:v>
      </x:c>
      <x:c r="D276" s="107" t="n">
        <x:v>0</x:v>
      </x:c>
      <x:c r="E276" s="107" t="n">
        <x:v>0</x:v>
      </x:c>
      <x:c r="F276" s="107" t="n">
        <x:v>20.8</x:v>
      </x:c>
    </x:row>
    <x:row r="277" ht="17" customHeight="1">
      <x:c r="A277" s="9" t="str">
        <x:v>2024-01-01</x:v>
      </x:c>
      <x:c r="B277" s="9" t="str">
        <x:v>Budget</x:v>
      </x:c>
      <x:c r="C277" s="9" t="str">
        <x:v>Finance &amp; Corporate</x:v>
      </x:c>
      <x:c r="D277" s="107" t="n">
        <x:v>0</x:v>
      </x:c>
      <x:c r="E277" s="107" t="n">
        <x:v>0</x:v>
      </x:c>
      <x:c r="F277" s="107" t="n">
        <x:v>10.5</x:v>
      </x:c>
    </x:row>
    <x:row r="278" ht="17" customHeight="1">
      <x:c r="A278" s="9" t="str">
        <x:v>2024-01-01</x:v>
      </x:c>
      <x:c r="B278" s="9" t="str">
        <x:v>Budget</x:v>
      </x:c>
      <x:c r="C278" s="9" t="str">
        <x:v>Operations</x:v>
      </x:c>
      <x:c r="D278" s="107" t="n">
        <x:v>0</x:v>
      </x:c>
      <x:c r="E278" s="107" t="n">
        <x:v>0</x:v>
      </x:c>
      <x:c r="F278" s="107" t="n">
        <x:v>33.5</x:v>
      </x:c>
    </x:row>
    <x:row r="279" ht="17" customHeight="1">
      <x:c r="A279" s="9" t="str">
        <x:v>2024-01-01</x:v>
      </x:c>
      <x:c r="B279" s="9" t="str">
        <x:v>Budget</x:v>
      </x:c>
      <x:c r="C279" s="9" t="str">
        <x:v>Sales</x:v>
      </x:c>
      <x:c r="D279" s="107" t="n">
        <x:v>0</x:v>
      </x:c>
      <x:c r="E279" s="107" t="n">
        <x:v>0.10333333</x:v>
      </x:c>
      <x:c r="F279" s="107" t="n">
        <x:v>13.58666667</x:v>
      </x:c>
    </x:row>
    <x:row r="280" ht="17" customHeight="1">
      <x:c r="A280" s="9" t="str">
        <x:v>2024-01-01</x:v>
      </x:c>
      <x:c r="B280" s="9" t="str">
        <x:v>Budget</x:v>
      </x:c>
      <x:c r="C280" s="9" t="str">
        <x:v>Technology</x:v>
      </x:c>
      <x:c r="D280" s="107" t="n">
        <x:v>1.82857143</x:v>
      </x:c>
      <x:c r="E280" s="107" t="n">
        <x:v>0.175</x:v>
      </x:c>
      <x:c r="F280" s="107" t="n">
        <x:v>33.3</x:v>
      </x:c>
    </x:row>
    <x:row r="281" ht="17" customHeight="1">
      <x:c r="A281" s="9" t="str">
        <x:v>2024-02-01</x:v>
      </x:c>
      <x:c r="B281" s="9" t="str">
        <x:v>Budget</x:v>
      </x:c>
      <x:c r="C281" s="9" t="str">
        <x:v>Customer Success</x:v>
      </x:c>
      <x:c r="D281" s="107" t="n">
        <x:v>0</x:v>
      </x:c>
      <x:c r="E281" s="107" t="n">
        <x:v>0</x:v>
      </x:c>
      <x:c r="F281" s="107" t="n">
        <x:v>20.8</x:v>
      </x:c>
    </x:row>
    <x:row r="282" ht="17" customHeight="1">
      <x:c r="A282" s="9" t="str">
        <x:v>2024-02-01</x:v>
      </x:c>
      <x:c r="B282" s="9" t="str">
        <x:v>Budget</x:v>
      </x:c>
      <x:c r="C282" s="9" t="str">
        <x:v>Finance &amp; Corporate</x:v>
      </x:c>
      <x:c r="D282" s="107" t="n">
        <x:v>0</x:v>
      </x:c>
      <x:c r="E282" s="107" t="n">
        <x:v>0</x:v>
      </x:c>
      <x:c r="F282" s="107" t="n">
        <x:v>10.5</x:v>
      </x:c>
    </x:row>
    <x:row r="283" ht="17" customHeight="1">
      <x:c r="A283" s="9" t="str">
        <x:v>2024-02-01</x:v>
      </x:c>
      <x:c r="B283" s="9" t="str">
        <x:v>Budget</x:v>
      </x:c>
      <x:c r="C283" s="9" t="str">
        <x:v>Operations</x:v>
      </x:c>
      <x:c r="D283" s="107" t="n">
        <x:v>0</x:v>
      </x:c>
      <x:c r="E283" s="107" t="n">
        <x:v>0</x:v>
      </x:c>
      <x:c r="F283" s="107" t="n">
        <x:v>33.5</x:v>
      </x:c>
    </x:row>
    <x:row r="284" ht="17" customHeight="1">
      <x:c r="A284" s="9" t="str">
        <x:v>2024-02-01</x:v>
      </x:c>
      <x:c r="B284" s="9" t="str">
        <x:v>Budget</x:v>
      </x:c>
      <x:c r="C284" s="9" t="str">
        <x:v>Sales</x:v>
      </x:c>
      <x:c r="D284" s="107" t="n">
        <x:v>0</x:v>
      </x:c>
      <x:c r="E284" s="107" t="n">
        <x:v>0.10333333</x:v>
      </x:c>
      <x:c r="F284" s="107" t="n">
        <x:v>13.48333333</x:v>
      </x:c>
    </x:row>
    <x:row r="285" ht="17" customHeight="1">
      <x:c r="A285" s="9" t="str">
        <x:v>2024-02-01</x:v>
      </x:c>
      <x:c r="B285" s="9" t="str">
        <x:v>Budget</x:v>
      </x:c>
      <x:c r="C285" s="9" t="str">
        <x:v>Technology</x:v>
      </x:c>
      <x:c r="D285" s="107" t="n">
        <x:v>1.82857143</x:v>
      </x:c>
      <x:c r="E285" s="107" t="n">
        <x:v>0.175</x:v>
      </x:c>
      <x:c r="F285" s="107" t="n">
        <x:v>33.125</x:v>
      </x:c>
    </x:row>
    <x:row r="286" ht="17" customHeight="1">
      <x:c r="A286" s="9" t="str">
        <x:v>2024-03-01</x:v>
      </x:c>
      <x:c r="B286" s="9" t="str">
        <x:v>Budget</x:v>
      </x:c>
      <x:c r="C286" s="9" t="str">
        <x:v>Customer Success</x:v>
      </x:c>
      <x:c r="D286" s="107" t="n">
        <x:v>0</x:v>
      </x:c>
      <x:c r="E286" s="107" t="n">
        <x:v>0</x:v>
      </x:c>
      <x:c r="F286" s="107" t="n">
        <x:v>20.8</x:v>
      </x:c>
    </x:row>
    <x:row r="287" ht="17" customHeight="1">
      <x:c r="A287" s="9" t="str">
        <x:v>2024-03-01</x:v>
      </x:c>
      <x:c r="B287" s="9" t="str">
        <x:v>Budget</x:v>
      </x:c>
      <x:c r="C287" s="9" t="str">
        <x:v>Finance &amp; Corporate</x:v>
      </x:c>
      <x:c r="D287" s="107" t="n">
        <x:v>0</x:v>
      </x:c>
      <x:c r="E287" s="107" t="n">
        <x:v>0</x:v>
      </x:c>
      <x:c r="F287" s="107" t="n">
        <x:v>10.5</x:v>
      </x:c>
    </x:row>
    <x:row r="288" ht="17" customHeight="1">
      <x:c r="A288" s="9" t="str">
        <x:v>2024-03-01</x:v>
      </x:c>
      <x:c r="B288" s="9" t="str">
        <x:v>Budget</x:v>
      </x:c>
      <x:c r="C288" s="9" t="str">
        <x:v>Operations</x:v>
      </x:c>
      <x:c r="D288" s="107" t="n">
        <x:v>0</x:v>
      </x:c>
      <x:c r="E288" s="107" t="n">
        <x:v>0</x:v>
      </x:c>
      <x:c r="F288" s="107" t="n">
        <x:v>33.5</x:v>
      </x:c>
    </x:row>
    <x:row r="289" ht="17" customHeight="1">
      <x:c r="A289" s="9" t="str">
        <x:v>2024-03-01</x:v>
      </x:c>
      <x:c r="B289" s="9" t="str">
        <x:v>Budget</x:v>
      </x:c>
      <x:c r="C289" s="9" t="str">
        <x:v>Sales</x:v>
      </x:c>
      <x:c r="D289" s="107" t="n">
        <x:v>0</x:v>
      </x:c>
      <x:c r="E289" s="107" t="n">
        <x:v>0.10333333</x:v>
      </x:c>
      <x:c r="F289" s="107" t="n">
        <x:v>13.38</x:v>
      </x:c>
    </x:row>
    <x:row r="290" ht="17" customHeight="1">
      <x:c r="A290" s="9" t="str">
        <x:v>2024-03-01</x:v>
      </x:c>
      <x:c r="B290" s="9" t="str">
        <x:v>Budget</x:v>
      </x:c>
      <x:c r="C290" s="9" t="str">
        <x:v>Technology</x:v>
      </x:c>
      <x:c r="D290" s="107" t="n">
        <x:v>1.82857143</x:v>
      </x:c>
      <x:c r="E290" s="107" t="n">
        <x:v>0.175</x:v>
      </x:c>
      <x:c r="F290" s="107" t="n">
        <x:v>32.95</x:v>
      </x:c>
    </x:row>
    <x:row r="291" ht="17" customHeight="1">
      <x:c r="A291" s="9" t="str">
        <x:v>2024-04-01</x:v>
      </x:c>
      <x:c r="B291" s="9" t="str">
        <x:v>Budget</x:v>
      </x:c>
      <x:c r="C291" s="9" t="str">
        <x:v>Customer Success</x:v>
      </x:c>
      <x:c r="D291" s="107" t="n">
        <x:v>0</x:v>
      </x:c>
      <x:c r="E291" s="107" t="n">
        <x:v>0</x:v>
      </x:c>
      <x:c r="F291" s="107" t="n">
        <x:v>20.8</x:v>
      </x:c>
    </x:row>
    <x:row r="292" ht="17" customHeight="1">
      <x:c r="A292" s="9" t="str">
        <x:v>2024-04-01</x:v>
      </x:c>
      <x:c r="B292" s="9" t="str">
        <x:v>Budget</x:v>
      </x:c>
      <x:c r="C292" s="9" t="str">
        <x:v>Finance &amp; Corporate</x:v>
      </x:c>
      <x:c r="D292" s="107" t="n">
        <x:v>0</x:v>
      </x:c>
      <x:c r="E292" s="107" t="n">
        <x:v>0</x:v>
      </x:c>
      <x:c r="F292" s="107" t="n">
        <x:v>10.5</x:v>
      </x:c>
    </x:row>
    <x:row r="293" ht="17" customHeight="1">
      <x:c r="A293" s="9" t="str">
        <x:v>2024-04-01</x:v>
      </x:c>
      <x:c r="B293" s="9" t="str">
        <x:v>Budget</x:v>
      </x:c>
      <x:c r="C293" s="9" t="str">
        <x:v>Operations</x:v>
      </x:c>
      <x:c r="D293" s="107" t="n">
        <x:v>1.9375</x:v>
      </x:c>
      <x:c r="E293" s="107" t="n">
        <x:v>0</x:v>
      </x:c>
      <x:c r="F293" s="107" t="n">
        <x:v>33.5</x:v>
      </x:c>
    </x:row>
    <x:row r="294" ht="17" customHeight="1">
      <x:c r="A294" s="9" t="str">
        <x:v>2024-04-01</x:v>
      </x:c>
      <x:c r="B294" s="9" t="str">
        <x:v>Budget</x:v>
      </x:c>
      <x:c r="C294" s="9" t="str">
        <x:v>Sales</x:v>
      </x:c>
      <x:c r="D294" s="107" t="n">
        <x:v>0</x:v>
      </x:c>
      <x:c r="E294" s="107" t="n">
        <x:v>0.10333333</x:v>
      </x:c>
      <x:c r="F294" s="107" t="n">
        <x:v>13.27666667</x:v>
      </x:c>
    </x:row>
    <x:row r="295" ht="17" customHeight="1">
      <x:c r="A295" s="9" t="str">
        <x:v>2024-04-01</x:v>
      </x:c>
      <x:c r="B295" s="9" t="str">
        <x:v>Budget</x:v>
      </x:c>
      <x:c r="C295" s="9" t="str">
        <x:v>Technology</x:v>
      </x:c>
      <x:c r="D295" s="107" t="n">
        <x:v>1.82857143</x:v>
      </x:c>
      <x:c r="E295" s="107" t="n">
        <x:v>0.175</x:v>
      </x:c>
      <x:c r="F295" s="107" t="n">
        <x:v>32.775</x:v>
      </x:c>
    </x:row>
    <x:row r="296" ht="17" customHeight="1">
      <x:c r="A296" s="9" t="str">
        <x:v>2024-05-01</x:v>
      </x:c>
      <x:c r="B296" s="9" t="str">
        <x:v>Budget</x:v>
      </x:c>
      <x:c r="C296" s="9" t="str">
        <x:v>Customer Success</x:v>
      </x:c>
      <x:c r="D296" s="107" t="n">
        <x:v>0</x:v>
      </x:c>
      <x:c r="E296" s="107" t="n">
        <x:v>0</x:v>
      </x:c>
      <x:c r="F296" s="107" t="n">
        <x:v>20.8</x:v>
      </x:c>
    </x:row>
    <x:row r="297" ht="17" customHeight="1">
      <x:c r="A297" s="9" t="str">
        <x:v>2024-05-01</x:v>
      </x:c>
      <x:c r="B297" s="9" t="str">
        <x:v>Budget</x:v>
      </x:c>
      <x:c r="C297" s="9" t="str">
        <x:v>Finance &amp; Corporate</x:v>
      </x:c>
      <x:c r="D297" s="107" t="n">
        <x:v>0</x:v>
      </x:c>
      <x:c r="E297" s="107" t="n">
        <x:v>0</x:v>
      </x:c>
      <x:c r="F297" s="107" t="n">
        <x:v>10.5</x:v>
      </x:c>
    </x:row>
    <x:row r="298" ht="17" customHeight="1">
      <x:c r="A298" s="9" t="str">
        <x:v>2024-05-01</x:v>
      </x:c>
      <x:c r="B298" s="9" t="str">
        <x:v>Budget</x:v>
      </x:c>
      <x:c r="C298" s="9" t="str">
        <x:v>Operations</x:v>
      </x:c>
      <x:c r="D298" s="107" t="n">
        <x:v>1.9375</x:v>
      </x:c>
      <x:c r="E298" s="107" t="n">
        <x:v>0</x:v>
      </x:c>
      <x:c r="F298" s="107" t="n">
        <x:v>33.5</x:v>
      </x:c>
    </x:row>
    <x:row r="299" ht="17" customHeight="1">
      <x:c r="A299" s="9" t="str">
        <x:v>2024-05-01</x:v>
      </x:c>
      <x:c r="B299" s="9" t="str">
        <x:v>Budget</x:v>
      </x:c>
      <x:c r="C299" s="9" t="str">
        <x:v>Sales</x:v>
      </x:c>
      <x:c r="D299" s="107" t="n">
        <x:v>0</x:v>
      </x:c>
      <x:c r="E299" s="107" t="n">
        <x:v>0.10333333</x:v>
      </x:c>
      <x:c r="F299" s="107" t="n">
        <x:v>13.17333333</x:v>
      </x:c>
    </x:row>
    <x:row r="300" ht="17" customHeight="1">
      <x:c r="A300" s="9" t="str">
        <x:v>2024-05-01</x:v>
      </x:c>
      <x:c r="B300" s="9" t="str">
        <x:v>Budget</x:v>
      </x:c>
      <x:c r="C300" s="9" t="str">
        <x:v>Technology</x:v>
      </x:c>
      <x:c r="D300" s="107" t="n">
        <x:v>1.82857143</x:v>
      </x:c>
      <x:c r="E300" s="107" t="n">
        <x:v>0.175</x:v>
      </x:c>
      <x:c r="F300" s="107" t="n">
        <x:v>32.6</x:v>
      </x:c>
    </x:row>
    <x:row r="301" ht="17" customHeight="1">
      <x:c r="A301" s="9" t="str">
        <x:v>2024-06-01</x:v>
      </x:c>
      <x:c r="B301" s="9" t="str">
        <x:v>Budget</x:v>
      </x:c>
      <x:c r="C301" s="9" t="str">
        <x:v>Customer Success</x:v>
      </x:c>
      <x:c r="D301" s="107" t="n">
        <x:v>0</x:v>
      </x:c>
      <x:c r="E301" s="107" t="n">
        <x:v>0</x:v>
      </x:c>
      <x:c r="F301" s="107" t="n">
        <x:v>20.8</x:v>
      </x:c>
    </x:row>
    <x:row r="302" ht="17" customHeight="1">
      <x:c r="A302" s="9" t="str">
        <x:v>2024-06-01</x:v>
      </x:c>
      <x:c r="B302" s="9" t="str">
        <x:v>Budget</x:v>
      </x:c>
      <x:c r="C302" s="9" t="str">
        <x:v>Finance &amp; Corporate</x:v>
      </x:c>
      <x:c r="D302" s="107" t="n">
        <x:v>0</x:v>
      </x:c>
      <x:c r="E302" s="107" t="n">
        <x:v>0</x:v>
      </x:c>
      <x:c r="F302" s="107" t="n">
        <x:v>10.5</x:v>
      </x:c>
    </x:row>
    <x:row r="303" ht="17" customHeight="1">
      <x:c r="A303" s="9" t="str">
        <x:v>2024-06-01</x:v>
      </x:c>
      <x:c r="B303" s="9" t="str">
        <x:v>Budget</x:v>
      </x:c>
      <x:c r="C303" s="9" t="str">
        <x:v>Operations</x:v>
      </x:c>
      <x:c r="D303" s="107" t="n">
        <x:v>1.9375</x:v>
      </x:c>
      <x:c r="E303" s="107" t="n">
        <x:v>0</x:v>
      </x:c>
      <x:c r="F303" s="107" t="n">
        <x:v>33.5</x:v>
      </x:c>
    </x:row>
    <x:row r="304" ht="17" customHeight="1">
      <x:c r="A304" s="9" t="str">
        <x:v>2024-06-01</x:v>
      </x:c>
      <x:c r="B304" s="9" t="str">
        <x:v>Budget</x:v>
      </x:c>
      <x:c r="C304" s="9" t="str">
        <x:v>Sales</x:v>
      </x:c>
      <x:c r="D304" s="107" t="n">
        <x:v>0</x:v>
      </x:c>
      <x:c r="E304" s="107" t="n">
        <x:v>0.10333333</x:v>
      </x:c>
      <x:c r="F304" s="107" t="n">
        <x:v>13.07</x:v>
      </x:c>
    </x:row>
    <x:row r="305" ht="17" customHeight="1">
      <x:c r="A305" s="9" t="str">
        <x:v>2024-06-01</x:v>
      </x:c>
      <x:c r="B305" s="9" t="str">
        <x:v>Budget</x:v>
      </x:c>
      <x:c r="C305" s="9" t="str">
        <x:v>Technology</x:v>
      </x:c>
      <x:c r="D305" s="107" t="n">
        <x:v>1.82857143</x:v>
      </x:c>
      <x:c r="E305" s="107" t="n">
        <x:v>0.175</x:v>
      </x:c>
      <x:c r="F305" s="107" t="n">
        <x:v>32.425</x:v>
      </x:c>
    </x:row>
    <x:row r="306" ht="17" customHeight="1">
      <x:c r="A306" s="9" t="str">
        <x:v>2024-07-01</x:v>
      </x:c>
      <x:c r="B306" s="9" t="str">
        <x:v>Budget</x:v>
      </x:c>
      <x:c r="C306" s="9" t="str">
        <x:v>Customer Success</x:v>
      </x:c>
      <x:c r="D306" s="107" t="n">
        <x:v>0</x:v>
      </x:c>
      <x:c r="E306" s="107" t="n">
        <x:v>0</x:v>
      </x:c>
      <x:c r="F306" s="107" t="n">
        <x:v>20.8</x:v>
      </x:c>
    </x:row>
    <x:row r="307" ht="17" customHeight="1">
      <x:c r="A307" s="9" t="str">
        <x:v>2024-07-01</x:v>
      </x:c>
      <x:c r="B307" s="9" t="str">
        <x:v>Budget</x:v>
      </x:c>
      <x:c r="C307" s="9" t="str">
        <x:v>Finance &amp; Corporate</x:v>
      </x:c>
      <x:c r="D307" s="107" t="n">
        <x:v>0</x:v>
      </x:c>
      <x:c r="E307" s="107" t="n">
        <x:v>0</x:v>
      </x:c>
      <x:c r="F307" s="107" t="n">
        <x:v>10.5</x:v>
      </x:c>
    </x:row>
    <x:row r="308" ht="17" customHeight="1">
      <x:c r="A308" s="9" t="str">
        <x:v>2024-07-01</x:v>
      </x:c>
      <x:c r="B308" s="9" t="str">
        <x:v>Budget</x:v>
      </x:c>
      <x:c r="C308" s="9" t="str">
        <x:v>Operations</x:v>
      </x:c>
      <x:c r="D308" s="107" t="n">
        <x:v>1.9375</x:v>
      </x:c>
      <x:c r="E308" s="107" t="n">
        <x:v>0</x:v>
      </x:c>
      <x:c r="F308" s="107" t="n">
        <x:v>33.5</x:v>
      </x:c>
    </x:row>
    <x:row r="309" ht="17" customHeight="1">
      <x:c r="A309" s="9" t="str">
        <x:v>2024-07-01</x:v>
      </x:c>
      <x:c r="B309" s="9" t="str">
        <x:v>Budget</x:v>
      </x:c>
      <x:c r="C309" s="9" t="str">
        <x:v>Sales</x:v>
      </x:c>
      <x:c r="D309" s="107" t="n">
        <x:v>0</x:v>
      </x:c>
      <x:c r="E309" s="107" t="n">
        <x:v>0.10333333</x:v>
      </x:c>
      <x:c r="F309" s="107" t="n">
        <x:v>12.96666667</x:v>
      </x:c>
    </x:row>
    <x:row r="310" ht="17" customHeight="1">
      <x:c r="A310" s="9" t="str">
        <x:v>2024-07-01</x:v>
      </x:c>
      <x:c r="B310" s="9" t="str">
        <x:v>Budget</x:v>
      </x:c>
      <x:c r="C310" s="9" t="str">
        <x:v>Technology</x:v>
      </x:c>
      <x:c r="D310" s="107" t="n">
        <x:v>1.82857143</x:v>
      </x:c>
      <x:c r="E310" s="107" t="n">
        <x:v>0.44166667</x:v>
      </x:c>
      <x:c r="F310" s="107" t="n">
        <x:v>31.983333329999997</x:v>
      </x:c>
    </x:row>
    <x:row r="311" ht="17" customHeight="1">
      <x:c r="A311" s="9" t="str">
        <x:v>2024-08-01</x:v>
      </x:c>
      <x:c r="B311" s="9" t="str">
        <x:v>Budget</x:v>
      </x:c>
      <x:c r="C311" s="9" t="str">
        <x:v>Customer Success</x:v>
      </x:c>
      <x:c r="D311" s="107" t="n">
        <x:v>0</x:v>
      </x:c>
      <x:c r="E311" s="107" t="n">
        <x:v>0</x:v>
      </x:c>
      <x:c r="F311" s="107" t="n">
        <x:v>20.8</x:v>
      </x:c>
    </x:row>
    <x:row r="312" ht="17" customHeight="1">
      <x:c r="A312" s="9" t="str">
        <x:v>2024-08-01</x:v>
      </x:c>
      <x:c r="B312" s="9" t="str">
        <x:v>Budget</x:v>
      </x:c>
      <x:c r="C312" s="9" t="str">
        <x:v>Finance &amp; Corporate</x:v>
      </x:c>
      <x:c r="D312" s="107" t="n">
        <x:v>0</x:v>
      </x:c>
      <x:c r="E312" s="107" t="n">
        <x:v>0</x:v>
      </x:c>
      <x:c r="F312" s="107" t="n">
        <x:v>10.5</x:v>
      </x:c>
    </x:row>
    <x:row r="313" ht="17" customHeight="1">
      <x:c r="A313" s="9" t="str">
        <x:v>2024-08-01</x:v>
      </x:c>
      <x:c r="B313" s="9" t="str">
        <x:v>Budget</x:v>
      </x:c>
      <x:c r="C313" s="9" t="str">
        <x:v>Operations</x:v>
      </x:c>
      <x:c r="D313" s="107" t="n">
        <x:v>1.9375</x:v>
      </x:c>
      <x:c r="E313" s="107" t="n">
        <x:v>0</x:v>
      </x:c>
      <x:c r="F313" s="107" t="n">
        <x:v>33.5</x:v>
      </x:c>
    </x:row>
    <x:row r="314" ht="17" customHeight="1">
      <x:c r="A314" s="9" t="str">
        <x:v>2024-08-01</x:v>
      </x:c>
      <x:c r="B314" s="9" t="str">
        <x:v>Budget</x:v>
      </x:c>
      <x:c r="C314" s="9" t="str">
        <x:v>Sales</x:v>
      </x:c>
      <x:c r="D314" s="107" t="n">
        <x:v>0</x:v>
      </x:c>
      <x:c r="E314" s="107" t="n">
        <x:v>0.10333333</x:v>
      </x:c>
      <x:c r="F314" s="107" t="n">
        <x:v>12.86333333</x:v>
      </x:c>
    </x:row>
    <x:row r="315" ht="17" customHeight="1">
      <x:c r="A315" s="9" t="str">
        <x:v>2024-08-01</x:v>
      </x:c>
      <x:c r="B315" s="9" t="str">
        <x:v>Budget</x:v>
      </x:c>
      <x:c r="C315" s="9" t="str">
        <x:v>Technology</x:v>
      </x:c>
      <x:c r="D315" s="107" t="n">
        <x:v>0</x:v>
      </x:c>
      <x:c r="E315" s="107" t="n">
        <x:v>0.44166667</x:v>
      </x:c>
      <x:c r="F315" s="107" t="n">
        <x:v>31.54166667</x:v>
      </x:c>
    </x:row>
    <x:row r="316" ht="17" customHeight="1">
      <x:c r="A316" s="9" t="str">
        <x:v>2024-09-01</x:v>
      </x:c>
      <x:c r="B316" s="9" t="str">
        <x:v>Budget</x:v>
      </x:c>
      <x:c r="C316" s="9" t="str">
        <x:v>Customer Success</x:v>
      </x:c>
      <x:c r="D316" s="107" t="n">
        <x:v>0</x:v>
      </x:c>
      <x:c r="E316" s="107" t="n">
        <x:v>0</x:v>
      </x:c>
      <x:c r="F316" s="107" t="n">
        <x:v>20.8</x:v>
      </x:c>
    </x:row>
    <x:row r="317" ht="17" customHeight="1">
      <x:c r="A317" s="9" t="str">
        <x:v>2024-09-01</x:v>
      </x:c>
      <x:c r="B317" s="9" t="str">
        <x:v>Budget</x:v>
      </x:c>
      <x:c r="C317" s="9" t="str">
        <x:v>Finance &amp; Corporate</x:v>
      </x:c>
      <x:c r="D317" s="107" t="n">
        <x:v>0</x:v>
      </x:c>
      <x:c r="E317" s="107" t="n">
        <x:v>0</x:v>
      </x:c>
      <x:c r="F317" s="107" t="n">
        <x:v>10.5</x:v>
      </x:c>
    </x:row>
    <x:row r="318" ht="17" customHeight="1">
      <x:c r="A318" s="9" t="str">
        <x:v>2024-09-01</x:v>
      </x:c>
      <x:c r="B318" s="9" t="str">
        <x:v>Budget</x:v>
      </x:c>
      <x:c r="C318" s="9" t="str">
        <x:v>Operations</x:v>
      </x:c>
      <x:c r="D318" s="107" t="n">
        <x:v>1.9375</x:v>
      </x:c>
      <x:c r="E318" s="107" t="n">
        <x:v>0</x:v>
      </x:c>
      <x:c r="F318" s="107" t="n">
        <x:v>33.5</x:v>
      </x:c>
    </x:row>
    <x:row r="319" ht="17" customHeight="1">
      <x:c r="A319" s="9" t="str">
        <x:v>2024-09-01</x:v>
      </x:c>
      <x:c r="B319" s="9" t="str">
        <x:v>Budget</x:v>
      </x:c>
      <x:c r="C319" s="9" t="str">
        <x:v>Sales</x:v>
      </x:c>
      <x:c r="D319" s="107" t="n">
        <x:v>0</x:v>
      </x:c>
      <x:c r="E319" s="107" t="n">
        <x:v>0.10333333</x:v>
      </x:c>
      <x:c r="F319" s="107" t="n">
        <x:v>12.76</x:v>
      </x:c>
    </x:row>
    <x:row r="320" ht="17" customHeight="1">
      <x:c r="A320" s="9" t="str">
        <x:v>2024-09-01</x:v>
      </x:c>
      <x:c r="B320" s="9" t="str">
        <x:v>Budget</x:v>
      </x:c>
      <x:c r="C320" s="9" t="str">
        <x:v>Technology</x:v>
      </x:c>
      <x:c r="D320" s="107" t="n">
        <x:v>0</x:v>
      </x:c>
      <x:c r="E320" s="107" t="n">
        <x:v>0.44166667</x:v>
      </x:c>
      <x:c r="F320" s="107" t="n">
        <x:v>31.1</x:v>
      </x:c>
    </x:row>
    <x:row r="321" ht="17" customHeight="1">
      <x:c r="A321" s="9" t="str">
        <x:v>2024-10-01</x:v>
      </x:c>
      <x:c r="B321" s="9" t="str">
        <x:v>Budget</x:v>
      </x:c>
      <x:c r="C321" s="9" t="str">
        <x:v>Customer Success</x:v>
      </x:c>
      <x:c r="D321" s="107" t="n">
        <x:v>0</x:v>
      </x:c>
      <x:c r="E321" s="107" t="n">
        <x:v>0</x:v>
      </x:c>
      <x:c r="F321" s="107" t="n">
        <x:v>20.8</x:v>
      </x:c>
    </x:row>
    <x:row r="322" ht="17" customHeight="1">
      <x:c r="A322" s="9" t="str">
        <x:v>2024-10-01</x:v>
      </x:c>
      <x:c r="B322" s="9" t="str">
        <x:v>Budget</x:v>
      </x:c>
      <x:c r="C322" s="9" t="str">
        <x:v>Finance &amp; Corporate</x:v>
      </x:c>
      <x:c r="D322" s="107" t="n">
        <x:v>0</x:v>
      </x:c>
      <x:c r="E322" s="107" t="n">
        <x:v>0</x:v>
      </x:c>
      <x:c r="F322" s="107" t="n">
        <x:v>10.5</x:v>
      </x:c>
    </x:row>
    <x:row r="323" ht="17" customHeight="1">
      <x:c r="A323" s="9" t="str">
        <x:v>2024-10-01</x:v>
      </x:c>
      <x:c r="B323" s="9" t="str">
        <x:v>Budget</x:v>
      </x:c>
      <x:c r="C323" s="9" t="str">
        <x:v>Operations</x:v>
      </x:c>
      <x:c r="D323" s="107" t="n">
        <x:v>1.9375</x:v>
      </x:c>
      <x:c r="E323" s="107" t="n">
        <x:v>0</x:v>
      </x:c>
      <x:c r="F323" s="107" t="n">
        <x:v>33.5</x:v>
      </x:c>
    </x:row>
    <x:row r="324" ht="17" customHeight="1">
      <x:c r="A324" s="9" t="str">
        <x:v>2024-10-01</x:v>
      </x:c>
      <x:c r="B324" s="9" t="str">
        <x:v>Budget</x:v>
      </x:c>
      <x:c r="C324" s="9" t="str">
        <x:v>Sales</x:v>
      </x:c>
      <x:c r="D324" s="107" t="n">
        <x:v>0</x:v>
      </x:c>
      <x:c r="E324" s="107" t="n">
        <x:v>0.10333333</x:v>
      </x:c>
      <x:c r="F324" s="107" t="n">
        <x:v>12.65666667</x:v>
      </x:c>
    </x:row>
    <x:row r="325" ht="17" customHeight="1">
      <x:c r="A325" s="9" t="str">
        <x:v>2024-10-01</x:v>
      </x:c>
      <x:c r="B325" s="9" t="str">
        <x:v>Budget</x:v>
      </x:c>
      <x:c r="C325" s="9" t="str">
        <x:v>Technology</x:v>
      </x:c>
      <x:c r="D325" s="107" t="n">
        <x:v>0</x:v>
      </x:c>
      <x:c r="E325" s="107" t="n">
        <x:v>0.44166667</x:v>
      </x:c>
      <x:c r="F325" s="107" t="n">
        <x:v>30.658333329999998</x:v>
      </x:c>
    </x:row>
    <x:row r="326" ht="17" customHeight="1">
      <x:c r="A326" s="9" t="str">
        <x:v>2024-11-01</x:v>
      </x:c>
      <x:c r="B326" s="9" t="str">
        <x:v>Budget</x:v>
      </x:c>
      <x:c r="C326" s="9" t="str">
        <x:v>Customer Success</x:v>
      </x:c>
      <x:c r="D326" s="107" t="n">
        <x:v>0</x:v>
      </x:c>
      <x:c r="E326" s="107" t="n">
        <x:v>0</x:v>
      </x:c>
      <x:c r="F326" s="107" t="n">
        <x:v>20.8</x:v>
      </x:c>
    </x:row>
    <x:row r="327" ht="17" customHeight="1">
      <x:c r="A327" s="9" t="str">
        <x:v>2024-11-01</x:v>
      </x:c>
      <x:c r="B327" s="9" t="str">
        <x:v>Budget</x:v>
      </x:c>
      <x:c r="C327" s="9" t="str">
        <x:v>Finance &amp; Corporate</x:v>
      </x:c>
      <x:c r="D327" s="107" t="n">
        <x:v>0</x:v>
      </x:c>
      <x:c r="E327" s="107" t="n">
        <x:v>0</x:v>
      </x:c>
      <x:c r="F327" s="107" t="n">
        <x:v>10.5</x:v>
      </x:c>
    </x:row>
    <x:row r="328" ht="17" customHeight="1">
      <x:c r="A328" s="9" t="str">
        <x:v>2024-11-01</x:v>
      </x:c>
      <x:c r="B328" s="9" t="str">
        <x:v>Budget</x:v>
      </x:c>
      <x:c r="C328" s="9" t="str">
        <x:v>Operations</x:v>
      </x:c>
      <x:c r="D328" s="107" t="n">
        <x:v>1.9375</x:v>
      </x:c>
      <x:c r="E328" s="107" t="n">
        <x:v>0.21527778</x:v>
      </x:c>
      <x:c r="F328" s="107" t="n">
        <x:v>33.28472222</x:v>
      </x:c>
    </x:row>
    <x:row r="329" ht="17" customHeight="1">
      <x:c r="A329" s="9" t="str">
        <x:v>2024-11-01</x:v>
      </x:c>
      <x:c r="B329" s="9" t="str">
        <x:v>Budget</x:v>
      </x:c>
      <x:c r="C329" s="9" t="str">
        <x:v>Sales</x:v>
      </x:c>
      <x:c r="D329" s="107" t="n">
        <x:v>0</x:v>
      </x:c>
      <x:c r="E329" s="107" t="n">
        <x:v>0.10333333</x:v>
      </x:c>
      <x:c r="F329" s="107" t="n">
        <x:v>12.553333330000001</x:v>
      </x:c>
    </x:row>
    <x:row r="330" ht="17" customHeight="1">
      <x:c r="A330" s="9" t="str">
        <x:v>2024-11-01</x:v>
      </x:c>
      <x:c r="B330" s="9" t="str">
        <x:v>Budget</x:v>
      </x:c>
      <x:c r="C330" s="9" t="str">
        <x:v>Technology</x:v>
      </x:c>
      <x:c r="D330" s="107" t="n">
        <x:v>0</x:v>
      </x:c>
      <x:c r="E330" s="107" t="n">
        <x:v>0.44166667</x:v>
      </x:c>
      <x:c r="F330" s="107" t="n">
        <x:v>30.216666670000002</x:v>
      </x:c>
    </x:row>
    <x:row r="331" ht="17" customHeight="1">
      <x:c r="A331" s="9" t="str">
        <x:v>2024-12-01</x:v>
      </x:c>
      <x:c r="B331" s="9" t="str">
        <x:v>Budget</x:v>
      </x:c>
      <x:c r="C331" s="9" t="str">
        <x:v>Customer Success</x:v>
      </x:c>
      <x:c r="D331" s="107" t="n">
        <x:v>0</x:v>
      </x:c>
      <x:c r="E331" s="107" t="n">
        <x:v>0</x:v>
      </x:c>
      <x:c r="F331" s="107" t="n">
        <x:v>20.8</x:v>
      </x:c>
    </x:row>
    <x:row r="332" ht="17" customHeight="1">
      <x:c r="A332" s="9" t="str">
        <x:v>2024-12-01</x:v>
      </x:c>
      <x:c r="B332" s="9" t="str">
        <x:v>Budget</x:v>
      </x:c>
      <x:c r="C332" s="9" t="str">
        <x:v>Finance &amp; Corporate</x:v>
      </x:c>
      <x:c r="D332" s="107" t="n">
        <x:v>0</x:v>
      </x:c>
      <x:c r="E332" s="107" t="n">
        <x:v>0</x:v>
      </x:c>
      <x:c r="F332" s="107" t="n">
        <x:v>10.5</x:v>
      </x:c>
    </x:row>
    <x:row r="333" ht="17" customHeight="1">
      <x:c r="A333" s="9" t="str">
        <x:v>2024-12-01</x:v>
      </x:c>
      <x:c r="B333" s="9" t="str">
        <x:v>Budget</x:v>
      </x:c>
      <x:c r="C333" s="9" t="str">
        <x:v>Operations</x:v>
      </x:c>
      <x:c r="D333" s="107" t="n">
        <x:v>0</x:v>
      </x:c>
      <x:c r="E333" s="107" t="n">
        <x:v>0.21527778</x:v>
      </x:c>
      <x:c r="F333" s="107" t="n">
        <x:v>33.06944444</x:v>
      </x:c>
    </x:row>
    <x:row r="334" ht="17" customHeight="1">
      <x:c r="A334" s="9" t="str">
        <x:v>2024-12-01</x:v>
      </x:c>
      <x:c r="B334" s="9" t="str">
        <x:v>Budget</x:v>
      </x:c>
      <x:c r="C334" s="9" t="str">
        <x:v>Sales</x:v>
      </x:c>
      <x:c r="D334" s="107" t="n">
        <x:v>0</x:v>
      </x:c>
      <x:c r="E334" s="107" t="n">
        <x:v>0.10333333</x:v>
      </x:c>
      <x:c r="F334" s="107" t="n">
        <x:v>12.45</x:v>
      </x:c>
    </x:row>
    <x:row r="335" ht="17" customHeight="1">
      <x:c r="A335" s="9" t="str">
        <x:v>2024-12-01</x:v>
      </x:c>
      <x:c r="B335" s="9" t="str">
        <x:v>Budget</x:v>
      </x:c>
      <x:c r="C335" s="9" t="str">
        <x:v>Technology</x:v>
      </x:c>
      <x:c r="D335" s="107" t="n">
        <x:v>0</x:v>
      </x:c>
      <x:c r="E335" s="107" t="n">
        <x:v>0.44166667</x:v>
      </x:c>
      <x:c r="F335" s="107" t="n">
        <x:v>29.775</x:v>
      </x:c>
    </x:row>
    <x:row r="336" ht="17" customHeight="1">
      <x:c r="A336" s="9" t="str">
        <x:v>2025-01-01</x:v>
      </x:c>
      <x:c r="B336" s="9" t="str">
        <x:v>Budget</x:v>
      </x:c>
      <x:c r="C336" s="9" t="str">
        <x:v>Customer Success</x:v>
      </x:c>
      <x:c r="D336" s="107" t="n">
        <x:v>1.6</x:v>
      </x:c>
      <x:c r="E336" s="107" t="n">
        <x:v>0</x:v>
      </x:c>
      <x:c r="F336" s="107" t="n">
        <x:v>20.8</x:v>
      </x:c>
    </x:row>
    <x:row r="337" ht="17" customHeight="1">
      <x:c r="A337" s="9" t="str">
        <x:v>2025-01-01</x:v>
      </x:c>
      <x:c r="B337" s="9" t="str">
        <x:v>Budget</x:v>
      </x:c>
      <x:c r="C337" s="9" t="str">
        <x:v>Finance &amp; Corporate</x:v>
      </x:c>
      <x:c r="D337" s="107" t="n">
        <x:v>0</x:v>
      </x:c>
      <x:c r="E337" s="107" t="n">
        <x:v>0</x:v>
      </x:c>
      <x:c r="F337" s="107" t="n">
        <x:v>10.5</x:v>
      </x:c>
    </x:row>
    <x:row r="338" ht="17" customHeight="1">
      <x:c r="A338" s="9" t="str">
        <x:v>2025-01-01</x:v>
      </x:c>
      <x:c r="B338" s="9" t="str">
        <x:v>Budget</x:v>
      </x:c>
      <x:c r="C338" s="9" t="str">
        <x:v>Operations</x:v>
      </x:c>
      <x:c r="D338" s="107" t="n">
        <x:v>0</x:v>
      </x:c>
      <x:c r="E338" s="107" t="n">
        <x:v>0.21527778</x:v>
      </x:c>
      <x:c r="F338" s="107" t="n">
        <x:v>32.854166670000005</x:v>
      </x:c>
    </x:row>
    <x:row r="339" ht="17" customHeight="1">
      <x:c r="A339" s="9" t="str">
        <x:v>2025-01-01</x:v>
      </x:c>
      <x:c r="B339" s="9" t="str">
        <x:v>Budget</x:v>
      </x:c>
      <x:c r="C339" s="9" t="str">
        <x:v>Sales</x:v>
      </x:c>
      <x:c r="D339" s="107" t="n">
        <x:v>0</x:v>
      </x:c>
      <x:c r="E339" s="107" t="n">
        <x:v>0.10333333</x:v>
      </x:c>
      <x:c r="F339" s="107" t="n">
        <x:v>12.34666667</x:v>
      </x:c>
    </x:row>
    <x:row r="340" ht="17" customHeight="1">
      <x:c r="A340" s="9" t="str">
        <x:v>2025-01-01</x:v>
      </x:c>
      <x:c r="B340" s="9" t="str">
        <x:v>Budget</x:v>
      </x:c>
      <x:c r="C340" s="9" t="str">
        <x:v>Technology</x:v>
      </x:c>
      <x:c r="D340" s="107" t="n">
        <x:v>0</x:v>
      </x:c>
      <x:c r="E340" s="107" t="n">
        <x:v>0.44166667</x:v>
      </x:c>
      <x:c r="F340" s="107" t="n">
        <x:v>29.33333333</x:v>
      </x:c>
    </x:row>
    <x:row r="341" ht="17" customHeight="1">
      <x:c r="A341" s="9" t="str">
        <x:v>2025-02-01</x:v>
      </x:c>
      <x:c r="B341" s="9" t="str">
        <x:v>Budget</x:v>
      </x:c>
      <x:c r="C341" s="9" t="str">
        <x:v>Customer Success</x:v>
      </x:c>
      <x:c r="D341" s="107" t="n">
        <x:v>1.6</x:v>
      </x:c>
      <x:c r="E341" s="107" t="n">
        <x:v>0</x:v>
      </x:c>
      <x:c r="F341" s="107" t="n">
        <x:v>20.8</x:v>
      </x:c>
    </x:row>
    <x:row r="342" ht="17" customHeight="1">
      <x:c r="A342" s="9" t="str">
        <x:v>2025-02-01</x:v>
      </x:c>
      <x:c r="B342" s="9" t="str">
        <x:v>Budget</x:v>
      </x:c>
      <x:c r="C342" s="9" t="str">
        <x:v>Finance &amp; Corporate</x:v>
      </x:c>
      <x:c r="D342" s="107" t="n">
        <x:v>0</x:v>
      </x:c>
      <x:c r="E342" s="107" t="n">
        <x:v>0</x:v>
      </x:c>
      <x:c r="F342" s="107" t="n">
        <x:v>10.5</x:v>
      </x:c>
    </x:row>
    <x:row r="343" ht="17" customHeight="1">
      <x:c r="A343" s="9" t="str">
        <x:v>2025-02-01</x:v>
      </x:c>
      <x:c r="B343" s="9" t="str">
        <x:v>Budget</x:v>
      </x:c>
      <x:c r="C343" s="9" t="str">
        <x:v>Operations</x:v>
      </x:c>
      <x:c r="D343" s="107" t="n">
        <x:v>0</x:v>
      </x:c>
      <x:c r="E343" s="107" t="n">
        <x:v>0.21527778</x:v>
      </x:c>
      <x:c r="F343" s="107" t="n">
        <x:v>32.638888890000004</x:v>
      </x:c>
    </x:row>
    <x:row r="344" ht="17" customHeight="1">
      <x:c r="A344" s="9" t="str">
        <x:v>2025-02-01</x:v>
      </x:c>
      <x:c r="B344" s="9" t="str">
        <x:v>Budget</x:v>
      </x:c>
      <x:c r="C344" s="9" t="str">
        <x:v>Sales</x:v>
      </x:c>
      <x:c r="D344" s="107" t="n">
        <x:v>0</x:v>
      </x:c>
      <x:c r="E344" s="107" t="n">
        <x:v>0.10333333</x:v>
      </x:c>
      <x:c r="F344" s="107" t="n">
        <x:v>12.24333333</x:v>
      </x:c>
    </x:row>
    <x:row r="345" ht="17" customHeight="1">
      <x:c r="A345" s="9" t="str">
        <x:v>2025-02-01</x:v>
      </x:c>
      <x:c r="B345" s="9" t="str">
        <x:v>Budget</x:v>
      </x:c>
      <x:c r="C345" s="9" t="str">
        <x:v>Technology</x:v>
      </x:c>
      <x:c r="D345" s="107" t="n">
        <x:v>0</x:v>
      </x:c>
      <x:c r="E345" s="107" t="n">
        <x:v>0.44166667</x:v>
      </x:c>
      <x:c r="F345" s="107" t="n">
        <x:v>28.891666670000003</x:v>
      </x:c>
    </x:row>
    <x:row r="346" ht="17" customHeight="1">
      <x:c r="A346" s="9" t="str">
        <x:v>2025-03-01</x:v>
      </x:c>
      <x:c r="B346" s="9" t="str">
        <x:v>Budget</x:v>
      </x:c>
      <x:c r="C346" s="9" t="str">
        <x:v>Customer Success</x:v>
      </x:c>
      <x:c r="D346" s="107" t="n">
        <x:v>1.6</x:v>
      </x:c>
      <x:c r="E346" s="107" t="n">
        <x:v>0</x:v>
      </x:c>
      <x:c r="F346" s="107" t="n">
        <x:v>20.8</x:v>
      </x:c>
    </x:row>
    <x:row r="347" ht="17" customHeight="1">
      <x:c r="A347" s="9" t="str">
        <x:v>2025-03-01</x:v>
      </x:c>
      <x:c r="B347" s="9" t="str">
        <x:v>Budget</x:v>
      </x:c>
      <x:c r="C347" s="9" t="str">
        <x:v>Finance &amp; Corporate</x:v>
      </x:c>
      <x:c r="D347" s="107" t="n">
        <x:v>0</x:v>
      </x:c>
      <x:c r="E347" s="107" t="n">
        <x:v>0</x:v>
      </x:c>
      <x:c r="F347" s="107" t="n">
        <x:v>10.5</x:v>
      </x:c>
    </x:row>
    <x:row r="348" ht="17" customHeight="1">
      <x:c r="A348" s="9" t="str">
        <x:v>2025-03-01</x:v>
      </x:c>
      <x:c r="B348" s="9" t="str">
        <x:v>Budget</x:v>
      </x:c>
      <x:c r="C348" s="9" t="str">
        <x:v>Operations</x:v>
      </x:c>
      <x:c r="D348" s="107" t="n">
        <x:v>0</x:v>
      </x:c>
      <x:c r="E348" s="107" t="n">
        <x:v>0.21527778</x:v>
      </x:c>
      <x:c r="F348" s="107" t="n">
        <x:v>32.423611109999996</x:v>
      </x:c>
    </x:row>
    <x:row r="349" ht="17" customHeight="1">
      <x:c r="A349" s="9" t="str">
        <x:v>2025-03-01</x:v>
      </x:c>
      <x:c r="B349" s="9" t="str">
        <x:v>Budget</x:v>
      </x:c>
      <x:c r="C349" s="9" t="str">
        <x:v>Sales</x:v>
      </x:c>
      <x:c r="D349" s="107" t="n">
        <x:v>1.1142857099999999</x:v>
      </x:c>
      <x:c r="E349" s="107" t="n">
        <x:v>0.10333333</x:v>
      </x:c>
      <x:c r="F349" s="107" t="n">
        <x:v>12.14</x:v>
      </x:c>
    </x:row>
    <x:row r="350" ht="17" customHeight="1">
      <x:c r="A350" s="9" t="str">
        <x:v>2025-03-01</x:v>
      </x:c>
      <x:c r="B350" s="9" t="str">
        <x:v>Budget</x:v>
      </x:c>
      <x:c r="C350" s="9" t="str">
        <x:v>Technology</x:v>
      </x:c>
      <x:c r="D350" s="107" t="n">
        <x:v>0</x:v>
      </x:c>
      <x:c r="E350" s="107" t="n">
        <x:v>0.44166667</x:v>
      </x:c>
      <x:c r="F350" s="107" t="n">
        <x:v>28.45</x:v>
      </x:c>
    </x:row>
    <x:row r="351" ht="17" customHeight="1">
      <x:c r="A351" s="9" t="str">
        <x:v>2025-04-01</x:v>
      </x:c>
      <x:c r="B351" s="9" t="str">
        <x:v>Budget</x:v>
      </x:c>
      <x:c r="C351" s="9" t="str">
        <x:v>Customer Success</x:v>
      </x:c>
      <x:c r="D351" s="107" t="n">
        <x:v>1.6</x:v>
      </x:c>
      <x:c r="E351" s="107" t="n">
        <x:v>0</x:v>
      </x:c>
      <x:c r="F351" s="107" t="n">
        <x:v>20.8</x:v>
      </x:c>
    </x:row>
    <x:row r="352" ht="17" customHeight="1">
      <x:c r="A352" s="9" t="str">
        <x:v>2025-04-01</x:v>
      </x:c>
      <x:c r="B352" s="9" t="str">
        <x:v>Budget</x:v>
      </x:c>
      <x:c r="C352" s="9" t="str">
        <x:v>Finance &amp; Corporate</x:v>
      </x:c>
      <x:c r="D352" s="107" t="n">
        <x:v>0</x:v>
      </x:c>
      <x:c r="E352" s="107" t="n">
        <x:v>0</x:v>
      </x:c>
      <x:c r="F352" s="107" t="n">
        <x:v>10.5</x:v>
      </x:c>
    </x:row>
    <x:row r="353" ht="17" customHeight="1">
      <x:c r="A353" s="9" t="str">
        <x:v>2025-04-01</x:v>
      </x:c>
      <x:c r="B353" s="9" t="str">
        <x:v>Budget</x:v>
      </x:c>
      <x:c r="C353" s="9" t="str">
        <x:v>Operations</x:v>
      </x:c>
      <x:c r="D353" s="107" t="n">
        <x:v>0</x:v>
      </x:c>
      <x:c r="E353" s="107" t="n">
        <x:v>0.21527778</x:v>
      </x:c>
      <x:c r="F353" s="107" t="n">
        <x:v>32.208333329999995</x:v>
      </x:c>
    </x:row>
    <x:row r="354" ht="17" customHeight="1">
      <x:c r="A354" s="9" t="str">
        <x:v>2025-04-01</x:v>
      </x:c>
      <x:c r="B354" s="9" t="str">
        <x:v>Budget</x:v>
      </x:c>
      <x:c r="C354" s="9" t="str">
        <x:v>Sales</x:v>
      </x:c>
      <x:c r="D354" s="107" t="n">
        <x:v>1.1142857099999999</x:v>
      </x:c>
      <x:c r="E354" s="107" t="n">
        <x:v>0.10333333</x:v>
      </x:c>
      <x:c r="F354" s="107" t="n">
        <x:v>12.03666667</x:v>
      </x:c>
    </x:row>
    <x:row r="355" ht="17" customHeight="1">
      <x:c r="A355" s="9" t="str">
        <x:v>2025-04-01</x:v>
      </x:c>
      <x:c r="B355" s="9" t="str">
        <x:v>Budget</x:v>
      </x:c>
      <x:c r="C355" s="9" t="str">
        <x:v>Technology</x:v>
      </x:c>
      <x:c r="D355" s="107" t="n">
        <x:v>0</x:v>
      </x:c>
      <x:c r="E355" s="107" t="n">
        <x:v>0.44166667</x:v>
      </x:c>
      <x:c r="F355" s="107" t="n">
        <x:v>28.00833333</x:v>
      </x:c>
    </x:row>
    <x:row r="356" ht="17" customHeight="1">
      <x:c r="A356" s="9" t="str">
        <x:v>2025-05-01</x:v>
      </x:c>
      <x:c r="B356" s="9" t="str">
        <x:v>Budget</x:v>
      </x:c>
      <x:c r="C356" s="9" t="str">
        <x:v>Customer Success</x:v>
      </x:c>
      <x:c r="D356" s="107" t="n">
        <x:v>1.6</x:v>
      </x:c>
      <x:c r="E356" s="107" t="n">
        <x:v>0</x:v>
      </x:c>
      <x:c r="F356" s="107" t="n">
        <x:v>20.8</x:v>
      </x:c>
    </x:row>
    <x:row r="357" ht="17" customHeight="1">
      <x:c r="A357" s="9" t="str">
        <x:v>2025-05-01</x:v>
      </x:c>
      <x:c r="B357" s="9" t="str">
        <x:v>Budget</x:v>
      </x:c>
      <x:c r="C357" s="9" t="str">
        <x:v>Finance &amp; Corporate</x:v>
      </x:c>
      <x:c r="D357" s="107" t="n">
        <x:v>0</x:v>
      </x:c>
      <x:c r="E357" s="107" t="n">
        <x:v>0</x:v>
      </x:c>
      <x:c r="F357" s="107" t="n">
        <x:v>10.5</x:v>
      </x:c>
    </x:row>
    <x:row r="358" ht="17" customHeight="1">
      <x:c r="A358" s="9" t="str">
        <x:v>2025-05-01</x:v>
      </x:c>
      <x:c r="B358" s="9" t="str">
        <x:v>Budget</x:v>
      </x:c>
      <x:c r="C358" s="9" t="str">
        <x:v>Operations</x:v>
      </x:c>
      <x:c r="D358" s="107" t="n">
        <x:v>0</x:v>
      </x:c>
      <x:c r="E358" s="107" t="n">
        <x:v>0.21527778</x:v>
      </x:c>
      <x:c r="F358" s="107" t="n">
        <x:v>31.993055560000002</x:v>
      </x:c>
    </x:row>
    <x:row r="359" ht="17" customHeight="1">
      <x:c r="A359" s="9" t="str">
        <x:v>2025-05-01</x:v>
      </x:c>
      <x:c r="B359" s="9" t="str">
        <x:v>Budget</x:v>
      </x:c>
      <x:c r="C359" s="9" t="str">
        <x:v>Sales</x:v>
      </x:c>
      <x:c r="D359" s="107" t="n">
        <x:v>1.1142857099999999</x:v>
      </x:c>
      <x:c r="E359" s="107" t="n">
        <x:v>0.10333333</x:v>
      </x:c>
      <x:c r="F359" s="107" t="n">
        <x:v>11.93333333</x:v>
      </x:c>
    </x:row>
    <x:row r="360" ht="17" customHeight="1">
      <x:c r="A360" s="9" t="str">
        <x:v>2025-05-01</x:v>
      </x:c>
      <x:c r="B360" s="9" t="str">
        <x:v>Budget</x:v>
      </x:c>
      <x:c r="C360" s="9" t="str">
        <x:v>Technology</x:v>
      </x:c>
      <x:c r="D360" s="107" t="n">
        <x:v>0</x:v>
      </x:c>
      <x:c r="E360" s="107" t="n">
        <x:v>0.44166667</x:v>
      </x:c>
      <x:c r="F360" s="107" t="n">
        <x:v>27.56666667</x:v>
      </x:c>
    </x:row>
    <x:row r="361" ht="17" customHeight="1">
      <x:c r="A361" s="9" t="str">
        <x:v>2025-06-01</x:v>
      </x:c>
      <x:c r="B361" s="9" t="str">
        <x:v>Budget</x:v>
      </x:c>
      <x:c r="C361" s="9" t="str">
        <x:v>Customer Success</x:v>
      </x:c>
      <x:c r="D361" s="107" t="n">
        <x:v>1.6</x:v>
      </x:c>
      <x:c r="E361" s="107" t="n">
        <x:v>0.2</x:v>
      </x:c>
      <x:c r="F361" s="107" t="n">
        <x:v>20.6</x:v>
      </x:c>
    </x:row>
    <x:row r="362" ht="17" customHeight="1">
      <x:c r="A362" s="9" t="str">
        <x:v>2025-06-01</x:v>
      </x:c>
      <x:c r="B362" s="9" t="str">
        <x:v>Budget</x:v>
      </x:c>
      <x:c r="C362" s="9" t="str">
        <x:v>Finance &amp; Corporate</x:v>
      </x:c>
      <x:c r="D362" s="107" t="n">
        <x:v>0</x:v>
      </x:c>
      <x:c r="E362" s="107" t="n">
        <x:v>0</x:v>
      </x:c>
      <x:c r="F362" s="107" t="n">
        <x:v>10.5</x:v>
      </x:c>
    </x:row>
    <x:row r="363" ht="17" customHeight="1">
      <x:c r="A363" s="9" t="str">
        <x:v>2025-06-01</x:v>
      </x:c>
      <x:c r="B363" s="9" t="str">
        <x:v>Budget</x:v>
      </x:c>
      <x:c r="C363" s="9" t="str">
        <x:v>Operations</x:v>
      </x:c>
      <x:c r="D363" s="107" t="n">
        <x:v>0</x:v>
      </x:c>
      <x:c r="E363" s="107" t="n">
        <x:v>0.21527778</x:v>
      </x:c>
      <x:c r="F363" s="107" t="n">
        <x:v>31.77777778</x:v>
      </x:c>
    </x:row>
    <x:row r="364" ht="17" customHeight="1">
      <x:c r="A364" s="9" t="str">
        <x:v>2025-06-01</x:v>
      </x:c>
      <x:c r="B364" s="9" t="str">
        <x:v>Budget</x:v>
      </x:c>
      <x:c r="C364" s="9" t="str">
        <x:v>Sales</x:v>
      </x:c>
      <x:c r="D364" s="107" t="n">
        <x:v>1.1142857099999999</x:v>
      </x:c>
      <x:c r="E364" s="107" t="n">
        <x:v>0.10333333</x:v>
      </x:c>
      <x:c r="F364" s="107" t="n">
        <x:v>11.83</x:v>
      </x:c>
    </x:row>
    <x:row r="365" ht="17" customHeight="1">
      <x:c r="A365" s="9" t="str">
        <x:v>2025-06-01</x:v>
      </x:c>
      <x:c r="B365" s="9" t="str">
        <x:v>Budget</x:v>
      </x:c>
      <x:c r="C365" s="9" t="str">
        <x:v>Technology</x:v>
      </x:c>
      <x:c r="D365" s="107" t="n">
        <x:v>0</x:v>
      </x:c>
      <x:c r="E365" s="107" t="n">
        <x:v>0.44166667</x:v>
      </x:c>
      <x:c r="F365" s="107" t="n">
        <x:v>27.125</x:v>
      </x:c>
    </x:row>
    <x:row r="366" ht="17" customHeight="1">
      <x:c r="A366" s="9" t="str">
        <x:v>2025-07-01</x:v>
      </x:c>
      <x:c r="B366" s="9" t="str">
        <x:v>Budget</x:v>
      </x:c>
      <x:c r="C366" s="9" t="str">
        <x:v>Customer Success</x:v>
      </x:c>
      <x:c r="D366" s="107" t="n">
        <x:v>0</x:v>
      </x:c>
      <x:c r="E366" s="107" t="n">
        <x:v>0.2</x:v>
      </x:c>
      <x:c r="F366" s="107" t="n">
        <x:v>20.4</x:v>
      </x:c>
    </x:row>
    <x:row r="367" ht="17" customHeight="1">
      <x:c r="A367" s="9" t="str">
        <x:v>2025-07-01</x:v>
      </x:c>
      <x:c r="B367" s="9" t="str">
        <x:v>Budget</x:v>
      </x:c>
      <x:c r="C367" s="9" t="str">
        <x:v>Finance &amp; Corporate</x:v>
      </x:c>
      <x:c r="D367" s="107" t="n">
        <x:v>1.16666667</x:v>
      </x:c>
      <x:c r="E367" s="107" t="n">
        <x:v>0</x:v>
      </x:c>
      <x:c r="F367" s="107" t="n">
        <x:v>10.5</x:v>
      </x:c>
    </x:row>
    <x:row r="368" ht="17" customHeight="1">
      <x:c r="A368" s="9" t="str">
        <x:v>2025-07-01</x:v>
      </x:c>
      <x:c r="B368" s="9" t="str">
        <x:v>Budget</x:v>
      </x:c>
      <x:c r="C368" s="9" t="str">
        <x:v>Operations</x:v>
      </x:c>
      <x:c r="D368" s="107" t="n">
        <x:v>0</x:v>
      </x:c>
      <x:c r="E368" s="107" t="n">
        <x:v>0.21527778</x:v>
      </x:c>
      <x:c r="F368" s="107" t="n">
        <x:v>31.5625</x:v>
      </x:c>
    </x:row>
    <x:row r="369" ht="17" customHeight="1">
      <x:c r="A369" s="9" t="str">
        <x:v>2025-07-01</x:v>
      </x:c>
      <x:c r="B369" s="9" t="str">
        <x:v>Budget</x:v>
      </x:c>
      <x:c r="C369" s="9" t="str">
        <x:v>Sales</x:v>
      </x:c>
      <x:c r="D369" s="107" t="n">
        <x:v>1.1142857099999999</x:v>
      </x:c>
      <x:c r="E369" s="107" t="n">
        <x:v>0.10333333</x:v>
      </x:c>
      <x:c r="F369" s="107" t="n">
        <x:v>11.72666667</x:v>
      </x:c>
    </x:row>
    <x:row r="370" ht="17" customHeight="1">
      <x:c r="A370" s="9" t="str">
        <x:v>2025-07-01</x:v>
      </x:c>
      <x:c r="B370" s="9" t="str">
        <x:v>Budget</x:v>
      </x:c>
      <x:c r="C370" s="9" t="str">
        <x:v>Technology</x:v>
      </x:c>
      <x:c r="D370" s="107" t="n">
        <x:v>0</x:v>
      </x:c>
      <x:c r="E370" s="107" t="n">
        <x:v>0.44166667</x:v>
      </x:c>
      <x:c r="F370" s="107" t="n">
        <x:v>26.68333333</x:v>
      </x:c>
    </x:row>
    <x:row r="371" ht="17" customHeight="1">
      <x:c r="A371" s="9" t="str">
        <x:v>2025-08-01</x:v>
      </x:c>
      <x:c r="B371" s="9" t="str">
        <x:v>Budget</x:v>
      </x:c>
      <x:c r="C371" s="9" t="str">
        <x:v>Customer Success</x:v>
      </x:c>
      <x:c r="D371" s="107" t="n">
        <x:v>0</x:v>
      </x:c>
      <x:c r="E371" s="107" t="n">
        <x:v>0.2</x:v>
      </x:c>
      <x:c r="F371" s="107" t="n">
        <x:v>20.2</x:v>
      </x:c>
    </x:row>
    <x:row r="372" ht="17" customHeight="1">
      <x:c r="A372" s="9" t="str">
        <x:v>2025-08-01</x:v>
      </x:c>
      <x:c r="B372" s="9" t="str">
        <x:v>Budget</x:v>
      </x:c>
      <x:c r="C372" s="9" t="str">
        <x:v>Finance &amp; Corporate</x:v>
      </x:c>
      <x:c r="D372" s="107" t="n">
        <x:v>1.16666667</x:v>
      </x:c>
      <x:c r="E372" s="107" t="n">
        <x:v>0</x:v>
      </x:c>
      <x:c r="F372" s="107" t="n">
        <x:v>10.5</x:v>
      </x:c>
    </x:row>
    <x:row r="373" ht="17" customHeight="1">
      <x:c r="A373" s="9" t="str">
        <x:v>2025-08-01</x:v>
      </x:c>
      <x:c r="B373" s="9" t="str">
        <x:v>Budget</x:v>
      </x:c>
      <x:c r="C373" s="9" t="str">
        <x:v>Operations</x:v>
      </x:c>
      <x:c r="D373" s="107" t="n">
        <x:v>0</x:v>
      </x:c>
      <x:c r="E373" s="107" t="n">
        <x:v>0.21527778</x:v>
      </x:c>
      <x:c r="F373" s="107" t="n">
        <x:v>31.34722222</x:v>
      </x:c>
    </x:row>
    <x:row r="374" ht="17" customHeight="1">
      <x:c r="A374" s="9" t="str">
        <x:v>2025-08-01</x:v>
      </x:c>
      <x:c r="B374" s="9" t="str">
        <x:v>Budget</x:v>
      </x:c>
      <x:c r="C374" s="9" t="str">
        <x:v>Sales</x:v>
      </x:c>
      <x:c r="D374" s="107" t="n">
        <x:v>1.1142857099999999</x:v>
      </x:c>
      <x:c r="E374" s="107" t="n">
        <x:v>0.10333333</x:v>
      </x:c>
      <x:c r="F374" s="107" t="n">
        <x:v>11.62333333</x:v>
      </x:c>
    </x:row>
    <x:row r="375" ht="17" customHeight="1">
      <x:c r="A375" s="9" t="str">
        <x:v>2025-08-01</x:v>
      </x:c>
      <x:c r="B375" s="9" t="str">
        <x:v>Budget</x:v>
      </x:c>
      <x:c r="C375" s="9" t="str">
        <x:v>Technology</x:v>
      </x:c>
      <x:c r="D375" s="107" t="n">
        <x:v>0</x:v>
      </x:c>
      <x:c r="E375" s="107" t="n">
        <x:v>0.44166667</x:v>
      </x:c>
      <x:c r="F375" s="107" t="n">
        <x:v>26.24166667</x:v>
      </x:c>
    </x:row>
    <x:row r="376" ht="17" customHeight="1">
      <x:c r="A376" s="9" t="str">
        <x:v>2025-09-01</x:v>
      </x:c>
      <x:c r="B376" s="9" t="str">
        <x:v>Budget</x:v>
      </x:c>
      <x:c r="C376" s="9" t="str">
        <x:v>Customer Success</x:v>
      </x:c>
      <x:c r="D376" s="107" t="n">
        <x:v>0</x:v>
      </x:c>
      <x:c r="E376" s="107" t="n">
        <x:v>0.2</x:v>
      </x:c>
      <x:c r="F376" s="107" t="n">
        <x:v>20</x:v>
      </x:c>
    </x:row>
    <x:row r="377" ht="17" customHeight="1">
      <x:c r="A377" s="9" t="str">
        <x:v>2025-09-01</x:v>
      </x:c>
      <x:c r="B377" s="9" t="str">
        <x:v>Budget</x:v>
      </x:c>
      <x:c r="C377" s="9" t="str">
        <x:v>Finance &amp; Corporate</x:v>
      </x:c>
      <x:c r="D377" s="107" t="n">
        <x:v>1.16666667</x:v>
      </x:c>
      <x:c r="E377" s="107" t="n">
        <x:v>0</x:v>
      </x:c>
      <x:c r="F377" s="107" t="n">
        <x:v>10.5</x:v>
      </x:c>
    </x:row>
    <x:row r="378" ht="17" customHeight="1">
      <x:c r="A378" s="9" t="str">
        <x:v>2025-09-01</x:v>
      </x:c>
      <x:c r="B378" s="9" t="str">
        <x:v>Budget</x:v>
      </x:c>
      <x:c r="C378" s="9" t="str">
        <x:v>Operations</x:v>
      </x:c>
      <x:c r="D378" s="107" t="n">
        <x:v>0</x:v>
      </x:c>
      <x:c r="E378" s="107" t="n">
        <x:v>0.21527778</x:v>
      </x:c>
      <x:c r="F378" s="107" t="n">
        <x:v>31.131944439999998</x:v>
      </x:c>
    </x:row>
    <x:row r="379" ht="17" customHeight="1">
      <x:c r="A379" s="9" t="str">
        <x:v>2025-09-01</x:v>
      </x:c>
      <x:c r="B379" s="9" t="str">
        <x:v>Budget</x:v>
      </x:c>
      <x:c r="C379" s="9" t="str">
        <x:v>Sales</x:v>
      </x:c>
      <x:c r="D379" s="107" t="n">
        <x:v>1.1142857099999999</x:v>
      </x:c>
      <x:c r="E379" s="107" t="n">
        <x:v>0.23333333</x:v>
      </x:c>
      <x:c r="F379" s="107" t="n">
        <x:v>11.39</x:v>
      </x:c>
    </x:row>
    <x:row r="380" ht="17" customHeight="1">
      <x:c r="A380" s="9" t="str">
        <x:v>2025-09-01</x:v>
      </x:c>
      <x:c r="B380" s="9" t="str">
        <x:v>Budget</x:v>
      </x:c>
      <x:c r="C380" s="9" t="str">
        <x:v>Technology</x:v>
      </x:c>
      <x:c r="D380" s="107" t="n">
        <x:v>0</x:v>
      </x:c>
      <x:c r="E380" s="107" t="n">
        <x:v>0.44166667</x:v>
      </x:c>
      <x:c r="F380" s="107" t="n">
        <x:v>25.8</x:v>
      </x:c>
    </x:row>
    <x:row r="381" ht="17" customHeight="1">
      <x:c r="A381" s="9" t="str">
        <x:v>2025-10-01</x:v>
      </x:c>
      <x:c r="B381" s="9" t="str">
        <x:v>Budget</x:v>
      </x:c>
      <x:c r="C381" s="9" t="str">
        <x:v>Customer Success</x:v>
      </x:c>
      <x:c r="D381" s="107" t="n">
        <x:v>0</x:v>
      </x:c>
      <x:c r="E381" s="107" t="n">
        <x:v>0.2</x:v>
      </x:c>
      <x:c r="F381" s="107" t="n">
        <x:v>19.8</x:v>
      </x:c>
    </x:row>
    <x:row r="382" ht="17" customHeight="1">
      <x:c r="A382" s="9" t="str">
        <x:v>2025-10-01</x:v>
      </x:c>
      <x:c r="B382" s="9" t="str">
        <x:v>Budget</x:v>
      </x:c>
      <x:c r="C382" s="9" t="str">
        <x:v>Finance &amp; Corporate</x:v>
      </x:c>
      <x:c r="D382" s="107" t="n">
        <x:v>1.16666667</x:v>
      </x:c>
      <x:c r="E382" s="107" t="n">
        <x:v>0</x:v>
      </x:c>
      <x:c r="F382" s="107" t="n">
        <x:v>10.5</x:v>
      </x:c>
    </x:row>
    <x:row r="383" ht="17" customHeight="1">
      <x:c r="A383" s="9" t="str">
        <x:v>2025-10-01</x:v>
      </x:c>
      <x:c r="B383" s="9" t="str">
        <x:v>Budget</x:v>
      </x:c>
      <x:c r="C383" s="9" t="str">
        <x:v>Operations</x:v>
      </x:c>
      <x:c r="D383" s="107" t="n">
        <x:v>0</x:v>
      </x:c>
      <x:c r="E383" s="107" t="n">
        <x:v>0.21527778</x:v>
      </x:c>
      <x:c r="F383" s="107" t="n">
        <x:v>30.91666667</x:v>
      </x:c>
    </x:row>
    <x:row r="384" ht="17" customHeight="1">
      <x:c r="A384" s="9" t="str">
        <x:v>2025-10-01</x:v>
      </x:c>
      <x:c r="B384" s="9" t="str">
        <x:v>Budget</x:v>
      </x:c>
      <x:c r="C384" s="9" t="str">
        <x:v>Sales</x:v>
      </x:c>
      <x:c r="D384" s="107" t="n">
        <x:v>0</x:v>
      </x:c>
      <x:c r="E384" s="107" t="n">
        <x:v>0.23333333</x:v>
      </x:c>
      <x:c r="F384" s="107" t="n">
        <x:v>11.15666667</x:v>
      </x:c>
    </x:row>
    <x:row r="385" ht="17" customHeight="1">
      <x:c r="A385" s="9" t="str">
        <x:v>2025-10-01</x:v>
      </x:c>
      <x:c r="B385" s="9" t="str">
        <x:v>Budget</x:v>
      </x:c>
      <x:c r="C385" s="9" t="str">
        <x:v>Technology</x:v>
      </x:c>
      <x:c r="D385" s="107" t="n">
        <x:v>0</x:v>
      </x:c>
      <x:c r="E385" s="107" t="n">
        <x:v>0.44166667</x:v>
      </x:c>
      <x:c r="F385" s="107" t="n">
        <x:v>25.358333329999997</x:v>
      </x:c>
    </x:row>
    <x:row r="386" ht="17" customHeight="1">
      <x:c r="A386" s="9" t="str">
        <x:v>2025-11-01</x:v>
      </x:c>
      <x:c r="B386" s="9" t="str">
        <x:v>Budget</x:v>
      </x:c>
      <x:c r="C386" s="9" t="str">
        <x:v>Customer Success</x:v>
      </x:c>
      <x:c r="D386" s="107" t="n">
        <x:v>0</x:v>
      </x:c>
      <x:c r="E386" s="107" t="n">
        <x:v>0.2</x:v>
      </x:c>
      <x:c r="F386" s="107" t="n">
        <x:v>19.6</x:v>
      </x:c>
    </x:row>
    <x:row r="387" ht="17" customHeight="1">
      <x:c r="A387" s="9" t="str">
        <x:v>2025-11-01</x:v>
      </x:c>
      <x:c r="B387" s="9" t="str">
        <x:v>Budget</x:v>
      </x:c>
      <x:c r="C387" s="9" t="str">
        <x:v>Finance &amp; Corporate</x:v>
      </x:c>
      <x:c r="D387" s="107" t="n">
        <x:v>1.16666667</x:v>
      </x:c>
      <x:c r="E387" s="107" t="n">
        <x:v>0</x:v>
      </x:c>
      <x:c r="F387" s="107" t="n">
        <x:v>10.5</x:v>
      </x:c>
    </x:row>
    <x:row r="388" ht="17" customHeight="1">
      <x:c r="A388" s="9" t="str">
        <x:v>2025-11-01</x:v>
      </x:c>
      <x:c r="B388" s="9" t="str">
        <x:v>Budget</x:v>
      </x:c>
      <x:c r="C388" s="9" t="str">
        <x:v>Operations</x:v>
      </x:c>
      <x:c r="D388" s="107" t="n">
        <x:v>0</x:v>
      </x:c>
      <x:c r="E388" s="107" t="n">
        <x:v>0.21527778</x:v>
      </x:c>
      <x:c r="F388" s="107" t="n">
        <x:v>30.70138889</x:v>
      </x:c>
    </x:row>
    <x:row r="389" ht="17" customHeight="1">
      <x:c r="A389" s="9" t="str">
        <x:v>2025-11-01</x:v>
      </x:c>
      <x:c r="B389" s="9" t="str">
        <x:v>Budget</x:v>
      </x:c>
      <x:c r="C389" s="9" t="str">
        <x:v>Sales</x:v>
      </x:c>
      <x:c r="D389" s="107" t="n">
        <x:v>0</x:v>
      </x:c>
      <x:c r="E389" s="107" t="n">
        <x:v>0.23333333</x:v>
      </x:c>
      <x:c r="F389" s="107" t="n">
        <x:v>10.92333333</x:v>
      </x:c>
    </x:row>
    <x:row r="390" ht="17" customHeight="1">
      <x:c r="A390" s="9" t="str">
        <x:v>2025-11-01</x:v>
      </x:c>
      <x:c r="B390" s="9" t="str">
        <x:v>Budget</x:v>
      </x:c>
      <x:c r="C390" s="9" t="str">
        <x:v>Technology</x:v>
      </x:c>
      <x:c r="D390" s="107" t="n">
        <x:v>0</x:v>
      </x:c>
      <x:c r="E390" s="107" t="n">
        <x:v>0.44166667</x:v>
      </x:c>
      <x:c r="F390" s="107" t="n">
        <x:v>24.91666667</x:v>
      </x:c>
    </x:row>
    <x:row r="391" ht="17" customHeight="1">
      <x:c r="A391" s="9" t="str">
        <x:v>2025-12-01</x:v>
      </x:c>
      <x:c r="B391" s="9" t="str">
        <x:v>Budget</x:v>
      </x:c>
      <x:c r="C391" s="9" t="str">
        <x:v>Customer Success</x:v>
      </x:c>
      <x:c r="D391" s="107" t="n">
        <x:v>0</x:v>
      </x:c>
      <x:c r="E391" s="107" t="n">
        <x:v>0.2</x:v>
      </x:c>
      <x:c r="F391" s="107" t="n">
        <x:v>19.4</x:v>
      </x:c>
    </x:row>
    <x:row r="392" ht="17" customHeight="1">
      <x:c r="A392" s="9" t="str">
        <x:v>2025-12-01</x:v>
      </x:c>
      <x:c r="B392" s="9" t="str">
        <x:v>Budget</x:v>
      </x:c>
      <x:c r="C392" s="9" t="str">
        <x:v>Finance &amp; Corporate</x:v>
      </x:c>
      <x:c r="D392" s="107" t="n">
        <x:v>1.16666667</x:v>
      </x:c>
      <x:c r="E392" s="107" t="n">
        <x:v>0</x:v>
      </x:c>
      <x:c r="F392" s="107" t="n">
        <x:v>10.5</x:v>
      </x:c>
    </x:row>
    <x:row r="393" ht="17" customHeight="1">
      <x:c r="A393" s="9" t="str">
        <x:v>2025-12-01</x:v>
      </x:c>
      <x:c r="B393" s="9" t="str">
        <x:v>Budget</x:v>
      </x:c>
      <x:c r="C393" s="9" t="str">
        <x:v>Operations</x:v>
      </x:c>
      <x:c r="D393" s="107" t="n">
        <x:v>0</x:v>
      </x:c>
      <x:c r="E393" s="107" t="n">
        <x:v>0.21527778</x:v>
      </x:c>
      <x:c r="F393" s="107" t="n">
        <x:v>30.48611111</x:v>
      </x:c>
    </x:row>
    <x:row r="394" ht="17" customHeight="1">
      <x:c r="A394" s="9" t="str">
        <x:v>2025-12-01</x:v>
      </x:c>
      <x:c r="B394" s="9" t="str">
        <x:v>Budget</x:v>
      </x:c>
      <x:c r="C394" s="9" t="str">
        <x:v>Sales</x:v>
      </x:c>
      <x:c r="D394" s="107" t="n">
        <x:v>0</x:v>
      </x:c>
      <x:c r="E394" s="107" t="n">
        <x:v>0.23333333</x:v>
      </x:c>
      <x:c r="F394" s="107" t="n">
        <x:v>10.69</x:v>
      </x:c>
    </x:row>
    <x:row r="395" ht="17" customHeight="1">
      <x:c r="A395" s="9" t="str">
        <x:v>2025-12-01</x:v>
      </x:c>
      <x:c r="B395" s="9" t="str">
        <x:v>Budget</x:v>
      </x:c>
      <x:c r="C395" s="9" t="str">
        <x:v>Technology</x:v>
      </x:c>
      <x:c r="D395" s="107" t="n">
        <x:v>0</x:v>
      </x:c>
      <x:c r="E395" s="107" t="n">
        <x:v>0.44166667</x:v>
      </x:c>
      <x:c r="F395" s="107" t="n">
        <x:v>24.475</x:v>
      </x:c>
    </x:row>
    <x:row r="396" ht="17" customHeight="1">
      <x:c r="A396" s="9" t="str">
        <x:v>2026-01-01</x:v>
      </x:c>
      <x:c r="B396" s="9" t="str">
        <x:v>Budget</x:v>
      </x:c>
      <x:c r="C396" s="9" t="str">
        <x:v>Customer Success</x:v>
      </x:c>
      <x:c r="D396" s="107" t="n">
        <x:v>0</x:v>
      </x:c>
      <x:c r="E396" s="107" t="n">
        <x:v>0.2</x:v>
      </x:c>
      <x:c r="F396" s="107" t="n">
        <x:v>19.2</x:v>
      </x:c>
    </x:row>
    <x:row r="397" ht="17" customHeight="1">
      <x:c r="A397" s="9" t="str">
        <x:v>2026-01-01</x:v>
      </x:c>
      <x:c r="B397" s="9" t="str">
        <x:v>Budget</x:v>
      </x:c>
      <x:c r="C397" s="9" t="str">
        <x:v>Finance &amp; Corporate</x:v>
      </x:c>
      <x:c r="D397" s="107" t="n">
        <x:v>1.16666667</x:v>
      </x:c>
      <x:c r="E397" s="107" t="n">
        <x:v>0</x:v>
      </x:c>
      <x:c r="F397" s="107" t="n">
        <x:v>10.5</x:v>
      </x:c>
    </x:row>
    <x:row r="398" ht="17" customHeight="1">
      <x:c r="A398" s="9" t="str">
        <x:v>2026-01-01</x:v>
      </x:c>
      <x:c r="B398" s="9" t="str">
        <x:v>Budget</x:v>
      </x:c>
      <x:c r="C398" s="9" t="str">
        <x:v>Operations</x:v>
      </x:c>
      <x:c r="D398" s="107" t="n">
        <x:v>0</x:v>
      </x:c>
      <x:c r="E398" s="107" t="n">
        <x:v>0.21527778</x:v>
      </x:c>
      <x:c r="F398" s="107" t="n">
        <x:v>30.27083333</x:v>
      </x:c>
    </x:row>
    <x:row r="399" ht="17" customHeight="1">
      <x:c r="A399" s="9" t="str">
        <x:v>2026-01-01</x:v>
      </x:c>
      <x:c r="B399" s="9" t="str">
        <x:v>Budget</x:v>
      </x:c>
      <x:c r="C399" s="9" t="str">
        <x:v>Sales</x:v>
      </x:c>
      <x:c r="D399" s="107" t="n">
        <x:v>0</x:v>
      </x:c>
      <x:c r="E399" s="107" t="n">
        <x:v>0.23333333</x:v>
      </x:c>
      <x:c r="F399" s="107" t="n">
        <x:v>10.45666667</x:v>
      </x:c>
    </x:row>
    <x:row r="400" ht="17" customHeight="1">
      <x:c r="A400" s="9" t="str">
        <x:v>2026-01-01</x:v>
      </x:c>
      <x:c r="B400" s="9" t="str">
        <x:v>Budget</x:v>
      </x:c>
      <x:c r="C400" s="9" t="str">
        <x:v>Technology</x:v>
      </x:c>
      <x:c r="D400" s="107" t="n">
        <x:v>0</x:v>
      </x:c>
      <x:c r="E400" s="107" t="n">
        <x:v>0.44166667</x:v>
      </x:c>
      <x:c r="F400" s="107" t="n">
        <x:v>24.033333329999998</x:v>
      </x:c>
    </x:row>
    <x:row r="401" ht="17" customHeight="1">
      <x:c r="A401" s="9" t="str">
        <x:v>2026-02-01</x:v>
      </x:c>
      <x:c r="B401" s="9" t="str">
        <x:v>Budget</x:v>
      </x:c>
      <x:c r="C401" s="9" t="str">
        <x:v>Customer Success</x:v>
      </x:c>
      <x:c r="D401" s="107" t="n">
        <x:v>0</x:v>
      </x:c>
      <x:c r="E401" s="107" t="n">
        <x:v>0.2</x:v>
      </x:c>
      <x:c r="F401" s="107" t="n">
        <x:v>19</x:v>
      </x:c>
    </x:row>
    <x:row r="402" ht="17" customHeight="1">
      <x:c r="A402" s="9" t="str">
        <x:v>2026-02-01</x:v>
      </x:c>
      <x:c r="B402" s="9" t="str">
        <x:v>Budget</x:v>
      </x:c>
      <x:c r="C402" s="9" t="str">
        <x:v>Finance &amp; Corporate</x:v>
      </x:c>
      <x:c r="D402" s="107" t="n">
        <x:v>1.16666667</x:v>
      </x:c>
      <x:c r="E402" s="107" t="n">
        <x:v>0</x:v>
      </x:c>
      <x:c r="F402" s="107" t="n">
        <x:v>10.5</x:v>
      </x:c>
    </x:row>
    <x:row r="403" ht="17" customHeight="1">
      <x:c r="A403" s="9" t="str">
        <x:v>2026-02-01</x:v>
      </x:c>
      <x:c r="B403" s="9" t="str">
        <x:v>Budget</x:v>
      </x:c>
      <x:c r="C403" s="9" t="str">
        <x:v>Operations</x:v>
      </x:c>
      <x:c r="D403" s="107" t="n">
        <x:v>0</x:v>
      </x:c>
      <x:c r="E403" s="107" t="n">
        <x:v>0.21527778</x:v>
      </x:c>
      <x:c r="F403" s="107" t="n">
        <x:v>30.055555560000002</x:v>
      </x:c>
    </x:row>
    <x:row r="404" ht="17" customHeight="1">
      <x:c r="A404" s="9" t="str">
        <x:v>2026-02-01</x:v>
      </x:c>
      <x:c r="B404" s="9" t="str">
        <x:v>Budget</x:v>
      </x:c>
      <x:c r="C404" s="9" t="str">
        <x:v>Sales</x:v>
      </x:c>
      <x:c r="D404" s="107" t="n">
        <x:v>0</x:v>
      </x:c>
      <x:c r="E404" s="107" t="n">
        <x:v>0.23333333</x:v>
      </x:c>
      <x:c r="F404" s="107" t="n">
        <x:v>10.22333333</x:v>
      </x:c>
    </x:row>
    <x:row r="405" ht="17" customHeight="1">
      <x:c r="A405" s="9" t="str">
        <x:v>2026-02-01</x:v>
      </x:c>
      <x:c r="B405" s="9" t="str">
        <x:v>Budget</x:v>
      </x:c>
      <x:c r="C405" s="9" t="str">
        <x:v>Technology</x:v>
      </x:c>
      <x:c r="D405" s="107" t="n">
        <x:v>1.5</x:v>
      </x:c>
      <x:c r="E405" s="107" t="n">
        <x:v>0.44166667</x:v>
      </x:c>
      <x:c r="F405" s="107" t="n">
        <x:v>23.591666670000002</x:v>
      </x:c>
    </x:row>
    <x:row r="406" ht="17" customHeight="1">
      <x:c r="A406" s="9" t="str">
        <x:v>2026-03-01</x:v>
      </x:c>
      <x:c r="B406" s="9" t="str">
        <x:v>Budget</x:v>
      </x:c>
      <x:c r="C406" s="9" t="str">
        <x:v>Customer Success</x:v>
      </x:c>
      <x:c r="D406" s="107" t="n">
        <x:v>0</x:v>
      </x:c>
      <x:c r="E406" s="107" t="n">
        <x:v>0.2</x:v>
      </x:c>
      <x:c r="F406" s="107" t="n">
        <x:v>18.8</x:v>
      </x:c>
    </x:row>
    <x:row r="407" ht="17" customHeight="1">
      <x:c r="A407" s="9" t="str">
        <x:v>2026-03-01</x:v>
      </x:c>
      <x:c r="B407" s="9" t="str">
        <x:v>Budget</x:v>
      </x:c>
      <x:c r="C407" s="9" t="str">
        <x:v>Finance &amp; Corporate</x:v>
      </x:c>
      <x:c r="D407" s="107" t="n">
        <x:v>1.16666667</x:v>
      </x:c>
      <x:c r="E407" s="107" t="n">
        <x:v>0.175</x:v>
      </x:c>
      <x:c r="F407" s="107" t="n">
        <x:v>10.325</x:v>
      </x:c>
    </x:row>
    <x:row r="408" ht="17" customHeight="1">
      <x:c r="A408" s="9" t="str">
        <x:v>2026-03-01</x:v>
      </x:c>
      <x:c r="B408" s="9" t="str">
        <x:v>Budget</x:v>
      </x:c>
      <x:c r="C408" s="9" t="str">
        <x:v>Operations</x:v>
      </x:c>
      <x:c r="D408" s="107" t="n">
        <x:v>0</x:v>
      </x:c>
      <x:c r="E408" s="107" t="n">
        <x:v>0.21527778</x:v>
      </x:c>
      <x:c r="F408" s="107" t="n">
        <x:v>29.84027778</x:v>
      </x:c>
    </x:row>
    <x:row r="409" ht="17" customHeight="1">
      <x:c r="A409" s="9" t="str">
        <x:v>2026-03-01</x:v>
      </x:c>
      <x:c r="B409" s="9" t="str">
        <x:v>Budget</x:v>
      </x:c>
      <x:c r="C409" s="9" t="str">
        <x:v>Sales</x:v>
      </x:c>
      <x:c r="D409" s="107" t="n">
        <x:v>0</x:v>
      </x:c>
      <x:c r="E409" s="107" t="n">
        <x:v>0.23333333</x:v>
      </x:c>
      <x:c r="F409" s="107" t="n">
        <x:v>9.99</x:v>
      </x:c>
    </x:row>
    <x:row r="410" ht="17" customHeight="1">
      <x:c r="A410" s="9" t="str">
        <x:v>2026-03-01</x:v>
      </x:c>
      <x:c r="B410" s="9" t="str">
        <x:v>Budget</x:v>
      </x:c>
      <x:c r="C410" s="9" t="str">
        <x:v>Technology</x:v>
      </x:c>
      <x:c r="D410" s="107" t="n">
        <x:v>1.5</x:v>
      </x:c>
      <x:c r="E410" s="107" t="n">
        <x:v>0.44166667</x:v>
      </x:c>
      <x:c r="F410" s="107" t="n">
        <x:v>23.15</x:v>
      </x:c>
    </x:row>
    <x:row r="411" ht="17" customHeight="1">
      <x:c r="A411" s="9" t="str">
        <x:v>2026-04-01</x:v>
      </x:c>
      <x:c r="B411" s="9" t="str">
        <x:v>Budget</x:v>
      </x:c>
      <x:c r="C411" s="9" t="str">
        <x:v>Customer Success</x:v>
      </x:c>
      <x:c r="D411" s="107" t="n">
        <x:v>0</x:v>
      </x:c>
      <x:c r="E411" s="107" t="n">
        <x:v>0.2</x:v>
      </x:c>
      <x:c r="F411" s="107" t="n">
        <x:v>18.6</x:v>
      </x:c>
    </x:row>
    <x:row r="412" ht="17" customHeight="1">
      <x:c r="A412" s="9" t="str">
        <x:v>2026-04-01</x:v>
      </x:c>
      <x:c r="B412" s="9" t="str">
        <x:v>Budget</x:v>
      </x:c>
      <x:c r="C412" s="9" t="str">
        <x:v>Finance &amp; Corporate</x:v>
      </x:c>
      <x:c r="D412" s="107" t="n">
        <x:v>0</x:v>
      </x:c>
      <x:c r="E412" s="107" t="n">
        <x:v>0.175</x:v>
      </x:c>
      <x:c r="F412" s="107" t="n">
        <x:v>10.15</x:v>
      </x:c>
    </x:row>
    <x:row r="413" ht="17" customHeight="1">
      <x:c r="A413" s="9" t="str">
        <x:v>2026-04-01</x:v>
      </x:c>
      <x:c r="B413" s="9" t="str">
        <x:v>Budget</x:v>
      </x:c>
      <x:c r="C413" s="9" t="str">
        <x:v>Operations</x:v>
      </x:c>
      <x:c r="D413" s="107" t="n">
        <x:v>1.8</x:v>
      </x:c>
      <x:c r="E413" s="107" t="n">
        <x:v>0.21527778</x:v>
      </x:c>
      <x:c r="F413" s="107" t="n">
        <x:v>29.625</x:v>
      </x:c>
    </x:row>
    <x:row r="414" ht="17" customHeight="1">
      <x:c r="A414" s="9" t="str">
        <x:v>2026-04-01</x:v>
      </x:c>
      <x:c r="B414" s="9" t="str">
        <x:v>Budget</x:v>
      </x:c>
      <x:c r="C414" s="9" t="str">
        <x:v>Sales</x:v>
      </x:c>
      <x:c r="D414" s="107" t="n">
        <x:v>0</x:v>
      </x:c>
      <x:c r="E414" s="107" t="n">
        <x:v>0.23333333</x:v>
      </x:c>
      <x:c r="F414" s="107" t="n">
        <x:v>9.75666667</x:v>
      </x:c>
    </x:row>
    <x:row r="415" ht="17" customHeight="1">
      <x:c r="A415" s="9" t="str">
        <x:v>2026-04-01</x:v>
      </x:c>
      <x:c r="B415" s="9" t="str">
        <x:v>Budget</x:v>
      </x:c>
      <x:c r="C415" s="9" t="str">
        <x:v>Technology</x:v>
      </x:c>
      <x:c r="D415" s="107" t="n">
        <x:v>1.5</x:v>
      </x:c>
      <x:c r="E415" s="107" t="n">
        <x:v>0.44166667</x:v>
      </x:c>
      <x:c r="F415" s="107" t="n">
        <x:v>22.70833333</x:v>
      </x:c>
    </x:row>
    <x:row r="416" ht="17" customHeight="1">
      <x:c r="A416" s="9" t="str">
        <x:v>2026-05-01</x:v>
      </x:c>
      <x:c r="B416" s="9" t="str">
        <x:v>Budget</x:v>
      </x:c>
      <x:c r="C416" s="9" t="str">
        <x:v>Customer Success</x:v>
      </x:c>
      <x:c r="D416" s="107" t="n">
        <x:v>0</x:v>
      </x:c>
      <x:c r="E416" s="107" t="n">
        <x:v>0.2</x:v>
      </x:c>
      <x:c r="F416" s="107" t="n">
        <x:v>18.4</x:v>
      </x:c>
    </x:row>
    <x:row r="417" ht="17" customHeight="1">
      <x:c r="A417" s="9" t="str">
        <x:v>2026-05-01</x:v>
      </x:c>
      <x:c r="B417" s="9" t="str">
        <x:v>Budget</x:v>
      </x:c>
      <x:c r="C417" s="9" t="str">
        <x:v>Finance &amp; Corporate</x:v>
      </x:c>
      <x:c r="D417" s="107" t="n">
        <x:v>0</x:v>
      </x:c>
      <x:c r="E417" s="107" t="n">
        <x:v>0.175</x:v>
      </x:c>
      <x:c r="F417" s="107" t="n">
        <x:v>9.975</x:v>
      </x:c>
    </x:row>
    <x:row r="418" ht="17" customHeight="1">
      <x:c r="A418" s="9" t="str">
        <x:v>2026-05-01</x:v>
      </x:c>
      <x:c r="B418" s="9" t="str">
        <x:v>Budget</x:v>
      </x:c>
      <x:c r="C418" s="9" t="str">
        <x:v>Operations</x:v>
      </x:c>
      <x:c r="D418" s="107" t="n">
        <x:v>1.8</x:v>
      </x:c>
      <x:c r="E418" s="107" t="n">
        <x:v>0.21527778</x:v>
      </x:c>
      <x:c r="F418" s="107" t="n">
        <x:v>29.40972222</x:v>
      </x:c>
    </x:row>
    <x:row r="419" ht="17" customHeight="1">
      <x:c r="A419" s="9" t="str">
        <x:v>2026-05-01</x:v>
      </x:c>
      <x:c r="B419" s="9" t="str">
        <x:v>Budget</x:v>
      </x:c>
      <x:c r="C419" s="9" t="str">
        <x:v>Sales</x:v>
      </x:c>
      <x:c r="D419" s="107" t="n">
        <x:v>0</x:v>
      </x:c>
      <x:c r="E419" s="107" t="n">
        <x:v>0.23333333</x:v>
      </x:c>
      <x:c r="F419" s="107" t="n">
        <x:v>9.52333333</x:v>
      </x:c>
    </x:row>
    <x:row r="420" ht="17" customHeight="1">
      <x:c r="A420" s="9" t="str">
        <x:v>2026-05-01</x:v>
      </x:c>
      <x:c r="B420" s="9" t="str">
        <x:v>Budget</x:v>
      </x:c>
      <x:c r="C420" s="9" t="str">
        <x:v>Technology</x:v>
      </x:c>
      <x:c r="D420" s="107" t="n">
        <x:v>1.5</x:v>
      </x:c>
      <x:c r="E420" s="107" t="n">
        <x:v>0.44166667</x:v>
      </x:c>
      <x:c r="F420" s="107" t="n">
        <x:v>22.266666670000003</x:v>
      </x:c>
    </x:row>
    <x:row r="421" ht="17" customHeight="1">
      <x:c r="A421" s="9" t="str">
        <x:v>2026-06-01</x:v>
      </x:c>
      <x:c r="B421" s="9" t="str">
        <x:v>Budget</x:v>
      </x:c>
      <x:c r="C421" s="9" t="str">
        <x:v>Customer Success</x:v>
      </x:c>
      <x:c r="D421" s="107" t="n">
        <x:v>0</x:v>
      </x:c>
      <x:c r="E421" s="107" t="n">
        <x:v>0.2</x:v>
      </x:c>
      <x:c r="F421" s="107" t="n">
        <x:v>18.2</x:v>
      </x:c>
    </x:row>
    <x:row r="422" ht="17" customHeight="1">
      <x:c r="A422" s="9" t="str">
        <x:v>2026-06-01</x:v>
      </x:c>
      <x:c r="B422" s="9" t="str">
        <x:v>Budget</x:v>
      </x:c>
      <x:c r="C422" s="9" t="str">
        <x:v>Finance &amp; Corporate</x:v>
      </x:c>
      <x:c r="D422" s="107" t="n">
        <x:v>0</x:v>
      </x:c>
      <x:c r="E422" s="107" t="n">
        <x:v>0.175</x:v>
      </x:c>
      <x:c r="F422" s="107" t="n">
        <x:v>9.8</x:v>
      </x:c>
    </x:row>
    <x:row r="423" ht="17" customHeight="1">
      <x:c r="A423" s="9" t="str">
        <x:v>2026-06-01</x:v>
      </x:c>
      <x:c r="B423" s="9" t="str">
        <x:v>Budget</x:v>
      </x:c>
      <x:c r="C423" s="9" t="str">
        <x:v>Operations</x:v>
      </x:c>
      <x:c r="D423" s="107" t="n">
        <x:v>1.8</x:v>
      </x:c>
      <x:c r="E423" s="107" t="n">
        <x:v>0.21527778</x:v>
      </x:c>
      <x:c r="F423" s="107" t="n">
        <x:v>29.194444439999998</x:v>
      </x:c>
    </x:row>
    <x:row r="424" ht="17" customHeight="1">
      <x:c r="A424" s="9" t="str">
        <x:v>2026-06-01</x:v>
      </x:c>
      <x:c r="B424" s="9" t="str">
        <x:v>Budget</x:v>
      </x:c>
      <x:c r="C424" s="9" t="str">
        <x:v>Sales</x:v>
      </x:c>
      <x:c r="D424" s="107" t="n">
        <x:v>0</x:v>
      </x:c>
      <x:c r="E424" s="107" t="n">
        <x:v>0.23333333</x:v>
      </x:c>
      <x:c r="F424" s="107" t="n">
        <x:v>9.29</x:v>
      </x:c>
    </x:row>
    <x:row r="425" ht="17" customHeight="1">
      <x:c r="A425" s="9" t="str">
        <x:v>2026-06-01</x:v>
      </x:c>
      <x:c r="B425" s="9" t="str">
        <x:v>Budget</x:v>
      </x:c>
      <x:c r="C425" s="9" t="str">
        <x:v>Technology</x:v>
      </x:c>
      <x:c r="D425" s="107" t="n">
        <x:v>1.5</x:v>
      </x:c>
      <x:c r="E425" s="107" t="n">
        <x:v>0.44166667</x:v>
      </x:c>
      <x:c r="F425" s="107" t="n">
        <x:v>21.825</x:v>
      </x:c>
    </x:row>
    <x:row r="426" ht="17" customHeight="1">
      <x:c r="A426" s="9" t="str">
        <x:v>2026-07-01</x:v>
      </x:c>
      <x:c r="B426" s="9" t="str">
        <x:v>Budget</x:v>
      </x:c>
      <x:c r="C426" s="9" t="str">
        <x:v>Customer Success</x:v>
      </x:c>
      <x:c r="D426" s="107" t="n">
        <x:v>1.2444444399999999</x:v>
      </x:c>
      <x:c r="E426" s="107" t="n">
        <x:v>0.2</x:v>
      </x:c>
      <x:c r="F426" s="107" t="n">
        <x:v>18</x:v>
      </x:c>
    </x:row>
    <x:row r="427" ht="17" customHeight="1">
      <x:c r="A427" s="9" t="str">
        <x:v>2026-07-01</x:v>
      </x:c>
      <x:c r="B427" s="9" t="str">
        <x:v>Budget</x:v>
      </x:c>
      <x:c r="C427" s="9" t="str">
        <x:v>Finance &amp; Corporate</x:v>
      </x:c>
      <x:c r="D427" s="107" t="n">
        <x:v>0</x:v>
      </x:c>
      <x:c r="E427" s="107" t="n">
        <x:v>0.175</x:v>
      </x:c>
      <x:c r="F427" s="107" t="n">
        <x:v>9.625</x:v>
      </x:c>
    </x:row>
    <x:row r="428" ht="17" customHeight="1">
      <x:c r="A428" s="9" t="str">
        <x:v>2026-07-01</x:v>
      </x:c>
      <x:c r="B428" s="9" t="str">
        <x:v>Budget</x:v>
      </x:c>
      <x:c r="C428" s="9" t="str">
        <x:v>Operations</x:v>
      </x:c>
      <x:c r="D428" s="107" t="n">
        <x:v>1.8</x:v>
      </x:c>
      <x:c r="E428" s="107" t="n">
        <x:v>0.21527778</x:v>
      </x:c>
      <x:c r="F428" s="107" t="n">
        <x:v>28.97916667</x:v>
      </x:c>
    </x:row>
    <x:row r="429" ht="17" customHeight="1">
      <x:c r="A429" s="9" t="str">
        <x:v>2026-07-01</x:v>
      </x:c>
      <x:c r="B429" s="9" t="str">
        <x:v>Budget</x:v>
      </x:c>
      <x:c r="C429" s="9" t="str">
        <x:v>Sales</x:v>
      </x:c>
      <x:c r="D429" s="107" t="n">
        <x:v>0</x:v>
      </x:c>
      <x:c r="E429" s="107" t="n">
        <x:v>0.23333333</x:v>
      </x:c>
      <x:c r="F429" s="107" t="n">
        <x:v>9.05666667</x:v>
      </x:c>
    </x:row>
    <x:row r="430" ht="17" customHeight="1">
      <x:c r="A430" s="9" t="str">
        <x:v>2026-07-01</x:v>
      </x:c>
      <x:c r="B430" s="9" t="str">
        <x:v>Budget</x:v>
      </x:c>
      <x:c r="C430" s="9" t="str">
        <x:v>Technology</x:v>
      </x:c>
      <x:c r="D430" s="107" t="n">
        <x:v>1.5</x:v>
      </x:c>
      <x:c r="E430" s="107" t="n">
        <x:v>0.44166667</x:v>
      </x:c>
      <x:c r="F430" s="107" t="n">
        <x:v>21.38333333</x:v>
      </x:c>
    </x:row>
    <x:row r="431" ht="17" customHeight="1">
      <x:c r="A431" s="9" t="str">
        <x:v>2026-08-01</x:v>
      </x:c>
      <x:c r="B431" s="9" t="str">
        <x:v>Budget</x:v>
      </x:c>
      <x:c r="C431" s="9" t="str">
        <x:v>Customer Success</x:v>
      </x:c>
      <x:c r="D431" s="107" t="n">
        <x:v>1.2444444399999999</x:v>
      </x:c>
      <x:c r="E431" s="107" t="n">
        <x:v>0.2</x:v>
      </x:c>
      <x:c r="F431" s="107" t="n">
        <x:v>17.8</x:v>
      </x:c>
    </x:row>
    <x:row r="432" ht="17" customHeight="1">
      <x:c r="A432" s="9" t="str">
        <x:v>2026-08-01</x:v>
      </x:c>
      <x:c r="B432" s="9" t="str">
        <x:v>Budget</x:v>
      </x:c>
      <x:c r="C432" s="9" t="str">
        <x:v>Finance &amp; Corporate</x:v>
      </x:c>
      <x:c r="D432" s="107" t="n">
        <x:v>0</x:v>
      </x:c>
      <x:c r="E432" s="107" t="n">
        <x:v>0.175</x:v>
      </x:c>
      <x:c r="F432" s="107" t="n">
        <x:v>9.45</x:v>
      </x:c>
    </x:row>
    <x:row r="433" ht="17" customHeight="1">
      <x:c r="A433" s="9" t="str">
        <x:v>2026-08-01</x:v>
      </x:c>
      <x:c r="B433" s="9" t="str">
        <x:v>Budget</x:v>
      </x:c>
      <x:c r="C433" s="9" t="str">
        <x:v>Operations</x:v>
      </x:c>
      <x:c r="D433" s="107" t="n">
        <x:v>1.8</x:v>
      </x:c>
      <x:c r="E433" s="107" t="n">
        <x:v>0.21527778</x:v>
      </x:c>
      <x:c r="F433" s="107" t="n">
        <x:v>28.76388889</x:v>
      </x:c>
    </x:row>
    <x:row r="434" ht="17" customHeight="1">
      <x:c r="A434" s="9" t="str">
        <x:v>2026-08-01</x:v>
      </x:c>
      <x:c r="B434" s="9" t="str">
        <x:v>Budget</x:v>
      </x:c>
      <x:c r="C434" s="9" t="str">
        <x:v>Sales</x:v>
      </x:c>
      <x:c r="D434" s="107" t="n">
        <x:v>0</x:v>
      </x:c>
      <x:c r="E434" s="107" t="n">
        <x:v>0.23333333</x:v>
      </x:c>
      <x:c r="F434" s="107" t="n">
        <x:v>8.82333333</x:v>
      </x:c>
    </x:row>
    <x:row r="435" ht="17" customHeight="1">
      <x:c r="A435" s="9" t="str">
        <x:v>2026-08-01</x:v>
      </x:c>
      <x:c r="B435" s="9" t="str">
        <x:v>Budget</x:v>
      </x:c>
      <x:c r="C435" s="9" t="str">
        <x:v>Technology</x:v>
      </x:c>
      <x:c r="D435" s="107" t="n">
        <x:v>1.5</x:v>
      </x:c>
      <x:c r="E435" s="107" t="n">
        <x:v>0.44166667</x:v>
      </x:c>
      <x:c r="F435" s="107" t="n">
        <x:v>20.94166667</x:v>
      </x:c>
    </x:row>
    <x:row r="436" ht="17" customHeight="1">
      <x:c r="A436" s="9" t="str">
        <x:v>2026-09-01</x:v>
      </x:c>
      <x:c r="B436" s="9" t="str">
        <x:v>Budget</x:v>
      </x:c>
      <x:c r="C436" s="9" t="str">
        <x:v>Customer Success</x:v>
      </x:c>
      <x:c r="D436" s="107" t="n">
        <x:v>1.2444444399999999</x:v>
      </x:c>
      <x:c r="E436" s="107" t="n">
        <x:v>0.2</x:v>
      </x:c>
      <x:c r="F436" s="107" t="n">
        <x:v>17.6</x:v>
      </x:c>
    </x:row>
    <x:row r="437" ht="17" customHeight="1">
      <x:c r="A437" s="9" t="str">
        <x:v>2026-09-01</x:v>
      </x:c>
      <x:c r="B437" s="9" t="str">
        <x:v>Budget</x:v>
      </x:c>
      <x:c r="C437" s="9" t="str">
        <x:v>Finance &amp; Corporate</x:v>
      </x:c>
      <x:c r="D437" s="107" t="n">
        <x:v>0</x:v>
      </x:c>
      <x:c r="E437" s="107" t="n">
        <x:v>0.175</x:v>
      </x:c>
      <x:c r="F437" s="107" t="n">
        <x:v>9.275</x:v>
      </x:c>
    </x:row>
    <x:row r="438" ht="17" customHeight="1">
      <x:c r="A438" s="9" t="str">
        <x:v>2026-09-01</x:v>
      </x:c>
      <x:c r="B438" s="9" t="str">
        <x:v>Budget</x:v>
      </x:c>
      <x:c r="C438" s="9" t="str">
        <x:v>Operations</x:v>
      </x:c>
      <x:c r="D438" s="107" t="n">
        <x:v>1.8</x:v>
      </x:c>
      <x:c r="E438" s="107" t="n">
        <x:v>0.21527778</x:v>
      </x:c>
      <x:c r="F438" s="107" t="n">
        <x:v>28.54861111</x:v>
      </x:c>
    </x:row>
    <x:row r="439" ht="17" customHeight="1">
      <x:c r="A439" s="9" t="str">
        <x:v>2026-09-01</x:v>
      </x:c>
      <x:c r="B439" s="9" t="str">
        <x:v>Budget</x:v>
      </x:c>
      <x:c r="C439" s="9" t="str">
        <x:v>Sales</x:v>
      </x:c>
      <x:c r="D439" s="107" t="n">
        <x:v>0</x:v>
      </x:c>
      <x:c r="E439" s="107" t="n">
        <x:v>0.23333333</x:v>
      </x:c>
      <x:c r="F439" s="107" t="n">
        <x:v>8.59</x:v>
      </x:c>
    </x:row>
    <x:row r="440" ht="17" customHeight="1">
      <x:c r="A440" s="9" t="str">
        <x:v>2026-09-01</x:v>
      </x:c>
      <x:c r="B440" s="9" t="str">
        <x:v>Budget</x:v>
      </x:c>
      <x:c r="C440" s="9" t="str">
        <x:v>Technology</x:v>
      </x:c>
      <x:c r="D440" s="107" t="n">
        <x:v>1.5</x:v>
      </x:c>
      <x:c r="E440" s="107" t="n">
        <x:v>0.44166667</x:v>
      </x:c>
      <x:c r="F440" s="107" t="n">
        <x:v>20.5</x:v>
      </x:c>
    </x:row>
    <x:row r="441" ht="17" customHeight="1">
      <x:c r="A441" s="9" t="str">
        <x:v>2026-10-01</x:v>
      </x:c>
      <x:c r="B441" s="9" t="str">
        <x:v>Budget</x:v>
      </x:c>
      <x:c r="C441" s="9" t="str">
        <x:v>Customer Success</x:v>
      </x:c>
      <x:c r="D441" s="107" t="n">
        <x:v>1.2444444399999999</x:v>
      </x:c>
      <x:c r="E441" s="107" t="n">
        <x:v>0.2</x:v>
      </x:c>
      <x:c r="F441" s="107" t="n">
        <x:v>17.4</x:v>
      </x:c>
    </x:row>
    <x:row r="442" ht="17" customHeight="1">
      <x:c r="A442" s="9" t="str">
        <x:v>2026-10-01</x:v>
      </x:c>
      <x:c r="B442" s="9" t="str">
        <x:v>Budget</x:v>
      </x:c>
      <x:c r="C442" s="9" t="str">
        <x:v>Finance &amp; Corporate</x:v>
      </x:c>
      <x:c r="D442" s="107" t="n">
        <x:v>0</x:v>
      </x:c>
      <x:c r="E442" s="107" t="n">
        <x:v>0.175</x:v>
      </x:c>
      <x:c r="F442" s="107" t="n">
        <x:v>9.1</x:v>
      </x:c>
    </x:row>
    <x:row r="443" ht="17" customHeight="1">
      <x:c r="A443" s="9" t="str">
        <x:v>2026-10-01</x:v>
      </x:c>
      <x:c r="B443" s="9" t="str">
        <x:v>Budget</x:v>
      </x:c>
      <x:c r="C443" s="9" t="str">
        <x:v>Operations</x:v>
      </x:c>
      <x:c r="D443" s="107" t="n">
        <x:v>1.8</x:v>
      </x:c>
      <x:c r="E443" s="107" t="n">
        <x:v>0.21527778</x:v>
      </x:c>
      <x:c r="F443" s="107" t="n">
        <x:v>28.33333333</x:v>
      </x:c>
    </x:row>
    <x:row r="444" ht="17" customHeight="1">
      <x:c r="A444" s="9" t="str">
        <x:v>2026-10-01</x:v>
      </x:c>
      <x:c r="B444" s="9" t="str">
        <x:v>Budget</x:v>
      </x:c>
      <x:c r="C444" s="9" t="str">
        <x:v>Sales</x:v>
      </x:c>
      <x:c r="D444" s="107" t="n">
        <x:v>0</x:v>
      </x:c>
      <x:c r="E444" s="107" t="n">
        <x:v>0.23333333</x:v>
      </x:c>
      <x:c r="F444" s="107" t="n">
        <x:v>8.35666667</x:v>
      </x:c>
    </x:row>
    <x:row r="445" ht="17" customHeight="1">
      <x:c r="A445" s="9" t="str">
        <x:v>2026-10-01</x:v>
      </x:c>
      <x:c r="B445" s="9" t="str">
        <x:v>Budget</x:v>
      </x:c>
      <x:c r="C445" s="9" t="str">
        <x:v>Technology</x:v>
      </x:c>
      <x:c r="D445" s="107" t="n">
        <x:v>1.5</x:v>
      </x:c>
      <x:c r="E445" s="107" t="n">
        <x:v>0.7229166699999999</x:v>
      </x:c>
      <x:c r="F445" s="107" t="n">
        <x:v>19.77708333</x:v>
      </x:c>
    </x:row>
    <x:row r="446" ht="17" customHeight="1">
      <x:c r="A446" s="9" t="str">
        <x:v>2026-11-01</x:v>
      </x:c>
      <x:c r="B446" s="9" t="str">
        <x:v>Budget</x:v>
      </x:c>
      <x:c r="C446" s="9" t="str">
        <x:v>Customer Success</x:v>
      </x:c>
      <x:c r="D446" s="107" t="n">
        <x:v>1.2444444399999999</x:v>
      </x:c>
      <x:c r="E446" s="107" t="n">
        <x:v>0.2</x:v>
      </x:c>
      <x:c r="F446" s="107" t="n">
        <x:v>17.2</x:v>
      </x:c>
    </x:row>
    <x:row r="447" ht="17" customHeight="1">
      <x:c r="A447" s="9" t="str">
        <x:v>2026-11-01</x:v>
      </x:c>
      <x:c r="B447" s="9" t="str">
        <x:v>Budget</x:v>
      </x:c>
      <x:c r="C447" s="9" t="str">
        <x:v>Finance &amp; Corporate</x:v>
      </x:c>
      <x:c r="D447" s="107" t="n">
        <x:v>0</x:v>
      </x:c>
      <x:c r="E447" s="107" t="n">
        <x:v>0.175</x:v>
      </x:c>
      <x:c r="F447" s="107" t="n">
        <x:v>8.925</x:v>
      </x:c>
    </x:row>
    <x:row r="448" ht="17" customHeight="1">
      <x:c r="A448" s="9" t="str">
        <x:v>2026-11-01</x:v>
      </x:c>
      <x:c r="B448" s="9" t="str">
        <x:v>Budget</x:v>
      </x:c>
      <x:c r="C448" s="9" t="str">
        <x:v>Operations</x:v>
      </x:c>
      <x:c r="D448" s="107" t="n">
        <x:v>1.8</x:v>
      </x:c>
      <x:c r="E448" s="107" t="n">
        <x:v>0.21527778</x:v>
      </x:c>
      <x:c r="F448" s="107" t="n">
        <x:v>28.118055560000002</x:v>
      </x:c>
    </x:row>
    <x:row r="449" ht="17" customHeight="1">
      <x:c r="A449" s="9" t="str">
        <x:v>2026-11-01</x:v>
      </x:c>
      <x:c r="B449" s="9" t="str">
        <x:v>Budget</x:v>
      </x:c>
      <x:c r="C449" s="9" t="str">
        <x:v>Sales</x:v>
      </x:c>
      <x:c r="D449" s="107" t="n">
        <x:v>0</x:v>
      </x:c>
      <x:c r="E449" s="107" t="n">
        <x:v>0.23333333</x:v>
      </x:c>
      <x:c r="F449" s="107" t="n">
        <x:v>8.12333333</x:v>
      </x:c>
    </x:row>
    <x:row r="450" ht="17" customHeight="1">
      <x:c r="A450" s="9" t="str">
        <x:v>2026-11-01</x:v>
      </x:c>
      <x:c r="B450" s="9" t="str">
        <x:v>Budget</x:v>
      </x:c>
      <x:c r="C450" s="9" t="str">
        <x:v>Technology</x:v>
      </x:c>
      <x:c r="D450" s="107" t="n">
        <x:v>0</x:v>
      </x:c>
      <x:c r="E450" s="107" t="n">
        <x:v>0.7229166699999999</x:v>
      </x:c>
      <x:c r="F450" s="107" t="n">
        <x:v>19.05416667</x:v>
      </x:c>
    </x:row>
    <x:row r="451" ht="17" customHeight="1">
      <x:c r="A451" s="9" t="str">
        <x:v>2026-12-01</x:v>
      </x:c>
      <x:c r="B451" s="9" t="str">
        <x:v>Budget</x:v>
      </x:c>
      <x:c r="C451" s="9" t="str">
        <x:v>Customer Success</x:v>
      </x:c>
      <x:c r="D451" s="107" t="n">
        <x:v>1.2444444399999999</x:v>
      </x:c>
      <x:c r="E451" s="107" t="n">
        <x:v>0.2</x:v>
      </x:c>
      <x:c r="F451" s="107" t="n">
        <x:v>17</x:v>
      </x:c>
    </x:row>
    <x:row r="452" ht="17" customHeight="1">
      <x:c r="A452" s="9" t="str">
        <x:v>2026-12-01</x:v>
      </x:c>
      <x:c r="B452" s="9" t="str">
        <x:v>Budget</x:v>
      </x:c>
      <x:c r="C452" s="9" t="str">
        <x:v>Finance &amp; Corporate</x:v>
      </x:c>
      <x:c r="D452" s="107" t="n">
        <x:v>0</x:v>
      </x:c>
      <x:c r="E452" s="107" t="n">
        <x:v>0.175</x:v>
      </x:c>
      <x:c r="F452" s="107" t="n">
        <x:v>8.75</x:v>
      </x:c>
    </x:row>
    <x:row r="453" ht="17" customHeight="1">
      <x:c r="A453" s="9" t="str">
        <x:v>2026-12-01</x:v>
      </x:c>
      <x:c r="B453" s="9" t="str">
        <x:v>Budget</x:v>
      </x:c>
      <x:c r="C453" s="9" t="str">
        <x:v>Operations</x:v>
      </x:c>
      <x:c r="D453" s="107" t="n">
        <x:v>1.8</x:v>
      </x:c>
      <x:c r="E453" s="107" t="n">
        <x:v>0.21527778</x:v>
      </x:c>
      <x:c r="F453" s="107" t="n">
        <x:v>27.90277778</x:v>
      </x:c>
    </x:row>
    <x:row r="454" ht="17" customHeight="1">
      <x:c r="A454" s="9" t="str">
        <x:v>2026-12-01</x:v>
      </x:c>
      <x:c r="B454" s="9" t="str">
        <x:v>Budget</x:v>
      </x:c>
      <x:c r="C454" s="9" t="str">
        <x:v>Sales</x:v>
      </x:c>
      <x:c r="D454" s="107" t="n">
        <x:v>0</x:v>
      </x:c>
      <x:c r="E454" s="107" t="n">
        <x:v>0.23333333</x:v>
      </x:c>
      <x:c r="F454" s="107" t="n">
        <x:v>7.89</x:v>
      </x:c>
    </x:row>
    <x:row r="455" ht="17" customHeight="1">
      <x:c r="A455" s="9" t="str">
        <x:v>2026-12-01</x:v>
      </x:c>
      <x:c r="B455" s="9" t="str">
        <x:v>Budget</x:v>
      </x:c>
      <x:c r="C455" s="9" t="str">
        <x:v>Technology</x:v>
      </x:c>
      <x:c r="D455" s="107" t="n">
        <x:v>0</x:v>
      </x:c>
      <x:c r="E455" s="107" t="n">
        <x:v>0.7229166699999999</x:v>
      </x:c>
      <x:c r="F455" s="107" t="n">
        <x:v>18.33125</x:v>
      </x:c>
    </x:row>
    <x:row r="456" ht="17" customHeight="1">
      <x:c r="A456" s="9" t="str">
        <x:v>2027-01-01</x:v>
      </x:c>
      <x:c r="B456" s="9" t="str">
        <x:v>Budget</x:v>
      </x:c>
      <x:c r="C456" s="9" t="str">
        <x:v>Customer Success</x:v>
      </x:c>
      <x:c r="D456" s="107" t="n">
        <x:v>1.2444444399999999</x:v>
      </x:c>
      <x:c r="E456" s="107" t="n">
        <x:v>0.2</x:v>
      </x:c>
      <x:c r="F456" s="107" t="n">
        <x:v>16.8</x:v>
      </x:c>
    </x:row>
    <x:row r="457" ht="17" customHeight="1">
      <x:c r="A457" s="9" t="str">
        <x:v>2027-01-01</x:v>
      </x:c>
      <x:c r="B457" s="9" t="str">
        <x:v>Budget</x:v>
      </x:c>
      <x:c r="C457" s="9" t="str">
        <x:v>Finance &amp; Corporate</x:v>
      </x:c>
      <x:c r="D457" s="107" t="n">
        <x:v>0</x:v>
      </x:c>
      <x:c r="E457" s="107" t="n">
        <x:v>0.175</x:v>
      </x:c>
      <x:c r="F457" s="107" t="n">
        <x:v>8.575</x:v>
      </x:c>
    </x:row>
    <x:row r="458" ht="17" customHeight="1">
      <x:c r="A458" s="9" t="str">
        <x:v>2027-01-01</x:v>
      </x:c>
      <x:c r="B458" s="9" t="str">
        <x:v>Budget</x:v>
      </x:c>
      <x:c r="C458" s="9" t="str">
        <x:v>Operations</x:v>
      </x:c>
      <x:c r="D458" s="107" t="n">
        <x:v>1.8</x:v>
      </x:c>
      <x:c r="E458" s="107" t="n">
        <x:v>0.46527778000000003</x:v>
      </x:c>
      <x:c r="F458" s="107" t="n">
        <x:v>27.4375</x:v>
      </x:c>
    </x:row>
    <x:row r="459" ht="17" customHeight="1">
      <x:c r="A459" s="9" t="str">
        <x:v>2027-01-01</x:v>
      </x:c>
      <x:c r="B459" s="9" t="str">
        <x:v>Budget</x:v>
      </x:c>
      <x:c r="C459" s="9" t="str">
        <x:v>Sales</x:v>
      </x:c>
      <x:c r="D459" s="107" t="n">
        <x:v>0</x:v>
      </x:c>
      <x:c r="E459" s="107" t="n">
        <x:v>0.23333333</x:v>
      </x:c>
      <x:c r="F459" s="107" t="n">
        <x:v>7.65666667</x:v>
      </x:c>
    </x:row>
    <x:row r="460" ht="17" customHeight="1">
      <x:c r="A460" s="9" t="str">
        <x:v>2027-01-01</x:v>
      </x:c>
      <x:c r="B460" s="9" t="str">
        <x:v>Budget</x:v>
      </x:c>
      <x:c r="C460" s="9" t="str">
        <x:v>Technology</x:v>
      </x:c>
      <x:c r="D460" s="107" t="n">
        <x:v>0</x:v>
      </x:c>
      <x:c r="E460" s="107" t="n">
        <x:v>0.7229166699999999</x:v>
      </x:c>
      <x:c r="F460" s="107" t="n">
        <x:v>17.608333329999997</x:v>
      </x:c>
    </x:row>
    <x:row r="461" ht="17" customHeight="1">
      <x:c r="A461" s="9" t="str">
        <x:v>2027-02-01</x:v>
      </x:c>
      <x:c r="B461" s="9" t="str">
        <x:v>Budget</x:v>
      </x:c>
      <x:c r="C461" s="9" t="str">
        <x:v>Customer Success</x:v>
      </x:c>
      <x:c r="D461" s="107" t="n">
        <x:v>1.2444444399999999</x:v>
      </x:c>
      <x:c r="E461" s="107" t="n">
        <x:v>0.2</x:v>
      </x:c>
      <x:c r="F461" s="107" t="n">
        <x:v>16.6</x:v>
      </x:c>
    </x:row>
    <x:row r="462" ht="17" customHeight="1">
      <x:c r="A462" s="9" t="str">
        <x:v>2027-02-01</x:v>
      </x:c>
      <x:c r="B462" s="9" t="str">
        <x:v>Budget</x:v>
      </x:c>
      <x:c r="C462" s="9" t="str">
        <x:v>Finance &amp; Corporate</x:v>
      </x:c>
      <x:c r="D462" s="107" t="n">
        <x:v>0</x:v>
      </x:c>
      <x:c r="E462" s="107" t="n">
        <x:v>0.175</x:v>
      </x:c>
      <x:c r="F462" s="107" t="n">
        <x:v>8.4</x:v>
      </x:c>
    </x:row>
    <x:row r="463" ht="17" customHeight="1">
      <x:c r="A463" s="9" t="str">
        <x:v>2027-02-01</x:v>
      </x:c>
      <x:c r="B463" s="9" t="str">
        <x:v>Budget</x:v>
      </x:c>
      <x:c r="C463" s="9" t="str">
        <x:v>Operations</x:v>
      </x:c>
      <x:c r="D463" s="107" t="n">
        <x:v>0</x:v>
      </x:c>
      <x:c r="E463" s="107" t="n">
        <x:v>0.46527778000000003</x:v>
      </x:c>
      <x:c r="F463" s="107" t="n">
        <x:v>26.97222222</x:v>
      </x:c>
    </x:row>
    <x:row r="464" ht="17" customHeight="1">
      <x:c r="A464" s="9" t="str">
        <x:v>2027-02-01</x:v>
      </x:c>
      <x:c r="B464" s="9" t="str">
        <x:v>Budget</x:v>
      </x:c>
      <x:c r="C464" s="9" t="str">
        <x:v>Sales</x:v>
      </x:c>
      <x:c r="D464" s="107" t="n">
        <x:v>0</x:v>
      </x:c>
      <x:c r="E464" s="107" t="n">
        <x:v>0.23333333</x:v>
      </x:c>
      <x:c r="F464" s="107" t="n">
        <x:v>7.42333333</x:v>
      </x:c>
    </x:row>
    <x:row r="465" ht="17" customHeight="1">
      <x:c r="A465" s="9" t="str">
        <x:v>2027-02-01</x:v>
      </x:c>
      <x:c r="B465" s="9" t="str">
        <x:v>Budget</x:v>
      </x:c>
      <x:c r="C465" s="9" t="str">
        <x:v>Technology</x:v>
      </x:c>
      <x:c r="D465" s="107" t="n">
        <x:v>0</x:v>
      </x:c>
      <x:c r="E465" s="107" t="n">
        <x:v>0.7229166699999999</x:v>
      </x:c>
      <x:c r="F465" s="107" t="n">
        <x:v>16.88541667</x:v>
      </x:c>
    </x:row>
    <x:row r="466" ht="17" customHeight="1">
      <x:c r="A466" s="9" t="str">
        <x:v>2027-03-01</x:v>
      </x:c>
      <x:c r="B466" s="9" t="str">
        <x:v>Budget</x:v>
      </x:c>
      <x:c r="C466" s="9" t="str">
        <x:v>Customer Success</x:v>
      </x:c>
      <x:c r="D466" s="107" t="n">
        <x:v>1.2444444399999999</x:v>
      </x:c>
      <x:c r="E466" s="107" t="n">
        <x:v>0.43333332999999996</x:v>
      </x:c>
      <x:c r="F466" s="107" t="n">
        <x:v>16.16666667</x:v>
      </x:c>
    </x:row>
    <x:row r="467" ht="17" customHeight="1">
      <x:c r="A467" s="9" t="str">
        <x:v>2027-03-01</x:v>
      </x:c>
      <x:c r="B467" s="9" t="str">
        <x:v>Budget</x:v>
      </x:c>
      <x:c r="C467" s="9" t="str">
        <x:v>Finance &amp; Corporate</x:v>
      </x:c>
      <x:c r="D467" s="107" t="n">
        <x:v>0</x:v>
      </x:c>
      <x:c r="E467" s="107" t="n">
        <x:v>0.175</x:v>
      </x:c>
      <x:c r="F467" s="107" t="n">
        <x:v>8.225</x:v>
      </x:c>
    </x:row>
    <x:row r="468" ht="17" customHeight="1">
      <x:c r="A468" s="9" t="str">
        <x:v>2027-03-01</x:v>
      </x:c>
      <x:c r="B468" s="9" t="str">
        <x:v>Budget</x:v>
      </x:c>
      <x:c r="C468" s="9" t="str">
        <x:v>Operations</x:v>
      </x:c>
      <x:c r="D468" s="107" t="n">
        <x:v>0</x:v>
      </x:c>
      <x:c r="E468" s="107" t="n">
        <x:v>0.46527778000000003</x:v>
      </x:c>
      <x:c r="F468" s="107" t="n">
        <x:v>26.506944439999998</x:v>
      </x:c>
    </x:row>
    <x:row r="469" ht="17" customHeight="1">
      <x:c r="A469" s="9" t="str">
        <x:v>2027-03-01</x:v>
      </x:c>
      <x:c r="B469" s="9" t="str">
        <x:v>Budget</x:v>
      </x:c>
      <x:c r="C469" s="9" t="str">
        <x:v>Sales</x:v>
      </x:c>
      <x:c r="D469" s="107" t="n">
        <x:v>0</x:v>
      </x:c>
      <x:c r="E469" s="107" t="n">
        <x:v>0.23333333</x:v>
      </x:c>
      <x:c r="F469" s="107" t="n">
        <x:v>7.19</x:v>
      </x:c>
    </x:row>
    <x:row r="470" ht="17" customHeight="1">
      <x:c r="A470" s="9" t="str">
        <x:v>2027-03-01</x:v>
      </x:c>
      <x:c r="B470" s="9" t="str">
        <x:v>Budget</x:v>
      </x:c>
      <x:c r="C470" s="9" t="str">
        <x:v>Technology</x:v>
      </x:c>
      <x:c r="D470" s="107" t="n">
        <x:v>0</x:v>
      </x:c>
      <x:c r="E470" s="107" t="n">
        <x:v>0.7229166699999999</x:v>
      </x:c>
      <x:c r="F470" s="107" t="n">
        <x:v>16.1625</x:v>
      </x:c>
    </x:row>
    <x:row r="471" ht="17" customHeight="1">
      <x:c r="A471" s="9" t="str">
        <x:v>2027-04-01</x:v>
      </x:c>
      <x:c r="B471" s="9" t="str">
        <x:v>Budget</x:v>
      </x:c>
      <x:c r="C471" s="9" t="str">
        <x:v>Customer Success</x:v>
      </x:c>
      <x:c r="D471" s="107" t="n">
        <x:v>0</x:v>
      </x:c>
      <x:c r="E471" s="107" t="n">
        <x:v>0.43333332999999996</x:v>
      </x:c>
      <x:c r="F471" s="107" t="n">
        <x:v>15.73333333</x:v>
      </x:c>
    </x:row>
    <x:row r="472" ht="17" customHeight="1">
      <x:c r="A472" s="9" t="str">
        <x:v>2027-04-01</x:v>
      </x:c>
      <x:c r="B472" s="9" t="str">
        <x:v>Budget</x:v>
      </x:c>
      <x:c r="C472" s="9" t="str">
        <x:v>Finance &amp; Corporate</x:v>
      </x:c>
      <x:c r="D472" s="107" t="n">
        <x:v>0</x:v>
      </x:c>
      <x:c r="E472" s="107" t="n">
        <x:v>0.175</x:v>
      </x:c>
      <x:c r="F472" s="107" t="n">
        <x:v>8.05</x:v>
      </x:c>
    </x:row>
    <x:row r="473" ht="17" customHeight="1">
      <x:c r="A473" s="9" t="str">
        <x:v>2027-04-01</x:v>
      </x:c>
      <x:c r="B473" s="9" t="str">
        <x:v>Budget</x:v>
      </x:c>
      <x:c r="C473" s="9" t="str">
        <x:v>Operations</x:v>
      </x:c>
      <x:c r="D473" s="107" t="n">
        <x:v>0</x:v>
      </x:c>
      <x:c r="E473" s="107" t="n">
        <x:v>0.46527778000000003</x:v>
      </x:c>
      <x:c r="F473" s="107" t="n">
        <x:v>26.04166667</x:v>
      </x:c>
    </x:row>
    <x:row r="474" ht="17" customHeight="1">
      <x:c r="A474" s="9" t="str">
        <x:v>2027-04-01</x:v>
      </x:c>
      <x:c r="B474" s="9" t="str">
        <x:v>Budget</x:v>
      </x:c>
      <x:c r="C474" s="9" t="str">
        <x:v>Sales</x:v>
      </x:c>
      <x:c r="D474" s="107" t="n">
        <x:v>0</x:v>
      </x:c>
      <x:c r="E474" s="107" t="n">
        <x:v>0.23333333</x:v>
      </x:c>
      <x:c r="F474" s="107" t="n">
        <x:v>6.95666667</x:v>
      </x:c>
    </x:row>
    <x:row r="475" ht="17" customHeight="1">
      <x:c r="A475" s="9" t="str">
        <x:v>2027-04-01</x:v>
      </x:c>
      <x:c r="B475" s="9" t="str">
        <x:v>Budget</x:v>
      </x:c>
      <x:c r="C475" s="9" t="str">
        <x:v>Technology</x:v>
      </x:c>
      <x:c r="D475" s="107" t="n">
        <x:v>0</x:v>
      </x:c>
      <x:c r="E475" s="107" t="n">
        <x:v>0.7229166699999999</x:v>
      </x:c>
      <x:c r="F475" s="107" t="n">
        <x:v>15.43958333</x:v>
      </x:c>
    </x:row>
    <x:row r="476" ht="17" customHeight="1">
      <x:c r="A476" s="9" t="str">
        <x:v>2027-05-01</x:v>
      </x:c>
      <x:c r="B476" s="9" t="str">
        <x:v>Budget</x:v>
      </x:c>
      <x:c r="C476" s="9" t="str">
        <x:v>Customer Success</x:v>
      </x:c>
      <x:c r="D476" s="107" t="n">
        <x:v>0</x:v>
      </x:c>
      <x:c r="E476" s="107" t="n">
        <x:v>0.43333332999999996</x:v>
      </x:c>
      <x:c r="F476" s="107" t="n">
        <x:v>15.3</x:v>
      </x:c>
    </x:row>
    <x:row r="477" ht="17" customHeight="1">
      <x:c r="A477" s="9" t="str">
        <x:v>2027-05-01</x:v>
      </x:c>
      <x:c r="B477" s="9" t="str">
        <x:v>Budget</x:v>
      </x:c>
      <x:c r="C477" s="9" t="str">
        <x:v>Finance &amp; Corporate</x:v>
      </x:c>
      <x:c r="D477" s="107" t="n">
        <x:v>0</x:v>
      </x:c>
      <x:c r="E477" s="107" t="n">
        <x:v>0.175</x:v>
      </x:c>
      <x:c r="F477" s="107" t="n">
        <x:v>7.875</x:v>
      </x:c>
    </x:row>
    <x:row r="478" ht="17" customHeight="1">
      <x:c r="A478" s="9" t="str">
        <x:v>2027-05-01</x:v>
      </x:c>
      <x:c r="B478" s="9" t="str">
        <x:v>Budget</x:v>
      </x:c>
      <x:c r="C478" s="9" t="str">
        <x:v>Operations</x:v>
      </x:c>
      <x:c r="D478" s="107" t="n">
        <x:v>0</x:v>
      </x:c>
      <x:c r="E478" s="107" t="n">
        <x:v>0.46527778000000003</x:v>
      </x:c>
      <x:c r="F478" s="107" t="n">
        <x:v>25.57638889</x:v>
      </x:c>
    </x:row>
    <x:row r="479" ht="17" customHeight="1">
      <x:c r="A479" s="9" t="str">
        <x:v>2027-05-01</x:v>
      </x:c>
      <x:c r="B479" s="9" t="str">
        <x:v>Budget</x:v>
      </x:c>
      <x:c r="C479" s="9" t="str">
        <x:v>Sales</x:v>
      </x:c>
      <x:c r="D479" s="107" t="n">
        <x:v>0</x:v>
      </x:c>
      <x:c r="E479" s="107" t="n">
        <x:v>0.23333333</x:v>
      </x:c>
      <x:c r="F479" s="107" t="n">
        <x:v>6.72333333</x:v>
      </x:c>
    </x:row>
    <x:row r="480" ht="17" customHeight="1">
      <x:c r="A480" s="9" t="str">
        <x:v>2027-05-01</x:v>
      </x:c>
      <x:c r="B480" s="9" t="str">
        <x:v>Budget</x:v>
      </x:c>
      <x:c r="C480" s="9" t="str">
        <x:v>Technology</x:v>
      </x:c>
      <x:c r="D480" s="107" t="n">
        <x:v>0</x:v>
      </x:c>
      <x:c r="E480" s="107" t="n">
        <x:v>0.7229166699999999</x:v>
      </x:c>
      <x:c r="F480" s="107" t="n">
        <x:v>14.71666667</x:v>
      </x:c>
    </x:row>
    <x:row r="481" ht="17" customHeight="1">
      <x:c r="A481" s="9" t="str">
        <x:v>2027-06-01</x:v>
      </x:c>
      <x:c r="B481" s="9" t="str">
        <x:v>Budget</x:v>
      </x:c>
      <x:c r="C481" s="9" t="str">
        <x:v>Customer Success</x:v>
      </x:c>
      <x:c r="D481" s="107" t="n">
        <x:v>0</x:v>
      </x:c>
      <x:c r="E481" s="107" t="n">
        <x:v>0.43333332999999996</x:v>
      </x:c>
      <x:c r="F481" s="107" t="n">
        <x:v>14.86666667</x:v>
      </x:c>
    </x:row>
    <x:row r="482" ht="17" customHeight="1">
      <x:c r="A482" s="9" t="str">
        <x:v>2027-06-01</x:v>
      </x:c>
      <x:c r="B482" s="9" t="str">
        <x:v>Budget</x:v>
      </x:c>
      <x:c r="C482" s="9" t="str">
        <x:v>Finance &amp; Corporate</x:v>
      </x:c>
      <x:c r="D482" s="107" t="n">
        <x:v>0</x:v>
      </x:c>
      <x:c r="E482" s="107" t="n">
        <x:v>0.175</x:v>
      </x:c>
      <x:c r="F482" s="107" t="n">
        <x:v>7.7</x:v>
      </x:c>
    </x:row>
    <x:row r="483" ht="17" customHeight="1">
      <x:c r="A483" s="9" t="str">
        <x:v>2027-06-01</x:v>
      </x:c>
      <x:c r="B483" s="9" t="str">
        <x:v>Budget</x:v>
      </x:c>
      <x:c r="C483" s="9" t="str">
        <x:v>Operations</x:v>
      </x:c>
      <x:c r="D483" s="107" t="n">
        <x:v>0</x:v>
      </x:c>
      <x:c r="E483" s="107" t="n">
        <x:v>0.46527778000000003</x:v>
      </x:c>
      <x:c r="F483" s="107" t="n">
        <x:v>25.11111111</x:v>
      </x:c>
    </x:row>
    <x:row r="484" ht="17" customHeight="1">
      <x:c r="A484" s="9" t="str">
        <x:v>2027-06-01</x:v>
      </x:c>
      <x:c r="B484" s="9" t="str">
        <x:v>Budget</x:v>
      </x:c>
      <x:c r="C484" s="9" t="str">
        <x:v>Sales</x:v>
      </x:c>
      <x:c r="D484" s="107" t="n">
        <x:v>0</x:v>
      </x:c>
      <x:c r="E484" s="107" t="n">
        <x:v>0.23333333</x:v>
      </x:c>
      <x:c r="F484" s="107" t="n">
        <x:v>6.49</x:v>
      </x:c>
    </x:row>
    <x:row r="485" ht="17" customHeight="1">
      <x:c r="A485" s="9" t="str">
        <x:v>2027-06-01</x:v>
      </x:c>
      <x:c r="B485" s="9" t="str">
        <x:v>Budget</x:v>
      </x:c>
      <x:c r="C485" s="9" t="str">
        <x:v>Technology</x:v>
      </x:c>
      <x:c r="D485" s="107" t="n">
        <x:v>0</x:v>
      </x:c>
      <x:c r="E485" s="107" t="n">
        <x:v>0.5479166699999999</x:v>
      </x:c>
      <x:c r="F485" s="107" t="n">
        <x:v>22.56875</x:v>
      </x:c>
    </x:row>
    <x:row r="486" ht="17" customHeight="1">
      <x:c r="A486" s="9" t="str">
        <x:v>2023-01-01</x:v>
      </x:c>
      <x:c r="B486" s="9" t="str">
        <x:v>Forecast</x:v>
      </x:c>
      <x:c r="C486" s="9" t="str">
        <x:v>Customer Success</x:v>
      </x:c>
      <x:c r="D486" s="107" t="n">
        <x:v>0</x:v>
      </x:c>
      <x:c r="E486" s="107" t="n">
        <x:v>0</x:v>
      </x:c>
      <x:c r="F486" s="107" t="n">
        <x:v>20.2</x:v>
      </x:c>
    </x:row>
    <x:row r="487" ht="17" customHeight="1">
      <x:c r="A487" s="9" t="str">
        <x:v>2023-01-01</x:v>
      </x:c>
      <x:c r="B487" s="9" t="str">
        <x:v>Forecast</x:v>
      </x:c>
      <x:c r="C487" s="9" t="str">
        <x:v>Finance &amp; Corporate</x:v>
      </x:c>
      <x:c r="D487" s="107" t="n">
        <x:v>0</x:v>
      </x:c>
      <x:c r="E487" s="107" t="n">
        <x:v>0</x:v>
      </x:c>
      <x:c r="F487" s="107" t="n">
        <x:v>10.2</x:v>
      </x:c>
    </x:row>
    <x:row r="488" ht="17" customHeight="1">
      <x:c r="A488" s="9" t="str">
        <x:v>2023-01-01</x:v>
      </x:c>
      <x:c r="B488" s="9" t="str">
        <x:v>Forecast</x:v>
      </x:c>
      <x:c r="C488" s="9" t="str">
        <x:v>Operations</x:v>
      </x:c>
      <x:c r="D488" s="107" t="n">
        <x:v>0</x:v>
      </x:c>
      <x:c r="E488" s="107" t="n">
        <x:v>0</x:v>
      </x:c>
      <x:c r="F488" s="107" t="n">
        <x:v>33.5</x:v>
      </x:c>
    </x:row>
    <x:row r="489" ht="17" customHeight="1">
      <x:c r="A489" s="9" t="str">
        <x:v>2023-01-01</x:v>
      </x:c>
      <x:c r="B489" s="9" t="str">
        <x:v>Forecast</x:v>
      </x:c>
      <x:c r="C489" s="9" t="str">
        <x:v>Sales</x:v>
      </x:c>
      <x:c r="D489" s="107" t="n">
        <x:v>0</x:v>
      </x:c>
      <x:c r="E489" s="107" t="n">
        <x:v>0</x:v>
      </x:c>
      <x:c r="F489" s="107" t="n">
        <x:v>14.5</x:v>
      </x:c>
    </x:row>
    <x:row r="490" ht="17" customHeight="1">
      <x:c r="A490" s="9" t="str">
        <x:v>2023-01-01</x:v>
      </x:c>
      <x:c r="B490" s="9" t="str">
        <x:v>Forecast</x:v>
      </x:c>
      <x:c r="C490" s="9" t="str">
        <x:v>Technology</x:v>
      </x:c>
      <x:c r="D490" s="107" t="n">
        <x:v>0</x:v>
      </x:c>
      <x:c r="E490" s="107" t="n">
        <x:v>0</x:v>
      </x:c>
      <x:c r="F490" s="107" t="n">
        <x:v>33.35</x:v>
      </x:c>
    </x:row>
    <x:row r="491" ht="17" customHeight="1">
      <x:c r="A491" s="9" t="str">
        <x:v>2023-02-01</x:v>
      </x:c>
      <x:c r="B491" s="9" t="str">
        <x:v>Forecast</x:v>
      </x:c>
      <x:c r="C491" s="9" t="str">
        <x:v>Customer Success</x:v>
      </x:c>
      <x:c r="D491" s="107" t="n">
        <x:v>0</x:v>
      </x:c>
      <x:c r="E491" s="107" t="n">
        <x:v>0</x:v>
      </x:c>
      <x:c r="F491" s="107" t="n">
        <x:v>20.2</x:v>
      </x:c>
    </x:row>
    <x:row r="492" ht="17" customHeight="1">
      <x:c r="A492" s="9" t="str">
        <x:v>2023-02-01</x:v>
      </x:c>
      <x:c r="B492" s="9" t="str">
        <x:v>Forecast</x:v>
      </x:c>
      <x:c r="C492" s="9" t="str">
        <x:v>Finance &amp; Corporate</x:v>
      </x:c>
      <x:c r="D492" s="107" t="n">
        <x:v>0</x:v>
      </x:c>
      <x:c r="E492" s="107" t="n">
        <x:v>0</x:v>
      </x:c>
      <x:c r="F492" s="107" t="n">
        <x:v>10.2</x:v>
      </x:c>
    </x:row>
    <x:row r="493" ht="17" customHeight="1">
      <x:c r="A493" s="9" t="str">
        <x:v>2023-02-01</x:v>
      </x:c>
      <x:c r="B493" s="9" t="str">
        <x:v>Forecast</x:v>
      </x:c>
      <x:c r="C493" s="9" t="str">
        <x:v>Operations</x:v>
      </x:c>
      <x:c r="D493" s="107" t="n">
        <x:v>0</x:v>
      </x:c>
      <x:c r="E493" s="107" t="n">
        <x:v>0</x:v>
      </x:c>
      <x:c r="F493" s="107" t="n">
        <x:v>33.5</x:v>
      </x:c>
    </x:row>
    <x:row r="494" ht="17" customHeight="1">
      <x:c r="A494" s="9" t="str">
        <x:v>2023-02-01</x:v>
      </x:c>
      <x:c r="B494" s="9" t="str">
        <x:v>Forecast</x:v>
      </x:c>
      <x:c r="C494" s="9" t="str">
        <x:v>Sales</x:v>
      </x:c>
      <x:c r="D494" s="107" t="n">
        <x:v>0</x:v>
      </x:c>
      <x:c r="E494" s="107" t="n">
        <x:v>0</x:v>
      </x:c>
      <x:c r="F494" s="107" t="n">
        <x:v>14.5</x:v>
      </x:c>
    </x:row>
    <x:row r="495" ht="17" customHeight="1">
      <x:c r="A495" s="9" t="str">
        <x:v>2023-02-01</x:v>
      </x:c>
      <x:c r="B495" s="9" t="str">
        <x:v>Forecast</x:v>
      </x:c>
      <x:c r="C495" s="9" t="str">
        <x:v>Technology</x:v>
      </x:c>
      <x:c r="D495" s="107" t="n">
        <x:v>1.63</x:v>
      </x:c>
      <x:c r="E495" s="107" t="n">
        <x:v>0</x:v>
      </x:c>
      <x:c r="F495" s="107" t="n">
        <x:v>33.35</x:v>
      </x:c>
    </x:row>
    <x:row r="496" ht="17" customHeight="1">
      <x:c r="A496" s="9" t="str">
        <x:v>2023-03-01</x:v>
      </x:c>
      <x:c r="B496" s="9" t="str">
        <x:v>Forecast</x:v>
      </x:c>
      <x:c r="C496" s="9" t="str">
        <x:v>Customer Success</x:v>
      </x:c>
      <x:c r="D496" s="107" t="n">
        <x:v>0</x:v>
      </x:c>
      <x:c r="E496" s="107" t="n">
        <x:v>0</x:v>
      </x:c>
      <x:c r="F496" s="107" t="n">
        <x:v>20.2</x:v>
      </x:c>
    </x:row>
    <x:row r="497" ht="17" customHeight="1">
      <x:c r="A497" s="9" t="str">
        <x:v>2023-03-01</x:v>
      </x:c>
      <x:c r="B497" s="9" t="str">
        <x:v>Forecast</x:v>
      </x:c>
      <x:c r="C497" s="9" t="str">
        <x:v>Finance &amp; Corporate</x:v>
      </x:c>
      <x:c r="D497" s="107" t="n">
        <x:v>0</x:v>
      </x:c>
      <x:c r="E497" s="107" t="n">
        <x:v>0</x:v>
      </x:c>
      <x:c r="F497" s="107" t="n">
        <x:v>10.2</x:v>
      </x:c>
    </x:row>
    <x:row r="498" ht="17" customHeight="1">
      <x:c r="A498" s="9" t="str">
        <x:v>2023-03-01</x:v>
      </x:c>
      <x:c r="B498" s="9" t="str">
        <x:v>Forecast</x:v>
      </x:c>
      <x:c r="C498" s="9" t="str">
        <x:v>Operations</x:v>
      </x:c>
      <x:c r="D498" s="107" t="n">
        <x:v>0</x:v>
      </x:c>
      <x:c r="E498" s="107" t="n">
        <x:v>0</x:v>
      </x:c>
      <x:c r="F498" s="107" t="n">
        <x:v>33.5</x:v>
      </x:c>
    </x:row>
    <x:row r="499" ht="17" customHeight="1">
      <x:c r="A499" s="9" t="str">
        <x:v>2023-03-01</x:v>
      </x:c>
      <x:c r="B499" s="9" t="str">
        <x:v>Forecast</x:v>
      </x:c>
      <x:c r="C499" s="9" t="str">
        <x:v>Sales</x:v>
      </x:c>
      <x:c r="D499" s="107" t="n">
        <x:v>0</x:v>
      </x:c>
      <x:c r="E499" s="107" t="n">
        <x:v>0</x:v>
      </x:c>
      <x:c r="F499" s="107" t="n">
        <x:v>14.5</x:v>
      </x:c>
    </x:row>
    <x:row r="500" ht="17" customHeight="1">
      <x:c r="A500" s="9" t="str">
        <x:v>2023-03-01</x:v>
      </x:c>
      <x:c r="B500" s="9" t="str">
        <x:v>Forecast</x:v>
      </x:c>
      <x:c r="C500" s="9" t="str">
        <x:v>Technology</x:v>
      </x:c>
      <x:c r="D500" s="107" t="n">
        <x:v>1.63</x:v>
      </x:c>
      <x:c r="E500" s="107" t="n">
        <x:v>0</x:v>
      </x:c>
      <x:c r="F500" s="107" t="n">
        <x:v>33.35</x:v>
      </x:c>
    </x:row>
    <x:row r="501" ht="17" customHeight="1">
      <x:c r="A501" s="9" t="str">
        <x:v>2023-04-01</x:v>
      </x:c>
      <x:c r="B501" s="9" t="str">
        <x:v>Forecast</x:v>
      </x:c>
      <x:c r="C501" s="9" t="str">
        <x:v>Customer Success</x:v>
      </x:c>
      <x:c r="D501" s="107" t="n">
        <x:v>0</x:v>
      </x:c>
      <x:c r="E501" s="107" t="n">
        <x:v>0</x:v>
      </x:c>
      <x:c r="F501" s="107" t="n">
        <x:v>20.2</x:v>
      </x:c>
    </x:row>
    <x:row r="502" ht="17" customHeight="1">
      <x:c r="A502" s="9" t="str">
        <x:v>2023-04-01</x:v>
      </x:c>
      <x:c r="B502" s="9" t="str">
        <x:v>Forecast</x:v>
      </x:c>
      <x:c r="C502" s="9" t="str">
        <x:v>Finance &amp; Corporate</x:v>
      </x:c>
      <x:c r="D502" s="107" t="n">
        <x:v>0</x:v>
      </x:c>
      <x:c r="E502" s="107" t="n">
        <x:v>0</x:v>
      </x:c>
      <x:c r="F502" s="107" t="n">
        <x:v>10.2</x:v>
      </x:c>
    </x:row>
    <x:row r="503" ht="17" customHeight="1">
      <x:c r="A503" s="9" t="str">
        <x:v>2023-04-01</x:v>
      </x:c>
      <x:c r="B503" s="9" t="str">
        <x:v>Forecast</x:v>
      </x:c>
      <x:c r="C503" s="9" t="str">
        <x:v>Operations</x:v>
      </x:c>
      <x:c r="D503" s="107" t="n">
        <x:v>0</x:v>
      </x:c>
      <x:c r="E503" s="107" t="n">
        <x:v>0</x:v>
      </x:c>
      <x:c r="F503" s="107" t="n">
        <x:v>33.5</x:v>
      </x:c>
    </x:row>
    <x:row r="504" ht="17" customHeight="1">
      <x:c r="A504" s="9" t="str">
        <x:v>2023-04-01</x:v>
      </x:c>
      <x:c r="B504" s="9" t="str">
        <x:v>Forecast</x:v>
      </x:c>
      <x:c r="C504" s="9" t="str">
        <x:v>Sales</x:v>
      </x:c>
      <x:c r="D504" s="107" t="n">
        <x:v>0</x:v>
      </x:c>
      <x:c r="E504" s="107" t="n">
        <x:v>0</x:v>
      </x:c>
      <x:c r="F504" s="107" t="n">
        <x:v>14.5</x:v>
      </x:c>
    </x:row>
    <x:row r="505" ht="17" customHeight="1">
      <x:c r="A505" s="9" t="str">
        <x:v>2023-04-01</x:v>
      </x:c>
      <x:c r="B505" s="9" t="str">
        <x:v>Forecast</x:v>
      </x:c>
      <x:c r="C505" s="9" t="str">
        <x:v>Technology</x:v>
      </x:c>
      <x:c r="D505" s="107" t="n">
        <x:v>1.63</x:v>
      </x:c>
      <x:c r="E505" s="107" t="n">
        <x:v>0</x:v>
      </x:c>
      <x:c r="F505" s="107" t="n">
        <x:v>33.35</x:v>
      </x:c>
    </x:row>
    <x:row r="506" ht="17" customHeight="1">
      <x:c r="A506" s="9" t="str">
        <x:v>2023-05-01</x:v>
      </x:c>
      <x:c r="B506" s="9" t="str">
        <x:v>Forecast</x:v>
      </x:c>
      <x:c r="C506" s="9" t="str">
        <x:v>Customer Success</x:v>
      </x:c>
      <x:c r="D506" s="107" t="n">
        <x:v>0</x:v>
      </x:c>
      <x:c r="E506" s="107" t="n">
        <x:v>0</x:v>
      </x:c>
      <x:c r="F506" s="107" t="n">
        <x:v>20.2</x:v>
      </x:c>
    </x:row>
    <x:row r="507" ht="17" customHeight="1">
      <x:c r="A507" s="9" t="str">
        <x:v>2023-05-01</x:v>
      </x:c>
      <x:c r="B507" s="9" t="str">
        <x:v>Forecast</x:v>
      </x:c>
      <x:c r="C507" s="9" t="str">
        <x:v>Finance &amp; Corporate</x:v>
      </x:c>
      <x:c r="D507" s="107" t="n">
        <x:v>0</x:v>
      </x:c>
      <x:c r="E507" s="107" t="n">
        <x:v>0</x:v>
      </x:c>
      <x:c r="F507" s="107" t="n">
        <x:v>10.2</x:v>
      </x:c>
    </x:row>
    <x:row r="508" ht="17" customHeight="1">
      <x:c r="A508" s="9" t="str">
        <x:v>2023-05-01</x:v>
      </x:c>
      <x:c r="B508" s="9" t="str">
        <x:v>Forecast</x:v>
      </x:c>
      <x:c r="C508" s="9" t="str">
        <x:v>Operations</x:v>
      </x:c>
      <x:c r="D508" s="107" t="n">
        <x:v>0</x:v>
      </x:c>
      <x:c r="E508" s="107" t="n">
        <x:v>0</x:v>
      </x:c>
      <x:c r="F508" s="107" t="n">
        <x:v>33.5</x:v>
      </x:c>
    </x:row>
    <x:row r="509" ht="17" customHeight="1">
      <x:c r="A509" s="9" t="str">
        <x:v>2023-05-01</x:v>
      </x:c>
      <x:c r="B509" s="9" t="str">
        <x:v>Forecast</x:v>
      </x:c>
      <x:c r="C509" s="9" t="str">
        <x:v>Sales</x:v>
      </x:c>
      <x:c r="D509" s="107" t="n">
        <x:v>1.075</x:v>
      </x:c>
      <x:c r="E509" s="107" t="n">
        <x:v>0</x:v>
      </x:c>
      <x:c r="F509" s="107" t="n">
        <x:v>14.5</x:v>
      </x:c>
    </x:row>
    <x:row r="510" ht="17" customHeight="1">
      <x:c r="A510" s="9" t="str">
        <x:v>2023-05-01</x:v>
      </x:c>
      <x:c r="B510" s="9" t="str">
        <x:v>Forecast</x:v>
      </x:c>
      <x:c r="C510" s="9" t="str">
        <x:v>Technology</x:v>
      </x:c>
      <x:c r="D510" s="107" t="n">
        <x:v>1.63</x:v>
      </x:c>
      <x:c r="E510" s="107" t="n">
        <x:v>0</x:v>
      </x:c>
      <x:c r="F510" s="107" t="n">
        <x:v>33.35</x:v>
      </x:c>
    </x:row>
    <x:row r="511" ht="17" customHeight="1">
      <x:c r="A511" s="9" t="str">
        <x:v>2023-06-01</x:v>
      </x:c>
      <x:c r="B511" s="9" t="str">
        <x:v>Forecast</x:v>
      </x:c>
      <x:c r="C511" s="9" t="str">
        <x:v>Customer Success</x:v>
      </x:c>
      <x:c r="D511" s="107" t="n">
        <x:v>0</x:v>
      </x:c>
      <x:c r="E511" s="107" t="n">
        <x:v>0</x:v>
      </x:c>
      <x:c r="F511" s="107" t="n">
        <x:v>20.2</x:v>
      </x:c>
    </x:row>
    <x:row r="512" ht="17" customHeight="1">
      <x:c r="A512" s="9" t="str">
        <x:v>2023-06-01</x:v>
      </x:c>
      <x:c r="B512" s="9" t="str">
        <x:v>Forecast</x:v>
      </x:c>
      <x:c r="C512" s="9" t="str">
        <x:v>Finance &amp; Corporate</x:v>
      </x:c>
      <x:c r="D512" s="107" t="n">
        <x:v>0</x:v>
      </x:c>
      <x:c r="E512" s="107" t="n">
        <x:v>0</x:v>
      </x:c>
      <x:c r="F512" s="107" t="n">
        <x:v>10.2</x:v>
      </x:c>
    </x:row>
    <x:row r="513" ht="17" customHeight="1">
      <x:c r="A513" s="9" t="str">
        <x:v>2023-06-01</x:v>
      </x:c>
      <x:c r="B513" s="9" t="str">
        <x:v>Forecast</x:v>
      </x:c>
      <x:c r="C513" s="9" t="str">
        <x:v>Operations</x:v>
      </x:c>
      <x:c r="D513" s="107" t="n">
        <x:v>0</x:v>
      </x:c>
      <x:c r="E513" s="107" t="n">
        <x:v>0</x:v>
      </x:c>
      <x:c r="F513" s="107" t="n">
        <x:v>33.5</x:v>
      </x:c>
    </x:row>
    <x:row r="514" ht="17" customHeight="1">
      <x:c r="A514" s="9" t="str">
        <x:v>2023-06-01</x:v>
      </x:c>
      <x:c r="B514" s="9" t="str">
        <x:v>Forecast</x:v>
      </x:c>
      <x:c r="C514" s="9" t="str">
        <x:v>Sales</x:v>
      </x:c>
      <x:c r="D514" s="107" t="n">
        <x:v>1.075</x:v>
      </x:c>
      <x:c r="E514" s="107" t="n">
        <x:v>0</x:v>
      </x:c>
      <x:c r="F514" s="107" t="n">
        <x:v>14.5</x:v>
      </x:c>
    </x:row>
    <x:row r="515" ht="17" customHeight="1">
      <x:c r="A515" s="9" t="str">
        <x:v>2023-06-01</x:v>
      </x:c>
      <x:c r="B515" s="9" t="str">
        <x:v>Forecast</x:v>
      </x:c>
      <x:c r="C515" s="9" t="str">
        <x:v>Technology</x:v>
      </x:c>
      <x:c r="D515" s="107" t="n">
        <x:v>1.63</x:v>
      </x:c>
      <x:c r="E515" s="107" t="n">
        <x:v>0.16979167</x:v>
      </x:c>
      <x:c r="F515" s="107" t="n">
        <x:v>33.18020833</x:v>
      </x:c>
    </x:row>
    <x:row r="516" ht="17" customHeight="1">
      <x:c r="A516" s="9" t="str">
        <x:v>2023-07-01</x:v>
      </x:c>
      <x:c r="B516" s="9" t="str">
        <x:v>Forecast</x:v>
      </x:c>
      <x:c r="C516" s="9" t="str">
        <x:v>Customer Success</x:v>
      </x:c>
      <x:c r="D516" s="107" t="n">
        <x:v>0</x:v>
      </x:c>
      <x:c r="E516" s="107" t="n">
        <x:v>0</x:v>
      </x:c>
      <x:c r="F516" s="107" t="n">
        <x:v>20.2</x:v>
      </x:c>
    </x:row>
    <x:row r="517" ht="17" customHeight="1">
      <x:c r="A517" s="9" t="str">
        <x:v>2023-07-01</x:v>
      </x:c>
      <x:c r="B517" s="9" t="str">
        <x:v>Forecast</x:v>
      </x:c>
      <x:c r="C517" s="9" t="str">
        <x:v>Finance &amp; Corporate</x:v>
      </x:c>
      <x:c r="D517" s="107" t="n">
        <x:v>0</x:v>
      </x:c>
      <x:c r="E517" s="107" t="n">
        <x:v>0</x:v>
      </x:c>
      <x:c r="F517" s="107" t="n">
        <x:v>10.2</x:v>
      </x:c>
    </x:row>
    <x:row r="518" ht="17" customHeight="1">
      <x:c r="A518" s="9" t="str">
        <x:v>2023-07-01</x:v>
      </x:c>
      <x:c r="B518" s="9" t="str">
        <x:v>Forecast</x:v>
      </x:c>
      <x:c r="C518" s="9" t="str">
        <x:v>Operations</x:v>
      </x:c>
      <x:c r="D518" s="107" t="n">
        <x:v>0</x:v>
      </x:c>
      <x:c r="E518" s="107" t="n">
        <x:v>0</x:v>
      </x:c>
      <x:c r="F518" s="107" t="n">
        <x:v>33.5</x:v>
      </x:c>
    </x:row>
    <x:row r="519" ht="17" customHeight="1">
      <x:c r="A519" s="9" t="str">
        <x:v>2023-07-01</x:v>
      </x:c>
      <x:c r="B519" s="9" t="str">
        <x:v>Forecast</x:v>
      </x:c>
      <x:c r="C519" s="9" t="str">
        <x:v>Sales</x:v>
      </x:c>
      <x:c r="D519" s="107" t="n">
        <x:v>1.075</x:v>
      </x:c>
      <x:c r="E519" s="107" t="n">
        <x:v>0</x:v>
      </x:c>
      <x:c r="F519" s="107" t="n">
        <x:v>14.5</x:v>
      </x:c>
    </x:row>
    <x:row r="520" ht="17" customHeight="1">
      <x:c r="A520" s="9" t="str">
        <x:v>2023-07-01</x:v>
      </x:c>
      <x:c r="B520" s="9" t="str">
        <x:v>Forecast</x:v>
      </x:c>
      <x:c r="C520" s="9" t="str">
        <x:v>Technology</x:v>
      </x:c>
      <x:c r="D520" s="107" t="n">
        <x:v>0</x:v>
      </x:c>
      <x:c r="E520" s="107" t="n">
        <x:v>0.16979167</x:v>
      </x:c>
      <x:c r="F520" s="107" t="n">
        <x:v>33.010416670000005</x:v>
      </x:c>
    </x:row>
    <x:row r="521" ht="17" customHeight="1">
      <x:c r="A521" s="9" t="str">
        <x:v>2023-08-01</x:v>
      </x:c>
      <x:c r="B521" s="9" t="str">
        <x:v>Forecast</x:v>
      </x:c>
      <x:c r="C521" s="9" t="str">
        <x:v>Customer Success</x:v>
      </x:c>
      <x:c r="D521" s="107" t="n">
        <x:v>0</x:v>
      </x:c>
      <x:c r="E521" s="107" t="n">
        <x:v>0</x:v>
      </x:c>
      <x:c r="F521" s="107" t="n">
        <x:v>20.2</x:v>
      </x:c>
    </x:row>
    <x:row r="522" ht="17" customHeight="1">
      <x:c r="A522" s="9" t="str">
        <x:v>2023-08-01</x:v>
      </x:c>
      <x:c r="B522" s="9" t="str">
        <x:v>Forecast</x:v>
      </x:c>
      <x:c r="C522" s="9" t="str">
        <x:v>Finance &amp; Corporate</x:v>
      </x:c>
      <x:c r="D522" s="107" t="n">
        <x:v>0</x:v>
      </x:c>
      <x:c r="E522" s="107" t="n">
        <x:v>0</x:v>
      </x:c>
      <x:c r="F522" s="107" t="n">
        <x:v>10.2</x:v>
      </x:c>
    </x:row>
    <x:row r="523" ht="17" customHeight="1">
      <x:c r="A523" s="9" t="str">
        <x:v>2023-08-01</x:v>
      </x:c>
      <x:c r="B523" s="9" t="str">
        <x:v>Forecast</x:v>
      </x:c>
      <x:c r="C523" s="9" t="str">
        <x:v>Operations</x:v>
      </x:c>
      <x:c r="D523" s="107" t="n">
        <x:v>0</x:v>
      </x:c>
      <x:c r="E523" s="107" t="n">
        <x:v>0</x:v>
      </x:c>
      <x:c r="F523" s="107" t="n">
        <x:v>33.5</x:v>
      </x:c>
    </x:row>
    <x:row r="524" ht="17" customHeight="1">
      <x:c r="A524" s="9" t="str">
        <x:v>2023-08-01</x:v>
      </x:c>
      <x:c r="B524" s="9" t="str">
        <x:v>Forecast</x:v>
      </x:c>
      <x:c r="C524" s="9" t="str">
        <x:v>Sales</x:v>
      </x:c>
      <x:c r="D524" s="107" t="n">
        <x:v>1.075</x:v>
      </x:c>
      <x:c r="E524" s="107" t="n">
        <x:v>0</x:v>
      </x:c>
      <x:c r="F524" s="107" t="n">
        <x:v>14.5</x:v>
      </x:c>
    </x:row>
    <x:row r="525" ht="17" customHeight="1">
      <x:c r="A525" s="9" t="str">
        <x:v>2023-08-01</x:v>
      </x:c>
      <x:c r="B525" s="9" t="str">
        <x:v>Forecast</x:v>
      </x:c>
      <x:c r="C525" s="9" t="str">
        <x:v>Technology</x:v>
      </x:c>
      <x:c r="D525" s="107" t="n">
        <x:v>0</x:v>
      </x:c>
      <x:c r="E525" s="107" t="n">
        <x:v>0.16979167</x:v>
      </x:c>
      <x:c r="F525" s="107" t="n">
        <x:v>32.840625</x:v>
      </x:c>
    </x:row>
    <x:row r="526" ht="17" customHeight="1">
      <x:c r="A526" s="9" t="str">
        <x:v>2023-09-01</x:v>
      </x:c>
      <x:c r="B526" s="9" t="str">
        <x:v>Forecast</x:v>
      </x:c>
      <x:c r="C526" s="9" t="str">
        <x:v>Customer Success</x:v>
      </x:c>
      <x:c r="D526" s="107" t="n">
        <x:v>0</x:v>
      </x:c>
      <x:c r="E526" s="107" t="n">
        <x:v>0</x:v>
      </x:c>
      <x:c r="F526" s="107" t="n">
        <x:v>20.2</x:v>
      </x:c>
    </x:row>
    <x:row r="527" ht="17" customHeight="1">
      <x:c r="A527" s="9" t="str">
        <x:v>2023-09-01</x:v>
      </x:c>
      <x:c r="B527" s="9" t="str">
        <x:v>Forecast</x:v>
      </x:c>
      <x:c r="C527" s="9" t="str">
        <x:v>Finance &amp; Corporate</x:v>
      </x:c>
      <x:c r="D527" s="107" t="n">
        <x:v>0</x:v>
      </x:c>
      <x:c r="E527" s="107" t="n">
        <x:v>0</x:v>
      </x:c>
      <x:c r="F527" s="107" t="n">
        <x:v>10.2</x:v>
      </x:c>
    </x:row>
    <x:row r="528" ht="17" customHeight="1">
      <x:c r="A528" s="9" t="str">
        <x:v>2023-09-01</x:v>
      </x:c>
      <x:c r="B528" s="9" t="str">
        <x:v>Forecast</x:v>
      </x:c>
      <x:c r="C528" s="9" t="str">
        <x:v>Operations</x:v>
      </x:c>
      <x:c r="D528" s="107" t="n">
        <x:v>0</x:v>
      </x:c>
      <x:c r="E528" s="107" t="n">
        <x:v>0</x:v>
      </x:c>
      <x:c r="F528" s="107" t="n">
        <x:v>33.5</x:v>
      </x:c>
    </x:row>
    <x:row r="529" ht="17" customHeight="1">
      <x:c r="A529" s="9" t="str">
        <x:v>2023-09-01</x:v>
      </x:c>
      <x:c r="B529" s="9" t="str">
        <x:v>Forecast</x:v>
      </x:c>
      <x:c r="C529" s="9" t="str">
        <x:v>Sales</x:v>
      </x:c>
      <x:c r="D529" s="107" t="n">
        <x:v>1.075</x:v>
      </x:c>
      <x:c r="E529" s="107" t="n">
        <x:v>0</x:v>
      </x:c>
      <x:c r="F529" s="107" t="n">
        <x:v>14.5</x:v>
      </x:c>
    </x:row>
    <x:row r="530" ht="17" customHeight="1">
      <x:c r="A530" s="9" t="str">
        <x:v>2023-09-01</x:v>
      </x:c>
      <x:c r="B530" s="9" t="str">
        <x:v>Forecast</x:v>
      </x:c>
      <x:c r="C530" s="9" t="str">
        <x:v>Technology</x:v>
      </x:c>
      <x:c r="D530" s="107" t="n">
        <x:v>0</x:v>
      </x:c>
      <x:c r="E530" s="107" t="n">
        <x:v>0.16979167</x:v>
      </x:c>
      <x:c r="F530" s="107" t="n">
        <x:v>32.67083333</x:v>
      </x:c>
    </x:row>
    <x:row r="531" ht="17" customHeight="1">
      <x:c r="A531" s="9" t="str">
        <x:v>2023-10-01</x:v>
      </x:c>
      <x:c r="B531" s="9" t="str">
        <x:v>Forecast</x:v>
      </x:c>
      <x:c r="C531" s="9" t="str">
        <x:v>Customer Success</x:v>
      </x:c>
      <x:c r="D531" s="107" t="n">
        <x:v>0</x:v>
      </x:c>
      <x:c r="E531" s="107" t="n">
        <x:v>0</x:v>
      </x:c>
      <x:c r="F531" s="107" t="n">
        <x:v>20.2</x:v>
      </x:c>
    </x:row>
    <x:row r="532" ht="17" customHeight="1">
      <x:c r="A532" s="9" t="str">
        <x:v>2023-10-01</x:v>
      </x:c>
      <x:c r="B532" s="9" t="str">
        <x:v>Forecast</x:v>
      </x:c>
      <x:c r="C532" s="9" t="str">
        <x:v>Finance &amp; Corporate</x:v>
      </x:c>
      <x:c r="D532" s="107" t="n">
        <x:v>0</x:v>
      </x:c>
      <x:c r="E532" s="107" t="n">
        <x:v>0</x:v>
      </x:c>
      <x:c r="F532" s="107" t="n">
        <x:v>10.2</x:v>
      </x:c>
    </x:row>
    <x:row r="533" ht="17" customHeight="1">
      <x:c r="A533" s="9" t="str">
        <x:v>2023-10-01</x:v>
      </x:c>
      <x:c r="B533" s="9" t="str">
        <x:v>Forecast</x:v>
      </x:c>
      <x:c r="C533" s="9" t="str">
        <x:v>Operations</x:v>
      </x:c>
      <x:c r="D533" s="107" t="n">
        <x:v>0</x:v>
      </x:c>
      <x:c r="E533" s="107" t="n">
        <x:v>0</x:v>
      </x:c>
      <x:c r="F533" s="107" t="n">
        <x:v>33.5</x:v>
      </x:c>
    </x:row>
    <x:row r="534" ht="17" customHeight="1">
      <x:c r="A534" s="9" t="str">
        <x:v>2023-10-01</x:v>
      </x:c>
      <x:c r="B534" s="9" t="str">
        <x:v>Forecast</x:v>
      </x:c>
      <x:c r="C534" s="9" t="str">
        <x:v>Sales</x:v>
      </x:c>
      <x:c r="D534" s="107" t="n">
        <x:v>1.075</x:v>
      </x:c>
      <x:c r="E534" s="107" t="n">
        <x:v>0.1075</x:v>
      </x:c>
      <x:c r="F534" s="107" t="n">
        <x:v>14.3925</x:v>
      </x:c>
    </x:row>
    <x:row r="535" ht="17" customHeight="1">
      <x:c r="A535" s="9" t="str">
        <x:v>2023-10-01</x:v>
      </x:c>
      <x:c r="B535" s="9" t="str">
        <x:v>Forecast</x:v>
      </x:c>
      <x:c r="C535" s="9" t="str">
        <x:v>Technology</x:v>
      </x:c>
      <x:c r="D535" s="107" t="n">
        <x:v>0</x:v>
      </x:c>
      <x:c r="E535" s="107" t="n">
        <x:v>0.16979167</x:v>
      </x:c>
      <x:c r="F535" s="107" t="n">
        <x:v>32.50104167</x:v>
      </x:c>
    </x:row>
    <x:row r="536" ht="17" customHeight="1">
      <x:c r="A536" s="9" t="str">
        <x:v>2023-11-01</x:v>
      </x:c>
      <x:c r="B536" s="9" t="str">
        <x:v>Forecast</x:v>
      </x:c>
      <x:c r="C536" s="9" t="str">
        <x:v>Customer Success</x:v>
      </x:c>
      <x:c r="D536" s="107" t="n">
        <x:v>0</x:v>
      </x:c>
      <x:c r="E536" s="107" t="n">
        <x:v>0</x:v>
      </x:c>
      <x:c r="F536" s="107" t="n">
        <x:v>20.2</x:v>
      </x:c>
    </x:row>
    <x:row r="537" ht="17" customHeight="1">
      <x:c r="A537" s="9" t="str">
        <x:v>2023-11-01</x:v>
      </x:c>
      <x:c r="B537" s="9" t="str">
        <x:v>Forecast</x:v>
      </x:c>
      <x:c r="C537" s="9" t="str">
        <x:v>Finance &amp; Corporate</x:v>
      </x:c>
      <x:c r="D537" s="107" t="n">
        <x:v>0</x:v>
      </x:c>
      <x:c r="E537" s="107" t="n">
        <x:v>0</x:v>
      </x:c>
      <x:c r="F537" s="107" t="n">
        <x:v>10.2</x:v>
      </x:c>
    </x:row>
    <x:row r="538" ht="17" customHeight="1">
      <x:c r="A538" s="9" t="str">
        <x:v>2023-11-01</x:v>
      </x:c>
      <x:c r="B538" s="9" t="str">
        <x:v>Forecast</x:v>
      </x:c>
      <x:c r="C538" s="9" t="str">
        <x:v>Operations</x:v>
      </x:c>
      <x:c r="D538" s="107" t="n">
        <x:v>0</x:v>
      </x:c>
      <x:c r="E538" s="107" t="n">
        <x:v>0</x:v>
      </x:c>
      <x:c r="F538" s="107" t="n">
        <x:v>33.5</x:v>
      </x:c>
    </x:row>
    <x:row r="539" ht="17" customHeight="1">
      <x:c r="A539" s="9" t="str">
        <x:v>2023-11-01</x:v>
      </x:c>
      <x:c r="B539" s="9" t="str">
        <x:v>Forecast</x:v>
      </x:c>
      <x:c r="C539" s="9" t="str">
        <x:v>Sales</x:v>
      </x:c>
      <x:c r="D539" s="107" t="n">
        <x:v>0</x:v>
      </x:c>
      <x:c r="E539" s="107" t="n">
        <x:v>0.1075</x:v>
      </x:c>
      <x:c r="F539" s="107" t="n">
        <x:v>14.285</x:v>
      </x:c>
    </x:row>
    <x:row r="540" ht="17" customHeight="1">
      <x:c r="A540" s="9" t="str">
        <x:v>2023-11-01</x:v>
      </x:c>
      <x:c r="B540" s="9" t="str">
        <x:v>Forecast</x:v>
      </x:c>
      <x:c r="C540" s="9" t="str">
        <x:v>Technology</x:v>
      </x:c>
      <x:c r="D540" s="107" t="n">
        <x:v>0</x:v>
      </x:c>
      <x:c r="E540" s="107" t="n">
        <x:v>0.16979167</x:v>
      </x:c>
      <x:c r="F540" s="107" t="n">
        <x:v>32.33125</x:v>
      </x:c>
    </x:row>
    <x:row r="541" ht="17" customHeight="1">
      <x:c r="A541" s="9" t="str">
        <x:v>2023-12-01</x:v>
      </x:c>
      <x:c r="B541" s="9" t="str">
        <x:v>Forecast</x:v>
      </x:c>
      <x:c r="C541" s="9" t="str">
        <x:v>Customer Success</x:v>
      </x:c>
      <x:c r="D541" s="107" t="n">
        <x:v>0</x:v>
      </x:c>
      <x:c r="E541" s="107" t="n">
        <x:v>0</x:v>
      </x:c>
      <x:c r="F541" s="107" t="n">
        <x:v>20.2</x:v>
      </x:c>
    </x:row>
    <x:row r="542" ht="17" customHeight="1">
      <x:c r="A542" s="9" t="str">
        <x:v>2023-12-01</x:v>
      </x:c>
      <x:c r="B542" s="9" t="str">
        <x:v>Forecast</x:v>
      </x:c>
      <x:c r="C542" s="9" t="str">
        <x:v>Finance &amp; Corporate</x:v>
      </x:c>
      <x:c r="D542" s="107" t="n">
        <x:v>0</x:v>
      </x:c>
      <x:c r="E542" s="107" t="n">
        <x:v>0</x:v>
      </x:c>
      <x:c r="F542" s="107" t="n">
        <x:v>10.2</x:v>
      </x:c>
    </x:row>
    <x:row r="543" ht="17" customHeight="1">
      <x:c r="A543" s="9" t="str">
        <x:v>2023-12-01</x:v>
      </x:c>
      <x:c r="B543" s="9" t="str">
        <x:v>Forecast</x:v>
      </x:c>
      <x:c r="C543" s="9" t="str">
        <x:v>Operations</x:v>
      </x:c>
      <x:c r="D543" s="107" t="n">
        <x:v>0</x:v>
      </x:c>
      <x:c r="E543" s="107" t="n">
        <x:v>0</x:v>
      </x:c>
      <x:c r="F543" s="107" t="n">
        <x:v>33.5</x:v>
      </x:c>
    </x:row>
    <x:row r="544" ht="17" customHeight="1">
      <x:c r="A544" s="9" t="str">
        <x:v>2023-12-01</x:v>
      </x:c>
      <x:c r="B544" s="9" t="str">
        <x:v>Forecast</x:v>
      </x:c>
      <x:c r="C544" s="9" t="str">
        <x:v>Sales</x:v>
      </x:c>
      <x:c r="D544" s="107" t="n">
        <x:v>0</x:v>
      </x:c>
      <x:c r="E544" s="107" t="n">
        <x:v>0.1075</x:v>
      </x:c>
      <x:c r="F544" s="107" t="n">
        <x:v>14.1775</x:v>
      </x:c>
    </x:row>
    <x:row r="545" ht="17" customHeight="1">
      <x:c r="A545" s="9" t="str">
        <x:v>2023-12-01</x:v>
      </x:c>
      <x:c r="B545" s="9" t="str">
        <x:v>Forecast</x:v>
      </x:c>
      <x:c r="C545" s="9" t="str">
        <x:v>Technology</x:v>
      </x:c>
      <x:c r="D545" s="107" t="n">
        <x:v>0</x:v>
      </x:c>
      <x:c r="E545" s="107" t="n">
        <x:v>0.16979167</x:v>
      </x:c>
      <x:c r="F545" s="107" t="n">
        <x:v>32.161458329999995</x:v>
      </x:c>
    </x:row>
    <x:row r="546" ht="17" customHeight="1">
      <x:c r="A546" s="9" t="str">
        <x:v>2024-01-01</x:v>
      </x:c>
      <x:c r="B546" s="9" t="str">
        <x:v>Forecast</x:v>
      </x:c>
      <x:c r="C546" s="9" t="str">
        <x:v>Customer Success</x:v>
      </x:c>
      <x:c r="D546" s="107" t="n">
        <x:v>0</x:v>
      </x:c>
      <x:c r="E546" s="107" t="n">
        <x:v>0</x:v>
      </x:c>
      <x:c r="F546" s="107" t="n">
        <x:v>20.2</x:v>
      </x:c>
    </x:row>
    <x:row r="547" ht="17" customHeight="1">
      <x:c r="A547" s="9" t="str">
        <x:v>2024-01-01</x:v>
      </x:c>
      <x:c r="B547" s="9" t="str">
        <x:v>Forecast</x:v>
      </x:c>
      <x:c r="C547" s="9" t="str">
        <x:v>Finance &amp; Corporate</x:v>
      </x:c>
      <x:c r="D547" s="107" t="n">
        <x:v>0</x:v>
      </x:c>
      <x:c r="E547" s="107" t="n">
        <x:v>0</x:v>
      </x:c>
      <x:c r="F547" s="107" t="n">
        <x:v>10.2</x:v>
      </x:c>
    </x:row>
    <x:row r="548" ht="17" customHeight="1">
      <x:c r="A548" s="9" t="str">
        <x:v>2024-01-01</x:v>
      </x:c>
      <x:c r="B548" s="9" t="str">
        <x:v>Forecast</x:v>
      </x:c>
      <x:c r="C548" s="9" t="str">
        <x:v>Operations</x:v>
      </x:c>
      <x:c r="D548" s="107" t="n">
        <x:v>0</x:v>
      </x:c>
      <x:c r="E548" s="107" t="n">
        <x:v>0</x:v>
      </x:c>
      <x:c r="F548" s="107" t="n">
        <x:v>33.5</x:v>
      </x:c>
    </x:row>
    <x:row r="549" ht="17" customHeight="1">
      <x:c r="A549" s="9" t="str">
        <x:v>2024-01-01</x:v>
      </x:c>
      <x:c r="B549" s="9" t="str">
        <x:v>Forecast</x:v>
      </x:c>
      <x:c r="C549" s="9" t="str">
        <x:v>Sales</x:v>
      </x:c>
      <x:c r="D549" s="107" t="n">
        <x:v>0</x:v>
      </x:c>
      <x:c r="E549" s="107" t="n">
        <x:v>0.1075</x:v>
      </x:c>
      <x:c r="F549" s="107" t="n">
        <x:v>14.07</x:v>
      </x:c>
    </x:row>
    <x:row r="550" ht="17" customHeight="1">
      <x:c r="A550" s="9" t="str">
        <x:v>2024-01-01</x:v>
      </x:c>
      <x:c r="B550" s="9" t="str">
        <x:v>Forecast</x:v>
      </x:c>
      <x:c r="C550" s="9" t="str">
        <x:v>Technology</x:v>
      </x:c>
      <x:c r="D550" s="107" t="n">
        <x:v>1.75714286</x:v>
      </x:c>
      <x:c r="E550" s="107" t="n">
        <x:v>0.16979167</x:v>
      </x:c>
      <x:c r="F550" s="107" t="n">
        <x:v>31.99166667</x:v>
      </x:c>
    </x:row>
    <x:row r="551" ht="17" customHeight="1">
      <x:c r="A551" s="9" t="str">
        <x:v>2024-02-01</x:v>
      </x:c>
      <x:c r="B551" s="9" t="str">
        <x:v>Forecast</x:v>
      </x:c>
      <x:c r="C551" s="9" t="str">
        <x:v>Customer Success</x:v>
      </x:c>
      <x:c r="D551" s="107" t="n">
        <x:v>0</x:v>
      </x:c>
      <x:c r="E551" s="107" t="n">
        <x:v>0</x:v>
      </x:c>
      <x:c r="F551" s="107" t="n">
        <x:v>20.2</x:v>
      </x:c>
    </x:row>
    <x:row r="552" ht="17" customHeight="1">
      <x:c r="A552" s="9" t="str">
        <x:v>2024-02-01</x:v>
      </x:c>
      <x:c r="B552" s="9" t="str">
        <x:v>Forecast</x:v>
      </x:c>
      <x:c r="C552" s="9" t="str">
        <x:v>Finance &amp; Corporate</x:v>
      </x:c>
      <x:c r="D552" s="107" t="n">
        <x:v>0</x:v>
      </x:c>
      <x:c r="E552" s="107" t="n">
        <x:v>0</x:v>
      </x:c>
      <x:c r="F552" s="107" t="n">
        <x:v>10.2</x:v>
      </x:c>
    </x:row>
    <x:row r="553" ht="17" customHeight="1">
      <x:c r="A553" s="9" t="str">
        <x:v>2024-02-01</x:v>
      </x:c>
      <x:c r="B553" s="9" t="str">
        <x:v>Forecast</x:v>
      </x:c>
      <x:c r="C553" s="9" t="str">
        <x:v>Operations</x:v>
      </x:c>
      <x:c r="D553" s="107" t="n">
        <x:v>0</x:v>
      </x:c>
      <x:c r="E553" s="107" t="n">
        <x:v>0</x:v>
      </x:c>
      <x:c r="F553" s="107" t="n">
        <x:v>33.5</x:v>
      </x:c>
    </x:row>
    <x:row r="554" ht="17" customHeight="1">
      <x:c r="A554" s="9" t="str">
        <x:v>2024-02-01</x:v>
      </x:c>
      <x:c r="B554" s="9" t="str">
        <x:v>Forecast</x:v>
      </x:c>
      <x:c r="C554" s="9" t="str">
        <x:v>Sales</x:v>
      </x:c>
      <x:c r="D554" s="107" t="n">
        <x:v>0</x:v>
      </x:c>
      <x:c r="E554" s="107" t="n">
        <x:v>0.1075</x:v>
      </x:c>
      <x:c r="F554" s="107" t="n">
        <x:v>13.9625</x:v>
      </x:c>
    </x:row>
    <x:row r="555" ht="17" customHeight="1">
      <x:c r="A555" s="9" t="str">
        <x:v>2024-02-01</x:v>
      </x:c>
      <x:c r="B555" s="9" t="str">
        <x:v>Forecast</x:v>
      </x:c>
      <x:c r="C555" s="9" t="str">
        <x:v>Technology</x:v>
      </x:c>
      <x:c r="D555" s="107" t="n">
        <x:v>1.75714286</x:v>
      </x:c>
      <x:c r="E555" s="107" t="n">
        <x:v>0.16979167</x:v>
      </x:c>
      <x:c r="F555" s="107" t="n">
        <x:v>31.821875</x:v>
      </x:c>
    </x:row>
    <x:row r="556" ht="17" customHeight="1">
      <x:c r="A556" s="9" t="str">
        <x:v>2024-03-01</x:v>
      </x:c>
      <x:c r="B556" s="9" t="str">
        <x:v>Forecast</x:v>
      </x:c>
      <x:c r="C556" s="9" t="str">
        <x:v>Customer Success</x:v>
      </x:c>
      <x:c r="D556" s="107" t="n">
        <x:v>0</x:v>
      </x:c>
      <x:c r="E556" s="107" t="n">
        <x:v>0</x:v>
      </x:c>
      <x:c r="F556" s="107" t="n">
        <x:v>20.2</x:v>
      </x:c>
    </x:row>
    <x:row r="557" ht="17" customHeight="1">
      <x:c r="A557" s="9" t="str">
        <x:v>2024-03-01</x:v>
      </x:c>
      <x:c r="B557" s="9" t="str">
        <x:v>Forecast</x:v>
      </x:c>
      <x:c r="C557" s="9" t="str">
        <x:v>Finance &amp; Corporate</x:v>
      </x:c>
      <x:c r="D557" s="107" t="n">
        <x:v>0</x:v>
      </x:c>
      <x:c r="E557" s="107" t="n">
        <x:v>0</x:v>
      </x:c>
      <x:c r="F557" s="107" t="n">
        <x:v>10.2</x:v>
      </x:c>
    </x:row>
    <x:row r="558" ht="17" customHeight="1">
      <x:c r="A558" s="9" t="str">
        <x:v>2024-03-01</x:v>
      </x:c>
      <x:c r="B558" s="9" t="str">
        <x:v>Forecast</x:v>
      </x:c>
      <x:c r="C558" s="9" t="str">
        <x:v>Operations</x:v>
      </x:c>
      <x:c r="D558" s="107" t="n">
        <x:v>0</x:v>
      </x:c>
      <x:c r="E558" s="107" t="n">
        <x:v>0</x:v>
      </x:c>
      <x:c r="F558" s="107" t="n">
        <x:v>33.5</x:v>
      </x:c>
    </x:row>
    <x:row r="559" ht="17" customHeight="1">
      <x:c r="A559" s="9" t="str">
        <x:v>2024-03-01</x:v>
      </x:c>
      <x:c r="B559" s="9" t="str">
        <x:v>Forecast</x:v>
      </x:c>
      <x:c r="C559" s="9" t="str">
        <x:v>Sales</x:v>
      </x:c>
      <x:c r="D559" s="107" t="n">
        <x:v>0</x:v>
      </x:c>
      <x:c r="E559" s="107" t="n">
        <x:v>0.1075</x:v>
      </x:c>
      <x:c r="F559" s="107" t="n">
        <x:v>13.855</x:v>
      </x:c>
    </x:row>
    <x:row r="560" ht="17" customHeight="1">
      <x:c r="A560" s="9" t="str">
        <x:v>2024-03-01</x:v>
      </x:c>
      <x:c r="B560" s="9" t="str">
        <x:v>Forecast</x:v>
      </x:c>
      <x:c r="C560" s="9" t="str">
        <x:v>Technology</x:v>
      </x:c>
      <x:c r="D560" s="107" t="n">
        <x:v>1.75714286</x:v>
      </x:c>
      <x:c r="E560" s="107" t="n">
        <x:v>0.16979167</x:v>
      </x:c>
      <x:c r="F560" s="107" t="n">
        <x:v>31.65208333</x:v>
      </x:c>
    </x:row>
    <x:row r="561" ht="17" customHeight="1">
      <x:c r="A561" s="9" t="str">
        <x:v>2024-04-01</x:v>
      </x:c>
      <x:c r="B561" s="9" t="str">
        <x:v>Forecast</x:v>
      </x:c>
      <x:c r="C561" s="9" t="str">
        <x:v>Customer Success</x:v>
      </x:c>
      <x:c r="D561" s="107" t="n">
        <x:v>0</x:v>
      </x:c>
      <x:c r="E561" s="107" t="n">
        <x:v>0</x:v>
      </x:c>
      <x:c r="F561" s="107" t="n">
        <x:v>20.2</x:v>
      </x:c>
    </x:row>
    <x:row r="562" ht="17" customHeight="1">
      <x:c r="A562" s="9" t="str">
        <x:v>2024-04-01</x:v>
      </x:c>
      <x:c r="B562" s="9" t="str">
        <x:v>Forecast</x:v>
      </x:c>
      <x:c r="C562" s="9" t="str">
        <x:v>Finance &amp; Corporate</x:v>
      </x:c>
      <x:c r="D562" s="107" t="n">
        <x:v>0</x:v>
      </x:c>
      <x:c r="E562" s="107" t="n">
        <x:v>0</x:v>
      </x:c>
      <x:c r="F562" s="107" t="n">
        <x:v>10.2</x:v>
      </x:c>
    </x:row>
    <x:row r="563" ht="17" customHeight="1">
      <x:c r="A563" s="9" t="str">
        <x:v>2024-04-01</x:v>
      </x:c>
      <x:c r="B563" s="9" t="str">
        <x:v>Forecast</x:v>
      </x:c>
      <x:c r="C563" s="9" t="str">
        <x:v>Operations</x:v>
      </x:c>
      <x:c r="D563" s="107" t="n">
        <x:v>1.9875</x:v>
      </x:c>
      <x:c r="E563" s="107" t="n">
        <x:v>0</x:v>
      </x:c>
      <x:c r="F563" s="107" t="n">
        <x:v>33.5</x:v>
      </x:c>
    </x:row>
    <x:row r="564" ht="17" customHeight="1">
      <x:c r="A564" s="9" t="str">
        <x:v>2024-04-01</x:v>
      </x:c>
      <x:c r="B564" s="9" t="str">
        <x:v>Forecast</x:v>
      </x:c>
      <x:c r="C564" s="9" t="str">
        <x:v>Sales</x:v>
      </x:c>
      <x:c r="D564" s="107" t="n">
        <x:v>0</x:v>
      </x:c>
      <x:c r="E564" s="107" t="n">
        <x:v>0.1075</x:v>
      </x:c>
      <x:c r="F564" s="107" t="n">
        <x:v>13.7475</x:v>
      </x:c>
    </x:row>
    <x:row r="565" ht="17" customHeight="1">
      <x:c r="A565" s="9" t="str">
        <x:v>2024-04-01</x:v>
      </x:c>
      <x:c r="B565" s="9" t="str">
        <x:v>Forecast</x:v>
      </x:c>
      <x:c r="C565" s="9" t="str">
        <x:v>Technology</x:v>
      </x:c>
      <x:c r="D565" s="107" t="n">
        <x:v>1.75714286</x:v>
      </x:c>
      <x:c r="E565" s="107" t="n">
        <x:v>0.16979167</x:v>
      </x:c>
      <x:c r="F565" s="107" t="n">
        <x:v>31.482291670000002</x:v>
      </x:c>
    </x:row>
    <x:row r="566" ht="17" customHeight="1">
      <x:c r="A566" s="9" t="str">
        <x:v>2024-05-01</x:v>
      </x:c>
      <x:c r="B566" s="9" t="str">
        <x:v>Forecast</x:v>
      </x:c>
      <x:c r="C566" s="9" t="str">
        <x:v>Customer Success</x:v>
      </x:c>
      <x:c r="D566" s="107" t="n">
        <x:v>0</x:v>
      </x:c>
      <x:c r="E566" s="107" t="n">
        <x:v>0</x:v>
      </x:c>
      <x:c r="F566" s="107" t="n">
        <x:v>20.2</x:v>
      </x:c>
    </x:row>
    <x:row r="567" ht="17" customHeight="1">
      <x:c r="A567" s="9" t="str">
        <x:v>2024-05-01</x:v>
      </x:c>
      <x:c r="B567" s="9" t="str">
        <x:v>Forecast</x:v>
      </x:c>
      <x:c r="C567" s="9" t="str">
        <x:v>Finance &amp; Corporate</x:v>
      </x:c>
      <x:c r="D567" s="107" t="n">
        <x:v>0</x:v>
      </x:c>
      <x:c r="E567" s="107" t="n">
        <x:v>0</x:v>
      </x:c>
      <x:c r="F567" s="107" t="n">
        <x:v>10.2</x:v>
      </x:c>
    </x:row>
    <x:row r="568" ht="17" customHeight="1">
      <x:c r="A568" s="9" t="str">
        <x:v>2024-05-01</x:v>
      </x:c>
      <x:c r="B568" s="9" t="str">
        <x:v>Forecast</x:v>
      </x:c>
      <x:c r="C568" s="9" t="str">
        <x:v>Operations</x:v>
      </x:c>
      <x:c r="D568" s="107" t="n">
        <x:v>1.9875</x:v>
      </x:c>
      <x:c r="E568" s="107" t="n">
        <x:v>0</x:v>
      </x:c>
      <x:c r="F568" s="107" t="n">
        <x:v>33.5</x:v>
      </x:c>
    </x:row>
    <x:row r="569" ht="17" customHeight="1">
      <x:c r="A569" s="9" t="str">
        <x:v>2024-05-01</x:v>
      </x:c>
      <x:c r="B569" s="9" t="str">
        <x:v>Forecast</x:v>
      </x:c>
      <x:c r="C569" s="9" t="str">
        <x:v>Sales</x:v>
      </x:c>
      <x:c r="D569" s="107" t="n">
        <x:v>0</x:v>
      </x:c>
      <x:c r="E569" s="107" t="n">
        <x:v>0.1075</x:v>
      </x:c>
      <x:c r="F569" s="107" t="n">
        <x:v>13.64</x:v>
      </x:c>
    </x:row>
    <x:row r="570" ht="17" customHeight="1">
      <x:c r="A570" s="9" t="str">
        <x:v>2024-05-01</x:v>
      </x:c>
      <x:c r="B570" s="9" t="str">
        <x:v>Forecast</x:v>
      </x:c>
      <x:c r="C570" s="9" t="str">
        <x:v>Technology</x:v>
      </x:c>
      <x:c r="D570" s="107" t="n">
        <x:v>1.75714286</x:v>
      </x:c>
      <x:c r="E570" s="107" t="n">
        <x:v>0.16979167</x:v>
      </x:c>
      <x:c r="F570" s="107" t="n">
        <x:v>31.3125</x:v>
      </x:c>
    </x:row>
    <x:row r="571" ht="17" customHeight="1">
      <x:c r="A571" s="9" t="str">
        <x:v>2024-06-01</x:v>
      </x:c>
      <x:c r="B571" s="9" t="str">
        <x:v>Forecast</x:v>
      </x:c>
      <x:c r="C571" s="9" t="str">
        <x:v>Customer Success</x:v>
      </x:c>
      <x:c r="D571" s="107" t="n">
        <x:v>0</x:v>
      </x:c>
      <x:c r="E571" s="107" t="n">
        <x:v>0</x:v>
      </x:c>
      <x:c r="F571" s="107" t="n">
        <x:v>20.2</x:v>
      </x:c>
    </x:row>
    <x:row r="572" ht="17" customHeight="1">
      <x:c r="A572" s="9" t="str">
        <x:v>2024-06-01</x:v>
      </x:c>
      <x:c r="B572" s="9" t="str">
        <x:v>Forecast</x:v>
      </x:c>
      <x:c r="C572" s="9" t="str">
        <x:v>Finance &amp; Corporate</x:v>
      </x:c>
      <x:c r="D572" s="107" t="n">
        <x:v>0</x:v>
      </x:c>
      <x:c r="E572" s="107" t="n">
        <x:v>0</x:v>
      </x:c>
      <x:c r="F572" s="107" t="n">
        <x:v>10.2</x:v>
      </x:c>
    </x:row>
    <x:row r="573" ht="17" customHeight="1">
      <x:c r="A573" s="9" t="str">
        <x:v>2024-06-01</x:v>
      </x:c>
      <x:c r="B573" s="9" t="str">
        <x:v>Forecast</x:v>
      </x:c>
      <x:c r="C573" s="9" t="str">
        <x:v>Operations</x:v>
      </x:c>
      <x:c r="D573" s="107" t="n">
        <x:v>1.9875</x:v>
      </x:c>
      <x:c r="E573" s="107" t="n">
        <x:v>0</x:v>
      </x:c>
      <x:c r="F573" s="107" t="n">
        <x:v>33.5</x:v>
      </x:c>
    </x:row>
    <x:row r="574" ht="17" customHeight="1">
      <x:c r="A574" s="9" t="str">
        <x:v>2024-06-01</x:v>
      </x:c>
      <x:c r="B574" s="9" t="str">
        <x:v>Forecast</x:v>
      </x:c>
      <x:c r="C574" s="9" t="str">
        <x:v>Sales</x:v>
      </x:c>
      <x:c r="D574" s="107" t="n">
        <x:v>0</x:v>
      </x:c>
      <x:c r="E574" s="107" t="n">
        <x:v>0.1075</x:v>
      </x:c>
      <x:c r="F574" s="107" t="n">
        <x:v>13.5325</x:v>
      </x:c>
    </x:row>
    <x:row r="575" ht="17" customHeight="1">
      <x:c r="A575" s="9" t="str">
        <x:v>2024-06-01</x:v>
      </x:c>
      <x:c r="B575" s="9" t="str">
        <x:v>Forecast</x:v>
      </x:c>
      <x:c r="C575" s="9" t="str">
        <x:v>Technology</x:v>
      </x:c>
      <x:c r="D575" s="107" t="n">
        <x:v>1.75714286</x:v>
      </x:c>
      <x:c r="E575" s="107" t="n">
        <x:v>0.16979167</x:v>
      </x:c>
      <x:c r="F575" s="107" t="n">
        <x:v>31.142708329999998</x:v>
      </x:c>
    </x:row>
    <x:row r="576" ht="17" customHeight="1">
      <x:c r="A576" s="9" t="str">
        <x:v>2024-07-01</x:v>
      </x:c>
      <x:c r="B576" s="9" t="str">
        <x:v>Forecast</x:v>
      </x:c>
      <x:c r="C576" s="9" t="str">
        <x:v>Customer Success</x:v>
      </x:c>
      <x:c r="D576" s="107" t="n">
        <x:v>0</x:v>
      </x:c>
      <x:c r="E576" s="107" t="n">
        <x:v>0</x:v>
      </x:c>
      <x:c r="F576" s="107" t="n">
        <x:v>20.2</x:v>
      </x:c>
    </x:row>
    <x:row r="577" ht="17" customHeight="1">
      <x:c r="A577" s="9" t="str">
        <x:v>2024-07-01</x:v>
      </x:c>
      <x:c r="B577" s="9" t="str">
        <x:v>Forecast</x:v>
      </x:c>
      <x:c r="C577" s="9" t="str">
        <x:v>Finance &amp; Corporate</x:v>
      </x:c>
      <x:c r="D577" s="107" t="n">
        <x:v>0</x:v>
      </x:c>
      <x:c r="E577" s="107" t="n">
        <x:v>0</x:v>
      </x:c>
      <x:c r="F577" s="107" t="n">
        <x:v>10.2</x:v>
      </x:c>
    </x:row>
    <x:row r="578" ht="17" customHeight="1">
      <x:c r="A578" s="9" t="str">
        <x:v>2024-07-01</x:v>
      </x:c>
      <x:c r="B578" s="9" t="str">
        <x:v>Forecast</x:v>
      </x:c>
      <x:c r="C578" s="9" t="str">
        <x:v>Operations</x:v>
      </x:c>
      <x:c r="D578" s="107" t="n">
        <x:v>1.9875</x:v>
      </x:c>
      <x:c r="E578" s="107" t="n">
        <x:v>0</x:v>
      </x:c>
      <x:c r="F578" s="107" t="n">
        <x:v>33.5</x:v>
      </x:c>
    </x:row>
    <x:row r="579" ht="17" customHeight="1">
      <x:c r="A579" s="9" t="str">
        <x:v>2024-07-01</x:v>
      </x:c>
      <x:c r="B579" s="9" t="str">
        <x:v>Forecast</x:v>
      </x:c>
      <x:c r="C579" s="9" t="str">
        <x:v>Sales</x:v>
      </x:c>
      <x:c r="D579" s="107" t="n">
        <x:v>0</x:v>
      </x:c>
      <x:c r="E579" s="107" t="n">
        <x:v>0.1075</x:v>
      </x:c>
      <x:c r="F579" s="107" t="n">
        <x:v>13.425</x:v>
      </x:c>
    </x:row>
    <x:row r="580" ht="17" customHeight="1">
      <x:c r="A580" s="9" t="str">
        <x:v>2024-07-01</x:v>
      </x:c>
      <x:c r="B580" s="9" t="str">
        <x:v>Forecast</x:v>
      </x:c>
      <x:c r="C580" s="9" t="str">
        <x:v>Technology</x:v>
      </x:c>
      <x:c r="D580" s="107" t="n">
        <x:v>1.75714286</x:v>
      </x:c>
      <x:c r="E580" s="107" t="n">
        <x:v>0.42604167000000004</x:v>
      </x:c>
      <x:c r="F580" s="107" t="n">
        <x:v>30.716666670000002</x:v>
      </x:c>
    </x:row>
    <x:row r="581" ht="17" customHeight="1">
      <x:c r="A581" s="9" t="str">
        <x:v>2024-08-01</x:v>
      </x:c>
      <x:c r="B581" s="9" t="str">
        <x:v>Forecast</x:v>
      </x:c>
      <x:c r="C581" s="9" t="str">
        <x:v>Customer Success</x:v>
      </x:c>
      <x:c r="D581" s="107" t="n">
        <x:v>0</x:v>
      </x:c>
      <x:c r="E581" s="107" t="n">
        <x:v>0</x:v>
      </x:c>
      <x:c r="F581" s="107" t="n">
        <x:v>20.2</x:v>
      </x:c>
    </x:row>
    <x:row r="582" ht="17" customHeight="1">
      <x:c r="A582" s="9" t="str">
        <x:v>2024-08-01</x:v>
      </x:c>
      <x:c r="B582" s="9" t="str">
        <x:v>Forecast</x:v>
      </x:c>
      <x:c r="C582" s="9" t="str">
        <x:v>Finance &amp; Corporate</x:v>
      </x:c>
      <x:c r="D582" s="107" t="n">
        <x:v>0</x:v>
      </x:c>
      <x:c r="E582" s="107" t="n">
        <x:v>0</x:v>
      </x:c>
      <x:c r="F582" s="107" t="n">
        <x:v>10.2</x:v>
      </x:c>
    </x:row>
    <x:row r="583" ht="17" customHeight="1">
      <x:c r="A583" s="9" t="str">
        <x:v>2024-08-01</x:v>
      </x:c>
      <x:c r="B583" s="9" t="str">
        <x:v>Forecast</x:v>
      </x:c>
      <x:c r="C583" s="9" t="str">
        <x:v>Operations</x:v>
      </x:c>
      <x:c r="D583" s="107" t="n">
        <x:v>1.9875</x:v>
      </x:c>
      <x:c r="E583" s="107" t="n">
        <x:v>0</x:v>
      </x:c>
      <x:c r="F583" s="107" t="n">
        <x:v>33.5</x:v>
      </x:c>
    </x:row>
    <x:row r="584" ht="17" customHeight="1">
      <x:c r="A584" s="9" t="str">
        <x:v>2024-08-01</x:v>
      </x:c>
      <x:c r="B584" s="9" t="str">
        <x:v>Forecast</x:v>
      </x:c>
      <x:c r="C584" s="9" t="str">
        <x:v>Sales</x:v>
      </x:c>
      <x:c r="D584" s="107" t="n">
        <x:v>0</x:v>
      </x:c>
      <x:c r="E584" s="107" t="n">
        <x:v>0.1075</x:v>
      </x:c>
      <x:c r="F584" s="107" t="n">
        <x:v>13.3175</x:v>
      </x:c>
    </x:row>
    <x:row r="585" ht="17" customHeight="1">
      <x:c r="A585" s="9" t="str">
        <x:v>2024-08-01</x:v>
      </x:c>
      <x:c r="B585" s="9" t="str">
        <x:v>Forecast</x:v>
      </x:c>
      <x:c r="C585" s="9" t="str">
        <x:v>Technology</x:v>
      </x:c>
      <x:c r="D585" s="107" t="n">
        <x:v>0</x:v>
      </x:c>
      <x:c r="E585" s="107" t="n">
        <x:v>0.42604167000000004</x:v>
      </x:c>
      <x:c r="F585" s="107" t="n">
        <x:v>30.290625</x:v>
      </x:c>
    </x:row>
    <x:row r="586" ht="17" customHeight="1">
      <x:c r="A586" s="9" t="str">
        <x:v>2024-09-01</x:v>
      </x:c>
      <x:c r="B586" s="9" t="str">
        <x:v>Forecast</x:v>
      </x:c>
      <x:c r="C586" s="9" t="str">
        <x:v>Customer Success</x:v>
      </x:c>
      <x:c r="D586" s="107" t="n">
        <x:v>0</x:v>
      </x:c>
      <x:c r="E586" s="107" t="n">
        <x:v>0</x:v>
      </x:c>
      <x:c r="F586" s="107" t="n">
        <x:v>20.2</x:v>
      </x:c>
    </x:row>
    <x:row r="587" ht="17" customHeight="1">
      <x:c r="A587" s="9" t="str">
        <x:v>2024-09-01</x:v>
      </x:c>
      <x:c r="B587" s="9" t="str">
        <x:v>Forecast</x:v>
      </x:c>
      <x:c r="C587" s="9" t="str">
        <x:v>Finance &amp; Corporate</x:v>
      </x:c>
      <x:c r="D587" s="107" t="n">
        <x:v>0</x:v>
      </x:c>
      <x:c r="E587" s="107" t="n">
        <x:v>0</x:v>
      </x:c>
      <x:c r="F587" s="107" t="n">
        <x:v>10.2</x:v>
      </x:c>
    </x:row>
    <x:row r="588" ht="17" customHeight="1">
      <x:c r="A588" s="9" t="str">
        <x:v>2024-09-01</x:v>
      </x:c>
      <x:c r="B588" s="9" t="str">
        <x:v>Forecast</x:v>
      </x:c>
      <x:c r="C588" s="9" t="str">
        <x:v>Operations</x:v>
      </x:c>
      <x:c r="D588" s="107" t="n">
        <x:v>1.9875</x:v>
      </x:c>
      <x:c r="E588" s="107" t="n">
        <x:v>0</x:v>
      </x:c>
      <x:c r="F588" s="107" t="n">
        <x:v>33.5</x:v>
      </x:c>
    </x:row>
    <x:row r="589" ht="17" customHeight="1">
      <x:c r="A589" s="9" t="str">
        <x:v>2024-09-01</x:v>
      </x:c>
      <x:c r="B589" s="9" t="str">
        <x:v>Forecast</x:v>
      </x:c>
      <x:c r="C589" s="9" t="str">
        <x:v>Sales</x:v>
      </x:c>
      <x:c r="D589" s="107" t="n">
        <x:v>0</x:v>
      </x:c>
      <x:c r="E589" s="107" t="n">
        <x:v>0.1075</x:v>
      </x:c>
      <x:c r="F589" s="107" t="n">
        <x:v>13.21</x:v>
      </x:c>
    </x:row>
    <x:row r="590" ht="17" customHeight="1">
      <x:c r="A590" s="9" t="str">
        <x:v>2024-09-01</x:v>
      </x:c>
      <x:c r="B590" s="9" t="str">
        <x:v>Forecast</x:v>
      </x:c>
      <x:c r="C590" s="9" t="str">
        <x:v>Technology</x:v>
      </x:c>
      <x:c r="D590" s="107" t="n">
        <x:v>0</x:v>
      </x:c>
      <x:c r="E590" s="107" t="n">
        <x:v>0.42604167000000004</x:v>
      </x:c>
      <x:c r="F590" s="107" t="n">
        <x:v>29.86458333</x:v>
      </x:c>
    </x:row>
    <x:row r="591" ht="17" customHeight="1">
      <x:c r="A591" s="9" t="str">
        <x:v>2024-10-01</x:v>
      </x:c>
      <x:c r="B591" s="9" t="str">
        <x:v>Forecast</x:v>
      </x:c>
      <x:c r="C591" s="9" t="str">
        <x:v>Customer Success</x:v>
      </x:c>
      <x:c r="D591" s="107" t="n">
        <x:v>0</x:v>
      </x:c>
      <x:c r="E591" s="107" t="n">
        <x:v>0</x:v>
      </x:c>
      <x:c r="F591" s="107" t="n">
        <x:v>20.2</x:v>
      </x:c>
    </x:row>
    <x:row r="592" ht="17" customHeight="1">
      <x:c r="A592" s="9" t="str">
        <x:v>2024-10-01</x:v>
      </x:c>
      <x:c r="B592" s="9" t="str">
        <x:v>Forecast</x:v>
      </x:c>
      <x:c r="C592" s="9" t="str">
        <x:v>Finance &amp; Corporate</x:v>
      </x:c>
      <x:c r="D592" s="107" t="n">
        <x:v>0</x:v>
      </x:c>
      <x:c r="E592" s="107" t="n">
        <x:v>0</x:v>
      </x:c>
      <x:c r="F592" s="107" t="n">
        <x:v>10.2</x:v>
      </x:c>
    </x:row>
    <x:row r="593" ht="17" customHeight="1">
      <x:c r="A593" s="9" t="str">
        <x:v>2024-10-01</x:v>
      </x:c>
      <x:c r="B593" s="9" t="str">
        <x:v>Forecast</x:v>
      </x:c>
      <x:c r="C593" s="9" t="str">
        <x:v>Operations</x:v>
      </x:c>
      <x:c r="D593" s="107" t="n">
        <x:v>1.9875</x:v>
      </x:c>
      <x:c r="E593" s="107" t="n">
        <x:v>0</x:v>
      </x:c>
      <x:c r="F593" s="107" t="n">
        <x:v>33.5</x:v>
      </x:c>
    </x:row>
    <x:row r="594" ht="17" customHeight="1">
      <x:c r="A594" s="9" t="str">
        <x:v>2024-10-01</x:v>
      </x:c>
      <x:c r="B594" s="9" t="str">
        <x:v>Forecast</x:v>
      </x:c>
      <x:c r="C594" s="9" t="str">
        <x:v>Sales</x:v>
      </x:c>
      <x:c r="D594" s="107" t="n">
        <x:v>0</x:v>
      </x:c>
      <x:c r="E594" s="107" t="n">
        <x:v>0.1075</x:v>
      </x:c>
      <x:c r="F594" s="107" t="n">
        <x:v>13.1025</x:v>
      </x:c>
    </x:row>
    <x:row r="595" ht="17" customHeight="1">
      <x:c r="A595" s="9" t="str">
        <x:v>2024-10-01</x:v>
      </x:c>
      <x:c r="B595" s="9" t="str">
        <x:v>Forecast</x:v>
      </x:c>
      <x:c r="C595" s="9" t="str">
        <x:v>Technology</x:v>
      </x:c>
      <x:c r="D595" s="107" t="n">
        <x:v>0</x:v>
      </x:c>
      <x:c r="E595" s="107" t="n">
        <x:v>0.42604167000000004</x:v>
      </x:c>
      <x:c r="F595" s="107" t="n">
        <x:v>29.438541670000003</x:v>
      </x:c>
    </x:row>
    <x:row r="596" ht="17" customHeight="1">
      <x:c r="A596" s="9" t="str">
        <x:v>2024-11-01</x:v>
      </x:c>
      <x:c r="B596" s="9" t="str">
        <x:v>Forecast</x:v>
      </x:c>
      <x:c r="C596" s="9" t="str">
        <x:v>Customer Success</x:v>
      </x:c>
      <x:c r="D596" s="107" t="n">
        <x:v>0</x:v>
      </x:c>
      <x:c r="E596" s="107" t="n">
        <x:v>0</x:v>
      </x:c>
      <x:c r="F596" s="107" t="n">
        <x:v>20.2</x:v>
      </x:c>
    </x:row>
    <x:row r="597" ht="17" customHeight="1">
      <x:c r="A597" s="9" t="str">
        <x:v>2024-11-01</x:v>
      </x:c>
      <x:c r="B597" s="9" t="str">
        <x:v>Forecast</x:v>
      </x:c>
      <x:c r="C597" s="9" t="str">
        <x:v>Finance &amp; Corporate</x:v>
      </x:c>
      <x:c r="D597" s="107" t="n">
        <x:v>0</x:v>
      </x:c>
      <x:c r="E597" s="107" t="n">
        <x:v>0</x:v>
      </x:c>
      <x:c r="F597" s="107" t="n">
        <x:v>10.2</x:v>
      </x:c>
    </x:row>
    <x:row r="598" ht="17" customHeight="1">
      <x:c r="A598" s="9" t="str">
        <x:v>2024-11-01</x:v>
      </x:c>
      <x:c r="B598" s="9" t="str">
        <x:v>Forecast</x:v>
      </x:c>
      <x:c r="C598" s="9" t="str">
        <x:v>Operations</x:v>
      </x:c>
      <x:c r="D598" s="107" t="n">
        <x:v>1.9875</x:v>
      </x:c>
      <x:c r="E598" s="107" t="n">
        <x:v>0.22083333</x:v>
      </x:c>
      <x:c r="F598" s="107" t="n">
        <x:v>33.27916667</x:v>
      </x:c>
    </x:row>
    <x:row r="599" ht="17" customHeight="1">
      <x:c r="A599" s="9" t="str">
        <x:v>2024-11-01</x:v>
      </x:c>
      <x:c r="B599" s="9" t="str">
        <x:v>Forecast</x:v>
      </x:c>
      <x:c r="C599" s="9" t="str">
        <x:v>Sales</x:v>
      </x:c>
      <x:c r="D599" s="107" t="n">
        <x:v>0</x:v>
      </x:c>
      <x:c r="E599" s="107" t="n">
        <x:v>0.1075</x:v>
      </x:c>
      <x:c r="F599" s="107" t="n">
        <x:v>12.995</x:v>
      </x:c>
    </x:row>
    <x:row r="600" ht="17" customHeight="1">
      <x:c r="A600" s="9" t="str">
        <x:v>2024-11-01</x:v>
      </x:c>
      <x:c r="B600" s="9" t="str">
        <x:v>Forecast</x:v>
      </x:c>
      <x:c r="C600" s="9" t="str">
        <x:v>Technology</x:v>
      </x:c>
      <x:c r="D600" s="107" t="n">
        <x:v>0</x:v>
      </x:c>
      <x:c r="E600" s="107" t="n">
        <x:v>0.42604167000000004</x:v>
      </x:c>
      <x:c r="F600" s="107" t="n">
        <x:v>29.0125</x:v>
      </x:c>
    </x:row>
    <x:row r="601" ht="17" customHeight="1">
      <x:c r="A601" s="9" t="str">
        <x:v>2024-12-01</x:v>
      </x:c>
      <x:c r="B601" s="9" t="str">
        <x:v>Forecast</x:v>
      </x:c>
      <x:c r="C601" s="9" t="str">
        <x:v>Customer Success</x:v>
      </x:c>
      <x:c r="D601" s="107" t="n">
        <x:v>0</x:v>
      </x:c>
      <x:c r="E601" s="107" t="n">
        <x:v>0</x:v>
      </x:c>
      <x:c r="F601" s="107" t="n">
        <x:v>20.2</x:v>
      </x:c>
    </x:row>
    <x:row r="602" ht="17" customHeight="1">
      <x:c r="A602" s="9" t="str">
        <x:v>2024-12-01</x:v>
      </x:c>
      <x:c r="B602" s="9" t="str">
        <x:v>Forecast</x:v>
      </x:c>
      <x:c r="C602" s="9" t="str">
        <x:v>Finance &amp; Corporate</x:v>
      </x:c>
      <x:c r="D602" s="107" t="n">
        <x:v>0</x:v>
      </x:c>
      <x:c r="E602" s="107" t="n">
        <x:v>0</x:v>
      </x:c>
      <x:c r="F602" s="107" t="n">
        <x:v>10.2</x:v>
      </x:c>
    </x:row>
    <x:row r="603" ht="17" customHeight="1">
      <x:c r="A603" s="9" t="str">
        <x:v>2024-12-01</x:v>
      </x:c>
      <x:c r="B603" s="9" t="str">
        <x:v>Forecast</x:v>
      </x:c>
      <x:c r="C603" s="9" t="str">
        <x:v>Operations</x:v>
      </x:c>
      <x:c r="D603" s="107" t="n">
        <x:v>0</x:v>
      </x:c>
      <x:c r="E603" s="107" t="n">
        <x:v>0.22083333</x:v>
      </x:c>
      <x:c r="F603" s="107" t="n">
        <x:v>33.058333329999996</x:v>
      </x:c>
    </x:row>
    <x:row r="604" ht="17" customHeight="1">
      <x:c r="A604" s="9" t="str">
        <x:v>2024-12-01</x:v>
      </x:c>
      <x:c r="B604" s="9" t="str">
        <x:v>Forecast</x:v>
      </x:c>
      <x:c r="C604" s="9" t="str">
        <x:v>Sales</x:v>
      </x:c>
      <x:c r="D604" s="107" t="n">
        <x:v>0</x:v>
      </x:c>
      <x:c r="E604" s="107" t="n">
        <x:v>0.1075</x:v>
      </x:c>
      <x:c r="F604" s="107" t="n">
        <x:v>12.8875</x:v>
      </x:c>
    </x:row>
    <x:row r="605" ht="17" customHeight="1">
      <x:c r="A605" s="9" t="str">
        <x:v>2024-12-01</x:v>
      </x:c>
      <x:c r="B605" s="9" t="str">
        <x:v>Forecast</x:v>
      </x:c>
      <x:c r="C605" s="9" t="str">
        <x:v>Technology</x:v>
      </x:c>
      <x:c r="D605" s="107" t="n">
        <x:v>0</x:v>
      </x:c>
      <x:c r="E605" s="107" t="n">
        <x:v>0.42604167000000004</x:v>
      </x:c>
      <x:c r="F605" s="107" t="n">
        <x:v>28.58645833</x:v>
      </x:c>
    </x:row>
    <x:row r="606" ht="17" customHeight="1">
      <x:c r="A606" s="9" t="str">
        <x:v>2025-01-01</x:v>
      </x:c>
      <x:c r="B606" s="9" t="str">
        <x:v>Forecast</x:v>
      </x:c>
      <x:c r="C606" s="9" t="str">
        <x:v>Customer Success</x:v>
      </x:c>
      <x:c r="D606" s="107" t="n">
        <x:v>1.5583333300000002</x:v>
      </x:c>
      <x:c r="E606" s="107" t="n">
        <x:v>0</x:v>
      </x:c>
      <x:c r="F606" s="107" t="n">
        <x:v>20.2</x:v>
      </x:c>
    </x:row>
    <x:row r="607" ht="17" customHeight="1">
      <x:c r="A607" s="9" t="str">
        <x:v>2025-01-01</x:v>
      </x:c>
      <x:c r="B607" s="9" t="str">
        <x:v>Forecast</x:v>
      </x:c>
      <x:c r="C607" s="9" t="str">
        <x:v>Finance &amp; Corporate</x:v>
      </x:c>
      <x:c r="D607" s="107" t="n">
        <x:v>0</x:v>
      </x:c>
      <x:c r="E607" s="107" t="n">
        <x:v>0</x:v>
      </x:c>
      <x:c r="F607" s="107" t="n">
        <x:v>10.2</x:v>
      </x:c>
    </x:row>
    <x:row r="608" ht="17" customHeight="1">
      <x:c r="A608" s="9" t="str">
        <x:v>2025-01-01</x:v>
      </x:c>
      <x:c r="B608" s="9" t="str">
        <x:v>Forecast</x:v>
      </x:c>
      <x:c r="C608" s="9" t="str">
        <x:v>Operations</x:v>
      </x:c>
      <x:c r="D608" s="107" t="n">
        <x:v>0</x:v>
      </x:c>
      <x:c r="E608" s="107" t="n">
        <x:v>0.22083333</x:v>
      </x:c>
      <x:c r="F608" s="107" t="n">
        <x:v>32.8375</x:v>
      </x:c>
    </x:row>
    <x:row r="609" ht="17" customHeight="1">
      <x:c r="A609" s="9" t="str">
        <x:v>2025-01-01</x:v>
      </x:c>
      <x:c r="B609" s="9" t="str">
        <x:v>Forecast</x:v>
      </x:c>
      <x:c r="C609" s="9" t="str">
        <x:v>Sales</x:v>
      </x:c>
      <x:c r="D609" s="107" t="n">
        <x:v>0</x:v>
      </x:c>
      <x:c r="E609" s="107" t="n">
        <x:v>0.1075</x:v>
      </x:c>
      <x:c r="F609" s="107" t="n">
        <x:v>12.78</x:v>
      </x:c>
    </x:row>
    <x:row r="610" ht="17" customHeight="1">
      <x:c r="A610" s="9" t="str">
        <x:v>2025-01-01</x:v>
      </x:c>
      <x:c r="B610" s="9" t="str">
        <x:v>Forecast</x:v>
      </x:c>
      <x:c r="C610" s="9" t="str">
        <x:v>Technology</x:v>
      </x:c>
      <x:c r="D610" s="107" t="n">
        <x:v>0</x:v>
      </x:c>
      <x:c r="E610" s="107" t="n">
        <x:v>0.42604167000000004</x:v>
      </x:c>
      <x:c r="F610" s="107" t="n">
        <x:v>28.16041667</x:v>
      </x:c>
    </x:row>
    <x:row r="611" ht="17" customHeight="1">
      <x:c r="A611" s="9" t="str">
        <x:v>2025-02-01</x:v>
      </x:c>
      <x:c r="B611" s="9" t="str">
        <x:v>Forecast</x:v>
      </x:c>
      <x:c r="C611" s="9" t="str">
        <x:v>Customer Success</x:v>
      </x:c>
      <x:c r="D611" s="107" t="n">
        <x:v>1.5583333300000002</x:v>
      </x:c>
      <x:c r="E611" s="107" t="n">
        <x:v>0</x:v>
      </x:c>
      <x:c r="F611" s="107" t="n">
        <x:v>20.2</x:v>
      </x:c>
    </x:row>
    <x:row r="612" ht="17" customHeight="1">
      <x:c r="A612" s="9" t="str">
        <x:v>2025-02-01</x:v>
      </x:c>
      <x:c r="B612" s="9" t="str">
        <x:v>Forecast</x:v>
      </x:c>
      <x:c r="C612" s="9" t="str">
        <x:v>Finance &amp; Corporate</x:v>
      </x:c>
      <x:c r="D612" s="107" t="n">
        <x:v>0</x:v>
      </x:c>
      <x:c r="E612" s="107" t="n">
        <x:v>0</x:v>
      </x:c>
      <x:c r="F612" s="107" t="n">
        <x:v>10.2</x:v>
      </x:c>
    </x:row>
    <x:row r="613" ht="17" customHeight="1">
      <x:c r="A613" s="9" t="str">
        <x:v>2025-02-01</x:v>
      </x:c>
      <x:c r="B613" s="9" t="str">
        <x:v>Forecast</x:v>
      </x:c>
      <x:c r="C613" s="9" t="str">
        <x:v>Operations</x:v>
      </x:c>
      <x:c r="D613" s="107" t="n">
        <x:v>0</x:v>
      </x:c>
      <x:c r="E613" s="107" t="n">
        <x:v>0.22083333</x:v>
      </x:c>
      <x:c r="F613" s="107" t="n">
        <x:v>32.61666667</x:v>
      </x:c>
    </x:row>
    <x:row r="614" ht="17" customHeight="1">
      <x:c r="A614" s="9" t="str">
        <x:v>2025-02-01</x:v>
      </x:c>
      <x:c r="B614" s="9" t="str">
        <x:v>Forecast</x:v>
      </x:c>
      <x:c r="C614" s="9" t="str">
        <x:v>Sales</x:v>
      </x:c>
      <x:c r="D614" s="107" t="n">
        <x:v>0</x:v>
      </x:c>
      <x:c r="E614" s="107" t="n">
        <x:v>0.1075</x:v>
      </x:c>
      <x:c r="F614" s="107" t="n">
        <x:v>12.6725</x:v>
      </x:c>
    </x:row>
    <x:row r="615" ht="17" customHeight="1">
      <x:c r="A615" s="9" t="str">
        <x:v>2025-02-01</x:v>
      </x:c>
      <x:c r="B615" s="9" t="str">
        <x:v>Forecast</x:v>
      </x:c>
      <x:c r="C615" s="9" t="str">
        <x:v>Technology</x:v>
      </x:c>
      <x:c r="D615" s="107" t="n">
        <x:v>0</x:v>
      </x:c>
      <x:c r="E615" s="107" t="n">
        <x:v>0.42604167000000004</x:v>
      </x:c>
      <x:c r="F615" s="107" t="n">
        <x:v>27.734375</x:v>
      </x:c>
    </x:row>
    <x:row r="616" ht="17" customHeight="1">
      <x:c r="A616" s="9" t="str">
        <x:v>2025-03-01</x:v>
      </x:c>
      <x:c r="B616" s="9" t="str">
        <x:v>Forecast</x:v>
      </x:c>
      <x:c r="C616" s="9" t="str">
        <x:v>Customer Success</x:v>
      </x:c>
      <x:c r="D616" s="107" t="n">
        <x:v>1.5583333300000002</x:v>
      </x:c>
      <x:c r="E616" s="107" t="n">
        <x:v>0</x:v>
      </x:c>
      <x:c r="F616" s="107" t="n">
        <x:v>20.2</x:v>
      </x:c>
    </x:row>
    <x:row r="617" ht="17" customHeight="1">
      <x:c r="A617" s="9" t="str">
        <x:v>2025-03-01</x:v>
      </x:c>
      <x:c r="B617" s="9" t="str">
        <x:v>Forecast</x:v>
      </x:c>
      <x:c r="C617" s="9" t="str">
        <x:v>Finance &amp; Corporate</x:v>
      </x:c>
      <x:c r="D617" s="107" t="n">
        <x:v>0</x:v>
      </x:c>
      <x:c r="E617" s="107" t="n">
        <x:v>0</x:v>
      </x:c>
      <x:c r="F617" s="107" t="n">
        <x:v>10.2</x:v>
      </x:c>
    </x:row>
    <x:row r="618" ht="17" customHeight="1">
      <x:c r="A618" s="9" t="str">
        <x:v>2025-03-01</x:v>
      </x:c>
      <x:c r="B618" s="9" t="str">
        <x:v>Forecast</x:v>
      </x:c>
      <x:c r="C618" s="9" t="str">
        <x:v>Operations</x:v>
      </x:c>
      <x:c r="D618" s="107" t="n">
        <x:v>0</x:v>
      </x:c>
      <x:c r="E618" s="107" t="n">
        <x:v>0.22083333</x:v>
      </x:c>
      <x:c r="F618" s="107" t="n">
        <x:v>32.395833329999995</x:v>
      </x:c>
    </x:row>
    <x:row r="619" ht="17" customHeight="1">
      <x:c r="A619" s="9" t="str">
        <x:v>2025-03-01</x:v>
      </x:c>
      <x:c r="B619" s="9" t="str">
        <x:v>Forecast</x:v>
      </x:c>
      <x:c r="C619" s="9" t="str">
        <x:v>Sales</x:v>
      </x:c>
      <x:c r="D619" s="107" t="n">
        <x:v>1.15</x:v>
      </x:c>
      <x:c r="E619" s="107" t="n">
        <x:v>0.1075</x:v>
      </x:c>
      <x:c r="F619" s="107" t="n">
        <x:v>12.565</x:v>
      </x:c>
    </x:row>
    <x:row r="620" ht="17" customHeight="1">
      <x:c r="A620" s="9" t="str">
        <x:v>2025-03-01</x:v>
      </x:c>
      <x:c r="B620" s="9" t="str">
        <x:v>Forecast</x:v>
      </x:c>
      <x:c r="C620" s="9" t="str">
        <x:v>Technology</x:v>
      </x:c>
      <x:c r="D620" s="107" t="n">
        <x:v>0</x:v>
      </x:c>
      <x:c r="E620" s="107" t="n">
        <x:v>0.42604167000000004</x:v>
      </x:c>
      <x:c r="F620" s="107" t="n">
        <x:v>27.30833333</x:v>
      </x:c>
    </x:row>
    <x:row r="621" ht="17" customHeight="1">
      <x:c r="A621" s="9" t="str">
        <x:v>2025-04-01</x:v>
      </x:c>
      <x:c r="B621" s="9" t="str">
        <x:v>Forecast</x:v>
      </x:c>
      <x:c r="C621" s="9" t="str">
        <x:v>Customer Success</x:v>
      </x:c>
      <x:c r="D621" s="107" t="n">
        <x:v>1.5583333300000002</x:v>
      </x:c>
      <x:c r="E621" s="107" t="n">
        <x:v>0</x:v>
      </x:c>
      <x:c r="F621" s="107" t="n">
        <x:v>20.2</x:v>
      </x:c>
    </x:row>
    <x:row r="622" ht="17" customHeight="1">
      <x:c r="A622" s="9" t="str">
        <x:v>2025-04-01</x:v>
      </x:c>
      <x:c r="B622" s="9" t="str">
        <x:v>Forecast</x:v>
      </x:c>
      <x:c r="C622" s="9" t="str">
        <x:v>Finance &amp; Corporate</x:v>
      </x:c>
      <x:c r="D622" s="107" t="n">
        <x:v>0</x:v>
      </x:c>
      <x:c r="E622" s="107" t="n">
        <x:v>0</x:v>
      </x:c>
      <x:c r="F622" s="107" t="n">
        <x:v>10.2</x:v>
      </x:c>
    </x:row>
    <x:row r="623" ht="17" customHeight="1">
      <x:c r="A623" s="9" t="str">
        <x:v>2025-04-01</x:v>
      </x:c>
      <x:c r="B623" s="9" t="str">
        <x:v>Forecast</x:v>
      </x:c>
      <x:c r="C623" s="9" t="str">
        <x:v>Operations</x:v>
      </x:c>
      <x:c r="D623" s="107" t="n">
        <x:v>0</x:v>
      </x:c>
      <x:c r="E623" s="107" t="n">
        <x:v>0.22083333</x:v>
      </x:c>
      <x:c r="F623" s="107" t="n">
        <x:v>32.175</x:v>
      </x:c>
    </x:row>
    <x:row r="624" ht="17" customHeight="1">
      <x:c r="A624" s="9" t="str">
        <x:v>2025-04-01</x:v>
      </x:c>
      <x:c r="B624" s="9" t="str">
        <x:v>Forecast</x:v>
      </x:c>
      <x:c r="C624" s="9" t="str">
        <x:v>Sales</x:v>
      </x:c>
      <x:c r="D624" s="107" t="n">
        <x:v>1.15</x:v>
      </x:c>
      <x:c r="E624" s="107" t="n">
        <x:v>0.1075</x:v>
      </x:c>
      <x:c r="F624" s="107" t="n">
        <x:v>12.4575</x:v>
      </x:c>
    </x:row>
    <x:row r="625" ht="17" customHeight="1">
      <x:c r="A625" s="9" t="str">
        <x:v>2025-04-01</x:v>
      </x:c>
      <x:c r="B625" s="9" t="str">
        <x:v>Forecast</x:v>
      </x:c>
      <x:c r="C625" s="9" t="str">
        <x:v>Technology</x:v>
      </x:c>
      <x:c r="D625" s="107" t="n">
        <x:v>0</x:v>
      </x:c>
      <x:c r="E625" s="107" t="n">
        <x:v>0.42604167000000004</x:v>
      </x:c>
      <x:c r="F625" s="107" t="n">
        <x:v>26.88229167</x:v>
      </x:c>
    </x:row>
    <x:row r="626" ht="17" customHeight="1">
      <x:c r="A626" s="9" t="str">
        <x:v>2025-05-01</x:v>
      </x:c>
      <x:c r="B626" s="9" t="str">
        <x:v>Forecast</x:v>
      </x:c>
      <x:c r="C626" s="9" t="str">
        <x:v>Customer Success</x:v>
      </x:c>
      <x:c r="D626" s="107" t="n">
        <x:v>1.5583333300000002</x:v>
      </x:c>
      <x:c r="E626" s="107" t="n">
        <x:v>0</x:v>
      </x:c>
      <x:c r="F626" s="107" t="n">
        <x:v>20.2</x:v>
      </x:c>
    </x:row>
    <x:row r="627" ht="17" customHeight="1">
      <x:c r="A627" s="9" t="str">
        <x:v>2025-05-01</x:v>
      </x:c>
      <x:c r="B627" s="9" t="str">
        <x:v>Forecast</x:v>
      </x:c>
      <x:c r="C627" s="9" t="str">
        <x:v>Finance &amp; Corporate</x:v>
      </x:c>
      <x:c r="D627" s="107" t="n">
        <x:v>0</x:v>
      </x:c>
      <x:c r="E627" s="107" t="n">
        <x:v>0</x:v>
      </x:c>
      <x:c r="F627" s="107" t="n">
        <x:v>10.2</x:v>
      </x:c>
    </x:row>
    <x:row r="628" ht="17" customHeight="1">
      <x:c r="A628" s="9" t="str">
        <x:v>2025-05-01</x:v>
      </x:c>
      <x:c r="B628" s="9" t="str">
        <x:v>Forecast</x:v>
      </x:c>
      <x:c r="C628" s="9" t="str">
        <x:v>Operations</x:v>
      </x:c>
      <x:c r="D628" s="107" t="n">
        <x:v>0</x:v>
      </x:c>
      <x:c r="E628" s="107" t="n">
        <x:v>0.22083333</x:v>
      </x:c>
      <x:c r="F628" s="107" t="n">
        <x:v>31.954166670000003</x:v>
      </x:c>
    </x:row>
    <x:row r="629" ht="17" customHeight="1">
      <x:c r="A629" s="9" t="str">
        <x:v>2025-05-01</x:v>
      </x:c>
      <x:c r="B629" s="9" t="str">
        <x:v>Forecast</x:v>
      </x:c>
      <x:c r="C629" s="9" t="str">
        <x:v>Sales</x:v>
      </x:c>
      <x:c r="D629" s="107" t="n">
        <x:v>1.15</x:v>
      </x:c>
      <x:c r="E629" s="107" t="n">
        <x:v>0.1075</x:v>
      </x:c>
      <x:c r="F629" s="107" t="n">
        <x:v>12.35</x:v>
      </x:c>
    </x:row>
    <x:row r="630" ht="17" customHeight="1">
      <x:c r="A630" s="9" t="str">
        <x:v>2025-05-01</x:v>
      </x:c>
      <x:c r="B630" s="9" t="str">
        <x:v>Forecast</x:v>
      </x:c>
      <x:c r="C630" s="9" t="str">
        <x:v>Technology</x:v>
      </x:c>
      <x:c r="D630" s="107" t="n">
        <x:v>0</x:v>
      </x:c>
      <x:c r="E630" s="107" t="n">
        <x:v>0.42604167000000004</x:v>
      </x:c>
      <x:c r="F630" s="107" t="n">
        <x:v>26.45625</x:v>
      </x:c>
    </x:row>
    <x:row r="631" ht="17" customHeight="1">
      <x:c r="A631" s="9" t="str">
        <x:v>2025-06-01</x:v>
      </x:c>
      <x:c r="B631" s="9" t="str">
        <x:v>Forecast</x:v>
      </x:c>
      <x:c r="C631" s="9" t="str">
        <x:v>Customer Success</x:v>
      </x:c>
      <x:c r="D631" s="107" t="n">
        <x:v>1.5583333300000002</x:v>
      </x:c>
      <x:c r="E631" s="107" t="n">
        <x:v>0.19479167</x:v>
      </x:c>
      <x:c r="F631" s="107" t="n">
        <x:v>20.00520833</x:v>
      </x:c>
    </x:row>
    <x:row r="632" ht="17" customHeight="1">
      <x:c r="A632" s="9" t="str">
        <x:v>2025-06-01</x:v>
      </x:c>
      <x:c r="B632" s="9" t="str">
        <x:v>Forecast</x:v>
      </x:c>
      <x:c r="C632" s="9" t="str">
        <x:v>Finance &amp; Corporate</x:v>
      </x:c>
      <x:c r="D632" s="107" t="n">
        <x:v>0</x:v>
      </x:c>
      <x:c r="E632" s="107" t="n">
        <x:v>0</x:v>
      </x:c>
      <x:c r="F632" s="107" t="n">
        <x:v>10.2</x:v>
      </x:c>
    </x:row>
    <x:row r="633" ht="17" customHeight="1">
      <x:c r="A633" s="9" t="str">
        <x:v>2025-06-01</x:v>
      </x:c>
      <x:c r="B633" s="9" t="str">
        <x:v>Forecast</x:v>
      </x:c>
      <x:c r="C633" s="9" t="str">
        <x:v>Operations</x:v>
      </x:c>
      <x:c r="D633" s="107" t="n">
        <x:v>0</x:v>
      </x:c>
      <x:c r="E633" s="107" t="n">
        <x:v>0.22083333</x:v>
      </x:c>
      <x:c r="F633" s="107" t="n">
        <x:v>31.733333329999997</x:v>
      </x:c>
    </x:row>
    <x:row r="634" ht="17" customHeight="1">
      <x:c r="A634" s="9" t="str">
        <x:v>2025-06-01</x:v>
      </x:c>
      <x:c r="B634" s="9" t="str">
        <x:v>Forecast</x:v>
      </x:c>
      <x:c r="C634" s="9" t="str">
        <x:v>Sales</x:v>
      </x:c>
      <x:c r="D634" s="107" t="n">
        <x:v>1.15</x:v>
      </x:c>
      <x:c r="E634" s="107" t="n">
        <x:v>0.1075</x:v>
      </x:c>
      <x:c r="F634" s="107" t="n">
        <x:v>12.2425</x:v>
      </x:c>
    </x:row>
    <x:row r="635" ht="17" customHeight="1">
      <x:c r="A635" s="9" t="str">
        <x:v>2025-06-01</x:v>
      </x:c>
      <x:c r="B635" s="9" t="str">
        <x:v>Forecast</x:v>
      </x:c>
      <x:c r="C635" s="9" t="str">
        <x:v>Technology</x:v>
      </x:c>
      <x:c r="D635" s="107" t="n">
        <x:v>0</x:v>
      </x:c>
      <x:c r="E635" s="107" t="n">
        <x:v>0.42604167000000004</x:v>
      </x:c>
      <x:c r="F635" s="107" t="n">
        <x:v>26.030208329999997</x:v>
      </x:c>
    </x:row>
    <x:row r="636" ht="17" customHeight="1">
      <x:c r="A636" s="9" t="str">
        <x:v>2025-07-01</x:v>
      </x:c>
      <x:c r="B636" s="9" t="str">
        <x:v>Forecast</x:v>
      </x:c>
      <x:c r="C636" s="9" t="str">
        <x:v>Customer Success</x:v>
      </x:c>
      <x:c r="D636" s="107" t="n">
        <x:v>0</x:v>
      </x:c>
      <x:c r="E636" s="107" t="n">
        <x:v>0.19479167</x:v>
      </x:c>
      <x:c r="F636" s="107" t="n">
        <x:v>19.810416670000002</x:v>
      </x:c>
    </x:row>
    <x:row r="637" ht="17" customHeight="1">
      <x:c r="A637" s="9" t="str">
        <x:v>2025-07-01</x:v>
      </x:c>
      <x:c r="B637" s="9" t="str">
        <x:v>Forecast</x:v>
      </x:c>
      <x:c r="C637" s="9" t="str">
        <x:v>Finance &amp; Corporate</x:v>
      </x:c>
      <x:c r="D637" s="107" t="n">
        <x:v>1.1333333300000001</x:v>
      </x:c>
      <x:c r="E637" s="107" t="n">
        <x:v>0</x:v>
      </x:c>
      <x:c r="F637" s="107" t="n">
        <x:v>10.2</x:v>
      </x:c>
    </x:row>
    <x:row r="638" ht="17" customHeight="1">
      <x:c r="A638" s="9" t="str">
        <x:v>2025-07-01</x:v>
      </x:c>
      <x:c r="B638" s="9" t="str">
        <x:v>Forecast</x:v>
      </x:c>
      <x:c r="C638" s="9" t="str">
        <x:v>Operations</x:v>
      </x:c>
      <x:c r="D638" s="107" t="n">
        <x:v>0</x:v>
      </x:c>
      <x:c r="E638" s="107" t="n">
        <x:v>0.22083333</x:v>
      </x:c>
      <x:c r="F638" s="107" t="n">
        <x:v>31.5125</x:v>
      </x:c>
    </x:row>
    <x:row r="639" ht="17" customHeight="1">
      <x:c r="A639" s="9" t="str">
        <x:v>2025-07-01</x:v>
      </x:c>
      <x:c r="B639" s="9" t="str">
        <x:v>Forecast</x:v>
      </x:c>
      <x:c r="C639" s="9" t="str">
        <x:v>Sales</x:v>
      </x:c>
      <x:c r="D639" s="107" t="n">
        <x:v>1.15</x:v>
      </x:c>
      <x:c r="E639" s="107" t="n">
        <x:v>0.1075</x:v>
      </x:c>
      <x:c r="F639" s="107" t="n">
        <x:v>12.135</x:v>
      </x:c>
    </x:row>
    <x:row r="640" ht="17" customHeight="1">
      <x:c r="A640" s="9" t="str">
        <x:v>2025-07-01</x:v>
      </x:c>
      <x:c r="B640" s="9" t="str">
        <x:v>Forecast</x:v>
      </x:c>
      <x:c r="C640" s="9" t="str">
        <x:v>Technology</x:v>
      </x:c>
      <x:c r="D640" s="107" t="n">
        <x:v>0</x:v>
      </x:c>
      <x:c r="E640" s="107" t="n">
        <x:v>0.42604167000000004</x:v>
      </x:c>
      <x:c r="F640" s="107" t="n">
        <x:v>25.60416667</x:v>
      </x:c>
    </x:row>
    <x:row r="641" ht="17" customHeight="1">
      <x:c r="A641" s="9" t="str">
        <x:v>2025-08-01</x:v>
      </x:c>
      <x:c r="B641" s="9" t="str">
        <x:v>Forecast</x:v>
      </x:c>
      <x:c r="C641" s="9" t="str">
        <x:v>Customer Success</x:v>
      </x:c>
      <x:c r="D641" s="107" t="n">
        <x:v>0</x:v>
      </x:c>
      <x:c r="E641" s="107" t="n">
        <x:v>0.19479167</x:v>
      </x:c>
      <x:c r="F641" s="107" t="n">
        <x:v>19.615625</x:v>
      </x:c>
    </x:row>
    <x:row r="642" ht="17" customHeight="1">
      <x:c r="A642" s="9" t="str">
        <x:v>2025-08-01</x:v>
      </x:c>
      <x:c r="B642" s="9" t="str">
        <x:v>Forecast</x:v>
      </x:c>
      <x:c r="C642" s="9" t="str">
        <x:v>Finance &amp; Corporate</x:v>
      </x:c>
      <x:c r="D642" s="107" t="n">
        <x:v>1.1333333300000001</x:v>
      </x:c>
      <x:c r="E642" s="107" t="n">
        <x:v>0</x:v>
      </x:c>
      <x:c r="F642" s="107" t="n">
        <x:v>10.2</x:v>
      </x:c>
    </x:row>
    <x:row r="643" ht="17" customHeight="1">
      <x:c r="A643" s="9" t="str">
        <x:v>2025-08-01</x:v>
      </x:c>
      <x:c r="B643" s="9" t="str">
        <x:v>Forecast</x:v>
      </x:c>
      <x:c r="C643" s="9" t="str">
        <x:v>Operations</x:v>
      </x:c>
      <x:c r="D643" s="107" t="n">
        <x:v>0</x:v>
      </x:c>
      <x:c r="E643" s="107" t="n">
        <x:v>0.22083333</x:v>
      </x:c>
      <x:c r="F643" s="107" t="n">
        <x:v>31.29166667</x:v>
      </x:c>
    </x:row>
    <x:row r="644" ht="17" customHeight="1">
      <x:c r="A644" s="9" t="str">
        <x:v>2025-08-01</x:v>
      </x:c>
      <x:c r="B644" s="9" t="str">
        <x:v>Forecast</x:v>
      </x:c>
      <x:c r="C644" s="9" t="str">
        <x:v>Sales</x:v>
      </x:c>
      <x:c r="D644" s="107" t="n">
        <x:v>1.15</x:v>
      </x:c>
      <x:c r="E644" s="107" t="n">
        <x:v>0.1075</x:v>
      </x:c>
      <x:c r="F644" s="107" t="n">
        <x:v>12.0275</x:v>
      </x:c>
    </x:row>
    <x:row r="645" ht="17" customHeight="1">
      <x:c r="A645" s="9" t="str">
        <x:v>2025-08-01</x:v>
      </x:c>
      <x:c r="B645" s="9" t="str">
        <x:v>Forecast</x:v>
      </x:c>
      <x:c r="C645" s="9" t="str">
        <x:v>Technology</x:v>
      </x:c>
      <x:c r="D645" s="107" t="n">
        <x:v>0</x:v>
      </x:c>
      <x:c r="E645" s="107" t="n">
        <x:v>0.42604167000000004</x:v>
      </x:c>
      <x:c r="F645" s="107" t="n">
        <x:v>25.178125</x:v>
      </x:c>
    </x:row>
    <x:row r="646" ht="17" customHeight="1">
      <x:c r="A646" s="9" t="str">
        <x:v>2025-09-01</x:v>
      </x:c>
      <x:c r="B646" s="9" t="str">
        <x:v>Forecast</x:v>
      </x:c>
      <x:c r="C646" s="9" t="str">
        <x:v>Customer Success</x:v>
      </x:c>
      <x:c r="D646" s="107" t="n">
        <x:v>0</x:v>
      </x:c>
      <x:c r="E646" s="107" t="n">
        <x:v>0.19479167</x:v>
      </x:c>
      <x:c r="F646" s="107" t="n">
        <x:v>19.420833329999997</x:v>
      </x:c>
    </x:row>
    <x:row r="647" ht="17" customHeight="1">
      <x:c r="A647" s="9" t="str">
        <x:v>2025-09-01</x:v>
      </x:c>
      <x:c r="B647" s="9" t="str">
        <x:v>Forecast</x:v>
      </x:c>
      <x:c r="C647" s="9" t="str">
        <x:v>Finance &amp; Corporate</x:v>
      </x:c>
      <x:c r="D647" s="107" t="n">
        <x:v>1.1333333300000001</x:v>
      </x:c>
      <x:c r="E647" s="107" t="n">
        <x:v>0</x:v>
      </x:c>
      <x:c r="F647" s="107" t="n">
        <x:v>10.2</x:v>
      </x:c>
    </x:row>
    <x:row r="648" ht="17" customHeight="1">
      <x:c r="A648" s="9" t="str">
        <x:v>2025-09-01</x:v>
      </x:c>
      <x:c r="B648" s="9" t="str">
        <x:v>Forecast</x:v>
      </x:c>
      <x:c r="C648" s="9" t="str">
        <x:v>Operations</x:v>
      </x:c>
      <x:c r="D648" s="107" t="n">
        <x:v>0</x:v>
      </x:c>
      <x:c r="E648" s="107" t="n">
        <x:v>0.22083333</x:v>
      </x:c>
      <x:c r="F648" s="107" t="n">
        <x:v>31.07083333</x:v>
      </x:c>
    </x:row>
    <x:row r="649" ht="17" customHeight="1">
      <x:c r="A649" s="9" t="str">
        <x:v>2025-09-01</x:v>
      </x:c>
      <x:c r="B649" s="9" t="str">
        <x:v>Forecast</x:v>
      </x:c>
      <x:c r="C649" s="9" t="str">
        <x:v>Sales</x:v>
      </x:c>
      <x:c r="D649" s="107" t="n">
        <x:v>1.15</x:v>
      </x:c>
      <x:c r="E649" s="107" t="n">
        <x:v>0.24166667</x:v>
      </x:c>
      <x:c r="F649" s="107" t="n">
        <x:v>11.78583333</x:v>
      </x:c>
    </x:row>
    <x:row r="650" ht="17" customHeight="1">
      <x:c r="A650" s="9" t="str">
        <x:v>2025-09-01</x:v>
      </x:c>
      <x:c r="B650" s="9" t="str">
        <x:v>Forecast</x:v>
      </x:c>
      <x:c r="C650" s="9" t="str">
        <x:v>Technology</x:v>
      </x:c>
      <x:c r="D650" s="107" t="n">
        <x:v>0</x:v>
      </x:c>
      <x:c r="E650" s="107" t="n">
        <x:v>0.42604167000000004</x:v>
      </x:c>
      <x:c r="F650" s="107" t="n">
        <x:v>24.752083329999998</x:v>
      </x:c>
    </x:row>
    <x:row r="651" ht="17" customHeight="1">
      <x:c r="A651" s="9" t="str">
        <x:v>2025-10-01</x:v>
      </x:c>
      <x:c r="B651" s="9" t="str">
        <x:v>Forecast</x:v>
      </x:c>
      <x:c r="C651" s="9" t="str">
        <x:v>Customer Success</x:v>
      </x:c>
      <x:c r="D651" s="107" t="n">
        <x:v>0</x:v>
      </x:c>
      <x:c r="E651" s="107" t="n">
        <x:v>0.19479167</x:v>
      </x:c>
      <x:c r="F651" s="107" t="n">
        <x:v>19.22604167</x:v>
      </x:c>
    </x:row>
    <x:row r="652" ht="17" customHeight="1">
      <x:c r="A652" s="9" t="str">
        <x:v>2025-10-01</x:v>
      </x:c>
      <x:c r="B652" s="9" t="str">
        <x:v>Forecast</x:v>
      </x:c>
      <x:c r="C652" s="9" t="str">
        <x:v>Finance &amp; Corporate</x:v>
      </x:c>
      <x:c r="D652" s="107" t="n">
        <x:v>1.1333333300000001</x:v>
      </x:c>
      <x:c r="E652" s="107" t="n">
        <x:v>0</x:v>
      </x:c>
      <x:c r="F652" s="107" t="n">
        <x:v>10.2</x:v>
      </x:c>
    </x:row>
    <x:row r="653" ht="17" customHeight="1">
      <x:c r="A653" s="9" t="str">
        <x:v>2025-10-01</x:v>
      </x:c>
      <x:c r="B653" s="9" t="str">
        <x:v>Forecast</x:v>
      </x:c>
      <x:c r="C653" s="9" t="str">
        <x:v>Operations</x:v>
      </x:c>
      <x:c r="D653" s="107" t="n">
        <x:v>0</x:v>
      </x:c>
      <x:c r="E653" s="107" t="n">
        <x:v>0.22083333</x:v>
      </x:c>
      <x:c r="F653" s="107" t="n">
        <x:v>30.85</x:v>
      </x:c>
    </x:row>
    <x:row r="654" ht="17" customHeight="1">
      <x:c r="A654" s="9" t="str">
        <x:v>2025-10-01</x:v>
      </x:c>
      <x:c r="B654" s="9" t="str">
        <x:v>Forecast</x:v>
      </x:c>
      <x:c r="C654" s="9" t="str">
        <x:v>Sales</x:v>
      </x:c>
      <x:c r="D654" s="107" t="n">
        <x:v>0</x:v>
      </x:c>
      <x:c r="E654" s="107" t="n">
        <x:v>0.24166667</x:v>
      </x:c>
      <x:c r="F654" s="107" t="n">
        <x:v>11.54416667</x:v>
      </x:c>
    </x:row>
    <x:row r="655" ht="17" customHeight="1">
      <x:c r="A655" s="9" t="str">
        <x:v>2025-10-01</x:v>
      </x:c>
      <x:c r="B655" s="9" t="str">
        <x:v>Forecast</x:v>
      </x:c>
      <x:c r="C655" s="9" t="str">
        <x:v>Technology</x:v>
      </x:c>
      <x:c r="D655" s="107" t="n">
        <x:v>0</x:v>
      </x:c>
      <x:c r="E655" s="107" t="n">
        <x:v>0.42604167000000004</x:v>
      </x:c>
      <x:c r="F655" s="107" t="n">
        <x:v>24.326041670000002</x:v>
      </x:c>
    </x:row>
    <x:row r="656" ht="17" customHeight="1">
      <x:c r="A656" s="9" t="str">
        <x:v>2025-11-01</x:v>
      </x:c>
      <x:c r="B656" s="9" t="str">
        <x:v>Forecast</x:v>
      </x:c>
      <x:c r="C656" s="9" t="str">
        <x:v>Customer Success</x:v>
      </x:c>
      <x:c r="D656" s="107" t="n">
        <x:v>0</x:v>
      </x:c>
      <x:c r="E656" s="107" t="n">
        <x:v>0.19479167</x:v>
      </x:c>
      <x:c r="F656" s="107" t="n">
        <x:v>19.03125</x:v>
      </x:c>
    </x:row>
    <x:row r="657" ht="17" customHeight="1">
      <x:c r="A657" s="9" t="str">
        <x:v>2025-11-01</x:v>
      </x:c>
      <x:c r="B657" s="9" t="str">
        <x:v>Forecast</x:v>
      </x:c>
      <x:c r="C657" s="9" t="str">
        <x:v>Finance &amp; Corporate</x:v>
      </x:c>
      <x:c r="D657" s="107" t="n">
        <x:v>1.1333333300000001</x:v>
      </x:c>
      <x:c r="E657" s="107" t="n">
        <x:v>0</x:v>
      </x:c>
      <x:c r="F657" s="107" t="n">
        <x:v>10.2</x:v>
      </x:c>
    </x:row>
    <x:row r="658" ht="17" customHeight="1">
      <x:c r="A658" s="9" t="str">
        <x:v>2025-11-01</x:v>
      </x:c>
      <x:c r="B658" s="9" t="str">
        <x:v>Forecast</x:v>
      </x:c>
      <x:c r="C658" s="9" t="str">
        <x:v>Operations</x:v>
      </x:c>
      <x:c r="D658" s="107" t="n">
        <x:v>0</x:v>
      </x:c>
      <x:c r="E658" s="107" t="n">
        <x:v>0.22083333</x:v>
      </x:c>
      <x:c r="F658" s="107" t="n">
        <x:v>30.62916667</x:v>
      </x:c>
    </x:row>
    <x:row r="659" ht="17" customHeight="1">
      <x:c r="A659" s="9" t="str">
        <x:v>2025-11-01</x:v>
      </x:c>
      <x:c r="B659" s="9" t="str">
        <x:v>Forecast</x:v>
      </x:c>
      <x:c r="C659" s="9" t="str">
        <x:v>Sales</x:v>
      </x:c>
      <x:c r="D659" s="107" t="n">
        <x:v>0</x:v>
      </x:c>
      <x:c r="E659" s="107" t="n">
        <x:v>0.24166667</x:v>
      </x:c>
      <x:c r="F659" s="107" t="n">
        <x:v>11.3025</x:v>
      </x:c>
    </x:row>
    <x:row r="660" ht="17" customHeight="1">
      <x:c r="A660" s="9" t="str">
        <x:v>2025-11-01</x:v>
      </x:c>
      <x:c r="B660" s="9" t="str">
        <x:v>Forecast</x:v>
      </x:c>
      <x:c r="C660" s="9" t="str">
        <x:v>Technology</x:v>
      </x:c>
      <x:c r="D660" s="107" t="n">
        <x:v>0</x:v>
      </x:c>
      <x:c r="E660" s="107" t="n">
        <x:v>0.42604167000000004</x:v>
      </x:c>
      <x:c r="F660" s="107" t="n">
        <x:v>23.9</x:v>
      </x:c>
    </x:row>
    <x:row r="661" ht="17" customHeight="1">
      <x:c r="A661" s="9" t="str">
        <x:v>2025-12-01</x:v>
      </x:c>
      <x:c r="B661" s="9" t="str">
        <x:v>Forecast</x:v>
      </x:c>
      <x:c r="C661" s="9" t="str">
        <x:v>Customer Success</x:v>
      </x:c>
      <x:c r="D661" s="107" t="n">
        <x:v>0</x:v>
      </x:c>
      <x:c r="E661" s="107" t="n">
        <x:v>0.19479167</x:v>
      </x:c>
      <x:c r="F661" s="107" t="n">
        <x:v>18.83645833</x:v>
      </x:c>
    </x:row>
    <x:row r="662" ht="17" customHeight="1">
      <x:c r="A662" s="9" t="str">
        <x:v>2025-12-01</x:v>
      </x:c>
      <x:c r="B662" s="9" t="str">
        <x:v>Forecast</x:v>
      </x:c>
      <x:c r="C662" s="9" t="str">
        <x:v>Finance &amp; Corporate</x:v>
      </x:c>
      <x:c r="D662" s="107" t="n">
        <x:v>1.1333333300000001</x:v>
      </x:c>
      <x:c r="E662" s="107" t="n">
        <x:v>0</x:v>
      </x:c>
      <x:c r="F662" s="107" t="n">
        <x:v>10.2</x:v>
      </x:c>
    </x:row>
    <x:row r="663" ht="17" customHeight="1">
      <x:c r="A663" s="9" t="str">
        <x:v>2025-12-01</x:v>
      </x:c>
      <x:c r="B663" s="9" t="str">
        <x:v>Forecast</x:v>
      </x:c>
      <x:c r="C663" s="9" t="str">
        <x:v>Operations</x:v>
      </x:c>
      <x:c r="D663" s="107" t="n">
        <x:v>0</x:v>
      </x:c>
      <x:c r="E663" s="107" t="n">
        <x:v>0.22083333</x:v>
      </x:c>
      <x:c r="F663" s="107" t="n">
        <x:v>30.408333329999998</x:v>
      </x:c>
    </x:row>
    <x:row r="664" ht="17" customHeight="1">
      <x:c r="A664" s="9" t="str">
        <x:v>2025-12-01</x:v>
      </x:c>
      <x:c r="B664" s="9" t="str">
        <x:v>Forecast</x:v>
      </x:c>
      <x:c r="C664" s="9" t="str">
        <x:v>Sales</x:v>
      </x:c>
      <x:c r="D664" s="107" t="n">
        <x:v>0</x:v>
      </x:c>
      <x:c r="E664" s="107" t="n">
        <x:v>0.24166667</x:v>
      </x:c>
      <x:c r="F664" s="107" t="n">
        <x:v>11.06083333</x:v>
      </x:c>
    </x:row>
    <x:row r="665" ht="17" customHeight="1">
      <x:c r="A665" s="9" t="str">
        <x:v>2025-12-01</x:v>
      </x:c>
      <x:c r="B665" s="9" t="str">
        <x:v>Forecast</x:v>
      </x:c>
      <x:c r="C665" s="9" t="str">
        <x:v>Technology</x:v>
      </x:c>
      <x:c r="D665" s="107" t="n">
        <x:v>0</x:v>
      </x:c>
      <x:c r="E665" s="107" t="n">
        <x:v>0.42604167000000004</x:v>
      </x:c>
      <x:c r="F665" s="107" t="n">
        <x:v>23.47395833</x:v>
      </x:c>
    </x:row>
    <x:row r="666" ht="17" customHeight="1">
      <x:c r="A666" s="9" t="str">
        <x:v>2026-01-01</x:v>
      </x:c>
      <x:c r="B666" s="9" t="str">
        <x:v>Forecast</x:v>
      </x:c>
      <x:c r="C666" s="9" t="str">
        <x:v>Customer Success</x:v>
      </x:c>
      <x:c r="D666" s="107" t="n">
        <x:v>0</x:v>
      </x:c>
      <x:c r="E666" s="107" t="n">
        <x:v>0.19479167</x:v>
      </x:c>
      <x:c r="F666" s="107" t="n">
        <x:v>18.641666670000003</x:v>
      </x:c>
    </x:row>
    <x:row r="667" ht="17" customHeight="1">
      <x:c r="A667" s="9" t="str">
        <x:v>2026-01-01</x:v>
      </x:c>
      <x:c r="B667" s="9" t="str">
        <x:v>Forecast</x:v>
      </x:c>
      <x:c r="C667" s="9" t="str">
        <x:v>Finance &amp; Corporate</x:v>
      </x:c>
      <x:c r="D667" s="107" t="n">
        <x:v>1.1333333300000001</x:v>
      </x:c>
      <x:c r="E667" s="107" t="n">
        <x:v>0</x:v>
      </x:c>
      <x:c r="F667" s="107" t="n">
        <x:v>10.2</x:v>
      </x:c>
    </x:row>
    <x:row r="668" ht="17" customHeight="1">
      <x:c r="A668" s="9" t="str">
        <x:v>2026-01-01</x:v>
      </x:c>
      <x:c r="B668" s="9" t="str">
        <x:v>Forecast</x:v>
      </x:c>
      <x:c r="C668" s="9" t="str">
        <x:v>Operations</x:v>
      </x:c>
      <x:c r="D668" s="107" t="n">
        <x:v>0</x:v>
      </x:c>
      <x:c r="E668" s="107" t="n">
        <x:v>0.22083333</x:v>
      </x:c>
      <x:c r="F668" s="107" t="n">
        <x:v>30.1875</x:v>
      </x:c>
    </x:row>
    <x:row r="669" ht="17" customHeight="1">
      <x:c r="A669" s="9" t="str">
        <x:v>2026-01-01</x:v>
      </x:c>
      <x:c r="B669" s="9" t="str">
        <x:v>Forecast</x:v>
      </x:c>
      <x:c r="C669" s="9" t="str">
        <x:v>Sales</x:v>
      </x:c>
      <x:c r="D669" s="107" t="n">
        <x:v>0</x:v>
      </x:c>
      <x:c r="E669" s="107" t="n">
        <x:v>0.24166667</x:v>
      </x:c>
      <x:c r="F669" s="107" t="n">
        <x:v>10.81916667</x:v>
      </x:c>
    </x:row>
    <x:row r="670" ht="17" customHeight="1">
      <x:c r="A670" s="9" t="str">
        <x:v>2026-01-01</x:v>
      </x:c>
      <x:c r="B670" s="9" t="str">
        <x:v>Forecast</x:v>
      </x:c>
      <x:c r="C670" s="9" t="str">
        <x:v>Technology</x:v>
      </x:c>
      <x:c r="D670" s="107" t="n">
        <x:v>0</x:v>
      </x:c>
      <x:c r="E670" s="107" t="n">
        <x:v>0.42604167000000004</x:v>
      </x:c>
      <x:c r="F670" s="107" t="n">
        <x:v>23.047916670000003</x:v>
      </x:c>
    </x:row>
    <x:row r="671" ht="17" customHeight="1">
      <x:c r="A671" s="9" t="str">
        <x:v>2026-02-01</x:v>
      </x:c>
      <x:c r="B671" s="9" t="str">
        <x:v>Forecast</x:v>
      </x:c>
      <x:c r="C671" s="9" t="str">
        <x:v>Customer Success</x:v>
      </x:c>
      <x:c r="D671" s="107" t="n">
        <x:v>0</x:v>
      </x:c>
      <x:c r="E671" s="107" t="n">
        <x:v>0.19479167</x:v>
      </x:c>
      <x:c r="F671" s="107" t="n">
        <x:v>18.446875</x:v>
      </x:c>
    </x:row>
    <x:row r="672" ht="17" customHeight="1">
      <x:c r="A672" s="9" t="str">
        <x:v>2026-02-01</x:v>
      </x:c>
      <x:c r="B672" s="9" t="str">
        <x:v>Forecast</x:v>
      </x:c>
      <x:c r="C672" s="9" t="str">
        <x:v>Finance &amp; Corporate</x:v>
      </x:c>
      <x:c r="D672" s="107" t="n">
        <x:v>1.1333333300000001</x:v>
      </x:c>
      <x:c r="E672" s="107" t="n">
        <x:v>0</x:v>
      </x:c>
      <x:c r="F672" s="107" t="n">
        <x:v>10.2</x:v>
      </x:c>
    </x:row>
    <x:row r="673" ht="17" customHeight="1">
      <x:c r="A673" s="9" t="str">
        <x:v>2026-02-01</x:v>
      </x:c>
      <x:c r="B673" s="9" t="str">
        <x:v>Forecast</x:v>
      </x:c>
      <x:c r="C673" s="9" t="str">
        <x:v>Operations</x:v>
      </x:c>
      <x:c r="D673" s="107" t="n">
        <x:v>0</x:v>
      </x:c>
      <x:c r="E673" s="107" t="n">
        <x:v>0.22083333</x:v>
      </x:c>
      <x:c r="F673" s="107" t="n">
        <x:v>29.966666670000002</x:v>
      </x:c>
    </x:row>
    <x:row r="674" ht="17" customHeight="1">
      <x:c r="A674" s="9" t="str">
        <x:v>2026-02-01</x:v>
      </x:c>
      <x:c r="B674" s="9" t="str">
        <x:v>Forecast</x:v>
      </x:c>
      <x:c r="C674" s="9" t="str">
        <x:v>Sales</x:v>
      </x:c>
      <x:c r="D674" s="107" t="n">
        <x:v>0</x:v>
      </x:c>
      <x:c r="E674" s="107" t="n">
        <x:v>0.24166667</x:v>
      </x:c>
      <x:c r="F674" s="107" t="n">
        <x:v>10.5775</x:v>
      </x:c>
    </x:row>
    <x:row r="675" ht="17" customHeight="1">
      <x:c r="A675" s="9" t="str">
        <x:v>2026-02-01</x:v>
      </x:c>
      <x:c r="B675" s="9" t="str">
        <x:v>Forecast</x:v>
      </x:c>
      <x:c r="C675" s="9" t="str">
        <x:v>Technology</x:v>
      </x:c>
      <x:c r="D675" s="107" t="n">
        <x:v>1.4333333300000002</x:v>
      </x:c>
      <x:c r="E675" s="107" t="n">
        <x:v>0.42604167000000004</x:v>
      </x:c>
      <x:c r="F675" s="107" t="n">
        <x:v>22.621875</x:v>
      </x:c>
    </x:row>
    <x:row r="676" ht="17" customHeight="1">
      <x:c r="A676" s="9" t="str">
        <x:v>2026-03-01</x:v>
      </x:c>
      <x:c r="B676" s="9" t="str">
        <x:v>Forecast</x:v>
      </x:c>
      <x:c r="C676" s="9" t="str">
        <x:v>Customer Success</x:v>
      </x:c>
      <x:c r="D676" s="107" t="n">
        <x:v>0</x:v>
      </x:c>
      <x:c r="E676" s="107" t="n">
        <x:v>0.19479167</x:v>
      </x:c>
      <x:c r="F676" s="107" t="n">
        <x:v>18.252083329999998</x:v>
      </x:c>
    </x:row>
    <x:row r="677" ht="17" customHeight="1">
      <x:c r="A677" s="9" t="str">
        <x:v>2026-03-01</x:v>
      </x:c>
      <x:c r="B677" s="9" t="str">
        <x:v>Forecast</x:v>
      </x:c>
      <x:c r="C677" s="9" t="str">
        <x:v>Finance &amp; Corporate</x:v>
      </x:c>
      <x:c r="D677" s="107" t="n">
        <x:v>1.1333333300000001</x:v>
      </x:c>
      <x:c r="E677" s="107" t="n">
        <x:v>0.17</x:v>
      </x:c>
      <x:c r="F677" s="107" t="n">
        <x:v>10.03</x:v>
      </x:c>
    </x:row>
    <x:row r="678" ht="17" customHeight="1">
      <x:c r="A678" s="9" t="str">
        <x:v>2026-03-01</x:v>
      </x:c>
      <x:c r="B678" s="9" t="str">
        <x:v>Forecast</x:v>
      </x:c>
      <x:c r="C678" s="9" t="str">
        <x:v>Operations</x:v>
      </x:c>
      <x:c r="D678" s="107" t="n">
        <x:v>0</x:v>
      </x:c>
      <x:c r="E678" s="107" t="n">
        <x:v>0.22083333</x:v>
      </x:c>
      <x:c r="F678" s="107" t="n">
        <x:v>29.74583333</x:v>
      </x:c>
    </x:row>
    <x:row r="679" ht="17" customHeight="1">
      <x:c r="A679" s="9" t="str">
        <x:v>2026-03-01</x:v>
      </x:c>
      <x:c r="B679" s="9" t="str">
        <x:v>Forecast</x:v>
      </x:c>
      <x:c r="C679" s="9" t="str">
        <x:v>Sales</x:v>
      </x:c>
      <x:c r="D679" s="107" t="n">
        <x:v>0</x:v>
      </x:c>
      <x:c r="E679" s="107" t="n">
        <x:v>0.24166667</x:v>
      </x:c>
      <x:c r="F679" s="107" t="n">
        <x:v>10.33583333</x:v>
      </x:c>
    </x:row>
    <x:row r="680" ht="17" customHeight="1">
      <x:c r="A680" s="9" t="str">
        <x:v>2026-03-01</x:v>
      </x:c>
      <x:c r="B680" s="9" t="str">
        <x:v>Forecast</x:v>
      </x:c>
      <x:c r="C680" s="9" t="str">
        <x:v>Technology</x:v>
      </x:c>
      <x:c r="D680" s="107" t="n">
        <x:v>1.4333333300000002</x:v>
      </x:c>
      <x:c r="E680" s="107" t="n">
        <x:v>0.42604167000000004</x:v>
      </x:c>
      <x:c r="F680" s="107" t="n">
        <x:v>22.19583333</x:v>
      </x:c>
    </x:row>
    <x:row r="681" ht="17" customHeight="1">
      <x:c r="A681" s="9" t="str">
        <x:v>2026-04-01</x:v>
      </x:c>
      <x:c r="B681" s="9" t="str">
        <x:v>Forecast</x:v>
      </x:c>
      <x:c r="C681" s="9" t="str">
        <x:v>Customer Success</x:v>
      </x:c>
      <x:c r="D681" s="107" t="n">
        <x:v>0</x:v>
      </x:c>
      <x:c r="E681" s="107" t="n">
        <x:v>0.19479167</x:v>
      </x:c>
      <x:c r="F681" s="107" t="n">
        <x:v>18.05729167</x:v>
      </x:c>
    </x:row>
    <x:row r="682" ht="17" customHeight="1">
      <x:c r="A682" s="9" t="str">
        <x:v>2026-04-01</x:v>
      </x:c>
      <x:c r="B682" s="9" t="str">
        <x:v>Forecast</x:v>
      </x:c>
      <x:c r="C682" s="9" t="str">
        <x:v>Finance &amp; Corporate</x:v>
      </x:c>
      <x:c r="D682" s="107" t="n">
        <x:v>0</x:v>
      </x:c>
      <x:c r="E682" s="107" t="n">
        <x:v>0.17</x:v>
      </x:c>
      <x:c r="F682" s="107" t="n">
        <x:v>9.86</x:v>
      </x:c>
    </x:row>
    <x:row r="683" ht="17" customHeight="1">
      <x:c r="A683" s="9" t="str">
        <x:v>2026-04-01</x:v>
      </x:c>
      <x:c r="B683" s="9" t="str">
        <x:v>Forecast</x:v>
      </x:c>
      <x:c r="C683" s="9" t="str">
        <x:v>Operations</x:v>
      </x:c>
      <x:c r="D683" s="107" t="n">
        <x:v>1.76</x:v>
      </x:c>
      <x:c r="E683" s="107" t="n">
        <x:v>0.22083333</x:v>
      </x:c>
      <x:c r="F683" s="107" t="n">
        <x:v>29.525</x:v>
      </x:c>
    </x:row>
    <x:row r="684" ht="17" customHeight="1">
      <x:c r="A684" s="9" t="str">
        <x:v>2026-04-01</x:v>
      </x:c>
      <x:c r="B684" s="9" t="str">
        <x:v>Forecast</x:v>
      </x:c>
      <x:c r="C684" s="9" t="str">
        <x:v>Sales</x:v>
      </x:c>
      <x:c r="D684" s="107" t="n">
        <x:v>0</x:v>
      </x:c>
      <x:c r="E684" s="107" t="n">
        <x:v>0.24166667</x:v>
      </x:c>
      <x:c r="F684" s="107" t="n">
        <x:v>10.09416667</x:v>
      </x:c>
    </x:row>
    <x:row r="685" ht="17" customHeight="1">
      <x:c r="A685" s="9" t="str">
        <x:v>2026-04-01</x:v>
      </x:c>
      <x:c r="B685" s="9" t="str">
        <x:v>Forecast</x:v>
      </x:c>
      <x:c r="C685" s="9" t="str">
        <x:v>Technology</x:v>
      </x:c>
      <x:c r="D685" s="107" t="n">
        <x:v>1.4333333300000002</x:v>
      </x:c>
      <x:c r="E685" s="107" t="n">
        <x:v>0.42604167000000004</x:v>
      </x:c>
      <x:c r="F685" s="107" t="n">
        <x:v>21.76979167</x:v>
      </x:c>
    </x:row>
    <x:row r="686" ht="17" customHeight="1">
      <x:c r="A686" s="9" t="str">
        <x:v>2026-05-01</x:v>
      </x:c>
      <x:c r="B686" s="9" t="str">
        <x:v>Forecast</x:v>
      </x:c>
      <x:c r="C686" s="9" t="str">
        <x:v>Customer Success</x:v>
      </x:c>
      <x:c r="D686" s="107" t="n">
        <x:v>0</x:v>
      </x:c>
      <x:c r="E686" s="107" t="n">
        <x:v>0.19479167</x:v>
      </x:c>
      <x:c r="F686" s="107" t="n">
        <x:v>17.8625</x:v>
      </x:c>
    </x:row>
    <x:row r="687" ht="17" customHeight="1">
      <x:c r="A687" s="9" t="str">
        <x:v>2026-05-01</x:v>
      </x:c>
      <x:c r="B687" s="9" t="str">
        <x:v>Forecast</x:v>
      </x:c>
      <x:c r="C687" s="9" t="str">
        <x:v>Finance &amp; Corporate</x:v>
      </x:c>
      <x:c r="D687" s="107" t="n">
        <x:v>0</x:v>
      </x:c>
      <x:c r="E687" s="107" t="n">
        <x:v>0.17</x:v>
      </x:c>
      <x:c r="F687" s="107" t="n">
        <x:v>9.69</x:v>
      </x:c>
    </x:row>
    <x:row r="688" ht="17" customHeight="1">
      <x:c r="A688" s="9" t="str">
        <x:v>2026-05-01</x:v>
      </x:c>
      <x:c r="B688" s="9" t="str">
        <x:v>Forecast</x:v>
      </x:c>
      <x:c r="C688" s="9" t="str">
        <x:v>Operations</x:v>
      </x:c>
      <x:c r="D688" s="107" t="n">
        <x:v>1.76</x:v>
      </x:c>
      <x:c r="E688" s="107" t="n">
        <x:v>0.22083333</x:v>
      </x:c>
      <x:c r="F688" s="107" t="n">
        <x:v>29.30416667</x:v>
      </x:c>
    </x:row>
    <x:row r="689" ht="17" customHeight="1">
      <x:c r="A689" s="9" t="str">
        <x:v>2026-05-01</x:v>
      </x:c>
      <x:c r="B689" s="9" t="str">
        <x:v>Forecast</x:v>
      </x:c>
      <x:c r="C689" s="9" t="str">
        <x:v>Sales</x:v>
      </x:c>
      <x:c r="D689" s="107" t="n">
        <x:v>0</x:v>
      </x:c>
      <x:c r="E689" s="107" t="n">
        <x:v>0.24166667</x:v>
      </x:c>
      <x:c r="F689" s="107" t="n">
        <x:v>9.8525</x:v>
      </x:c>
    </x:row>
    <x:row r="690" ht="17" customHeight="1">
      <x:c r="A690" s="9" t="str">
        <x:v>2026-05-01</x:v>
      </x:c>
      <x:c r="B690" s="9" t="str">
        <x:v>Forecast</x:v>
      </x:c>
      <x:c r="C690" s="9" t="str">
        <x:v>Technology</x:v>
      </x:c>
      <x:c r="D690" s="107" t="n">
        <x:v>1.4333333300000002</x:v>
      </x:c>
      <x:c r="E690" s="107" t="n">
        <x:v>0.42604167000000004</x:v>
      </x:c>
      <x:c r="F690" s="107" t="n">
        <x:v>21.34375</x:v>
      </x:c>
    </x:row>
    <x:row r="691" ht="17" customHeight="1">
      <x:c r="A691" s="9" t="str">
        <x:v>2026-06-01</x:v>
      </x:c>
      <x:c r="B691" s="9" t="str">
        <x:v>Forecast</x:v>
      </x:c>
      <x:c r="C691" s="9" t="str">
        <x:v>Customer Success</x:v>
      </x:c>
      <x:c r="D691" s="107" t="n">
        <x:v>0</x:v>
      </x:c>
      <x:c r="E691" s="107" t="n">
        <x:v>0.19479167</x:v>
      </x:c>
      <x:c r="F691" s="107" t="n">
        <x:v>17.66770833</x:v>
      </x:c>
    </x:row>
    <x:row r="692" ht="17" customHeight="1">
      <x:c r="A692" s="9" t="str">
        <x:v>2026-06-01</x:v>
      </x:c>
      <x:c r="B692" s="9" t="str">
        <x:v>Forecast</x:v>
      </x:c>
      <x:c r="C692" s="9" t="str">
        <x:v>Finance &amp; Corporate</x:v>
      </x:c>
      <x:c r="D692" s="107" t="n">
        <x:v>0</x:v>
      </x:c>
      <x:c r="E692" s="107" t="n">
        <x:v>0.17</x:v>
      </x:c>
      <x:c r="F692" s="107" t="n">
        <x:v>9.52</x:v>
      </x:c>
    </x:row>
    <x:row r="693" ht="17" customHeight="1">
      <x:c r="A693" s="9" t="str">
        <x:v>2026-06-01</x:v>
      </x:c>
      <x:c r="B693" s="9" t="str">
        <x:v>Forecast</x:v>
      </x:c>
      <x:c r="C693" s="9" t="str">
        <x:v>Operations</x:v>
      </x:c>
      <x:c r="D693" s="107" t="n">
        <x:v>1.76</x:v>
      </x:c>
      <x:c r="E693" s="107" t="n">
        <x:v>0.22083333</x:v>
      </x:c>
      <x:c r="F693" s="107" t="n">
        <x:v>29.08333333</x:v>
      </x:c>
    </x:row>
    <x:row r="694" ht="17" customHeight="1">
      <x:c r="A694" s="9" t="str">
        <x:v>2026-06-01</x:v>
      </x:c>
      <x:c r="B694" s="9" t="str">
        <x:v>Forecast</x:v>
      </x:c>
      <x:c r="C694" s="9" t="str">
        <x:v>Sales</x:v>
      </x:c>
      <x:c r="D694" s="107" t="n">
        <x:v>0</x:v>
      </x:c>
      <x:c r="E694" s="107" t="n">
        <x:v>0.24166667</x:v>
      </x:c>
      <x:c r="F694" s="107" t="n">
        <x:v>9.61083333</x:v>
      </x:c>
    </x:row>
    <x:row r="695" ht="17" customHeight="1">
      <x:c r="A695" s="9" t="str">
        <x:v>2026-06-01</x:v>
      </x:c>
      <x:c r="B695" s="9" t="str">
        <x:v>Forecast</x:v>
      </x:c>
      <x:c r="C695" s="9" t="str">
        <x:v>Technology</x:v>
      </x:c>
      <x:c r="D695" s="107" t="n">
        <x:v>1.4333333300000002</x:v>
      </x:c>
      <x:c r="E695" s="107" t="n">
        <x:v>0.42604167000000004</x:v>
      </x:c>
      <x:c r="F695" s="107" t="n">
        <x:v>20.91770833</x:v>
      </x:c>
    </x:row>
    <x:row r="696" ht="17" customHeight="1">
      <x:c r="A696" s="9" t="str">
        <x:v>2026-07-01</x:v>
      </x:c>
      <x:c r="B696" s="9" t="str">
        <x:v>Forecast</x:v>
      </x:c>
      <x:c r="C696" s="9" t="str">
        <x:v>Customer Success</x:v>
      </x:c>
      <x:c r="D696" s="107" t="n">
        <x:v>1.20555556</x:v>
      </x:c>
      <x:c r="E696" s="107" t="n">
        <x:v>0.19479167</x:v>
      </x:c>
      <x:c r="F696" s="107" t="n">
        <x:v>17.47291667</x:v>
      </x:c>
    </x:row>
    <x:row r="697" ht="17" customHeight="1">
      <x:c r="A697" s="9" t="str">
        <x:v>2026-07-01</x:v>
      </x:c>
      <x:c r="B697" s="9" t="str">
        <x:v>Forecast</x:v>
      </x:c>
      <x:c r="C697" s="9" t="str">
        <x:v>Finance &amp; Corporate</x:v>
      </x:c>
      <x:c r="D697" s="107" t="n">
        <x:v>0</x:v>
      </x:c>
      <x:c r="E697" s="107" t="n">
        <x:v>0.17</x:v>
      </x:c>
      <x:c r="F697" s="107" t="n">
        <x:v>9.35</x:v>
      </x:c>
    </x:row>
    <x:row r="698" ht="17" customHeight="1">
      <x:c r="A698" s="9" t="str">
        <x:v>2026-07-01</x:v>
      </x:c>
      <x:c r="B698" s="9" t="str">
        <x:v>Forecast</x:v>
      </x:c>
      <x:c r="C698" s="9" t="str">
        <x:v>Operations</x:v>
      </x:c>
      <x:c r="D698" s="107" t="n">
        <x:v>1.76</x:v>
      </x:c>
      <x:c r="E698" s="107" t="n">
        <x:v>0.22083333</x:v>
      </x:c>
      <x:c r="F698" s="107" t="n">
        <x:v>28.8625</x:v>
      </x:c>
    </x:row>
    <x:row r="699" ht="17" customHeight="1">
      <x:c r="A699" s="9" t="str">
        <x:v>2026-07-01</x:v>
      </x:c>
      <x:c r="B699" s="9" t="str">
        <x:v>Forecast</x:v>
      </x:c>
      <x:c r="C699" s="9" t="str">
        <x:v>Sales</x:v>
      </x:c>
      <x:c r="D699" s="107" t="n">
        <x:v>0</x:v>
      </x:c>
      <x:c r="E699" s="107" t="n">
        <x:v>0.24166667</x:v>
      </x:c>
      <x:c r="F699" s="107" t="n">
        <x:v>9.36916667</x:v>
      </x:c>
    </x:row>
    <x:row r="700" ht="17" customHeight="1">
      <x:c r="A700" s="9" t="str">
        <x:v>2026-07-01</x:v>
      </x:c>
      <x:c r="B700" s="9" t="str">
        <x:v>Forecast</x:v>
      </x:c>
      <x:c r="C700" s="9" t="str">
        <x:v>Technology</x:v>
      </x:c>
      <x:c r="D700" s="107" t="n">
        <x:v>1.4333333300000002</x:v>
      </x:c>
      <x:c r="E700" s="107" t="n">
        <x:v>0.42604167000000004</x:v>
      </x:c>
      <x:c r="F700" s="107" t="n">
        <x:v>20.49166667</x:v>
      </x:c>
    </x:row>
    <x:row r="701" ht="17" customHeight="1">
      <x:c r="A701" s="9" t="str">
        <x:v>2026-08-01</x:v>
      </x:c>
      <x:c r="B701" s="9" t="str">
        <x:v>Forecast</x:v>
      </x:c>
      <x:c r="C701" s="9" t="str">
        <x:v>Customer Success</x:v>
      </x:c>
      <x:c r="D701" s="107" t="n">
        <x:v>1.20555556</x:v>
      </x:c>
      <x:c r="E701" s="107" t="n">
        <x:v>0.19479167</x:v>
      </x:c>
      <x:c r="F701" s="107" t="n">
        <x:v>17.278125</x:v>
      </x:c>
    </x:row>
    <x:row r="702" ht="17" customHeight="1">
      <x:c r="A702" s="9" t="str">
        <x:v>2026-08-01</x:v>
      </x:c>
      <x:c r="B702" s="9" t="str">
        <x:v>Forecast</x:v>
      </x:c>
      <x:c r="C702" s="9" t="str">
        <x:v>Finance &amp; Corporate</x:v>
      </x:c>
      <x:c r="D702" s="107" t="n">
        <x:v>0</x:v>
      </x:c>
      <x:c r="E702" s="107" t="n">
        <x:v>0.17</x:v>
      </x:c>
      <x:c r="F702" s="107" t="n">
        <x:v>9.18</x:v>
      </x:c>
    </x:row>
    <x:row r="703" ht="17" customHeight="1">
      <x:c r="A703" s="9" t="str">
        <x:v>2026-08-01</x:v>
      </x:c>
      <x:c r="B703" s="9" t="str">
        <x:v>Forecast</x:v>
      </x:c>
      <x:c r="C703" s="9" t="str">
        <x:v>Operations</x:v>
      </x:c>
      <x:c r="D703" s="107" t="n">
        <x:v>1.76</x:v>
      </x:c>
      <x:c r="E703" s="107" t="n">
        <x:v>0.22083333</x:v>
      </x:c>
      <x:c r="F703" s="107" t="n">
        <x:v>28.641666670000003</x:v>
      </x:c>
    </x:row>
    <x:row r="704" ht="17" customHeight="1">
      <x:c r="A704" s="9" t="str">
        <x:v>2026-08-01</x:v>
      </x:c>
      <x:c r="B704" s="9" t="str">
        <x:v>Forecast</x:v>
      </x:c>
      <x:c r="C704" s="9" t="str">
        <x:v>Sales</x:v>
      </x:c>
      <x:c r="D704" s="107" t="n">
        <x:v>0</x:v>
      </x:c>
      <x:c r="E704" s="107" t="n">
        <x:v>0.24166667</x:v>
      </x:c>
      <x:c r="F704" s="107" t="n">
        <x:v>9.1275</x:v>
      </x:c>
    </x:row>
    <x:row r="705" ht="17" customHeight="1">
      <x:c r="A705" s="9" t="str">
        <x:v>2026-08-01</x:v>
      </x:c>
      <x:c r="B705" s="9" t="str">
        <x:v>Forecast</x:v>
      </x:c>
      <x:c r="C705" s="9" t="str">
        <x:v>Technology</x:v>
      </x:c>
      <x:c r="D705" s="107" t="n">
        <x:v>1.4333333300000002</x:v>
      </x:c>
      <x:c r="E705" s="107" t="n">
        <x:v>0.42604167000000004</x:v>
      </x:c>
      <x:c r="F705" s="107" t="n">
        <x:v>20.065625</x:v>
      </x:c>
    </x:row>
    <x:row r="706" ht="17" customHeight="1">
      <x:c r="A706" s="9" t="str">
        <x:v>2026-09-01</x:v>
      </x:c>
      <x:c r="B706" s="9" t="str">
        <x:v>Forecast</x:v>
      </x:c>
      <x:c r="C706" s="9" t="str">
        <x:v>Customer Success</x:v>
      </x:c>
      <x:c r="D706" s="107" t="n">
        <x:v>1.20555556</x:v>
      </x:c>
      <x:c r="E706" s="107" t="n">
        <x:v>0.19479167</x:v>
      </x:c>
      <x:c r="F706" s="107" t="n">
        <x:v>17.08333333</x:v>
      </x:c>
    </x:row>
    <x:row r="707" ht="17" customHeight="1">
      <x:c r="A707" s="9" t="str">
        <x:v>2026-09-01</x:v>
      </x:c>
      <x:c r="B707" s="9" t="str">
        <x:v>Forecast</x:v>
      </x:c>
      <x:c r="C707" s="9" t="str">
        <x:v>Finance &amp; Corporate</x:v>
      </x:c>
      <x:c r="D707" s="107" t="n">
        <x:v>0</x:v>
      </x:c>
      <x:c r="E707" s="107" t="n">
        <x:v>0.17</x:v>
      </x:c>
      <x:c r="F707" s="107" t="n">
        <x:v>9.01</x:v>
      </x:c>
    </x:row>
    <x:row r="708" ht="17" customHeight="1">
      <x:c r="A708" s="9" t="str">
        <x:v>2026-09-01</x:v>
      </x:c>
      <x:c r="B708" s="9" t="str">
        <x:v>Forecast</x:v>
      </x:c>
      <x:c r="C708" s="9" t="str">
        <x:v>Operations</x:v>
      </x:c>
      <x:c r="D708" s="107" t="n">
        <x:v>1.76</x:v>
      </x:c>
      <x:c r="E708" s="107" t="n">
        <x:v>0.22083333</x:v>
      </x:c>
      <x:c r="F708" s="107" t="n">
        <x:v>28.420833329999997</x:v>
      </x:c>
    </x:row>
    <x:row r="709" ht="17" customHeight="1">
      <x:c r="A709" s="9" t="str">
        <x:v>2026-09-01</x:v>
      </x:c>
      <x:c r="B709" s="9" t="str">
        <x:v>Forecast</x:v>
      </x:c>
      <x:c r="C709" s="9" t="str">
        <x:v>Sales</x:v>
      </x:c>
      <x:c r="D709" s="107" t="n">
        <x:v>0</x:v>
      </x:c>
      <x:c r="E709" s="107" t="n">
        <x:v>0.24166667</x:v>
      </x:c>
      <x:c r="F709" s="107" t="n">
        <x:v>8.88583333</x:v>
      </x:c>
    </x:row>
    <x:row r="710" ht="17" customHeight="1">
      <x:c r="A710" s="9" t="str">
        <x:v>2026-09-01</x:v>
      </x:c>
      <x:c r="B710" s="9" t="str">
        <x:v>Forecast</x:v>
      </x:c>
      <x:c r="C710" s="9" t="str">
        <x:v>Technology</x:v>
      </x:c>
      <x:c r="D710" s="107" t="n">
        <x:v>1.4333333300000002</x:v>
      </x:c>
      <x:c r="E710" s="107" t="n">
        <x:v>0.42604167000000004</x:v>
      </x:c>
      <x:c r="F710" s="107" t="n">
        <x:v>19.639583329999997</x:v>
      </x:c>
    </x:row>
    <x:row r="711" ht="17" customHeight="1">
      <x:c r="A711" s="9" t="str">
        <x:v>2026-10-01</x:v>
      </x:c>
      <x:c r="B711" s="9" t="str">
        <x:v>Forecast</x:v>
      </x:c>
      <x:c r="C711" s="9" t="str">
        <x:v>Customer Success</x:v>
      </x:c>
      <x:c r="D711" s="107" t="n">
        <x:v>1.20555556</x:v>
      </x:c>
      <x:c r="E711" s="107" t="n">
        <x:v>0.19479167</x:v>
      </x:c>
      <x:c r="F711" s="107" t="n">
        <x:v>16.888541670000002</x:v>
      </x:c>
    </x:row>
    <x:row r="712" ht="17" customHeight="1">
      <x:c r="A712" s="9" t="str">
        <x:v>2026-10-01</x:v>
      </x:c>
      <x:c r="B712" s="9" t="str">
        <x:v>Forecast</x:v>
      </x:c>
      <x:c r="C712" s="9" t="str">
        <x:v>Finance &amp; Corporate</x:v>
      </x:c>
      <x:c r="D712" s="107" t="n">
        <x:v>0</x:v>
      </x:c>
      <x:c r="E712" s="107" t="n">
        <x:v>0.17</x:v>
      </x:c>
      <x:c r="F712" s="107" t="n">
        <x:v>8.84</x:v>
      </x:c>
    </x:row>
    <x:row r="713" ht="17" customHeight="1">
      <x:c r="A713" s="9" t="str">
        <x:v>2026-10-01</x:v>
      </x:c>
      <x:c r="B713" s="9" t="str">
        <x:v>Forecast</x:v>
      </x:c>
      <x:c r="C713" s="9" t="str">
        <x:v>Operations</x:v>
      </x:c>
      <x:c r="D713" s="107" t="n">
        <x:v>1.76</x:v>
      </x:c>
      <x:c r="E713" s="107" t="n">
        <x:v>0.22083333</x:v>
      </x:c>
      <x:c r="F713" s="107" t="n">
        <x:v>28.2</x:v>
      </x:c>
    </x:row>
    <x:row r="714" ht="17" customHeight="1">
      <x:c r="A714" s="9" t="str">
        <x:v>2026-10-01</x:v>
      </x:c>
      <x:c r="B714" s="9" t="str">
        <x:v>Forecast</x:v>
      </x:c>
      <x:c r="C714" s="9" t="str">
        <x:v>Sales</x:v>
      </x:c>
      <x:c r="D714" s="107" t="n">
        <x:v>0</x:v>
      </x:c>
      <x:c r="E714" s="107" t="n">
        <x:v>0.24166667</x:v>
      </x:c>
      <x:c r="F714" s="107" t="n">
        <x:v>8.64416667</x:v>
      </x:c>
    </x:row>
    <x:row r="715" ht="17" customHeight="1">
      <x:c r="A715" s="9" t="str">
        <x:v>2026-10-01</x:v>
      </x:c>
      <x:c r="B715" s="9" t="str">
        <x:v>Forecast</x:v>
      </x:c>
      <x:c r="C715" s="9" t="str">
        <x:v>Technology</x:v>
      </x:c>
      <x:c r="D715" s="107" t="n">
        <x:v>1.4333333300000002</x:v>
      </x:c>
      <x:c r="E715" s="107" t="n">
        <x:v>0.6947916700000001</x:v>
      </x:c>
      <x:c r="F715" s="107" t="n">
        <x:v>18.94479167</x:v>
      </x:c>
    </x:row>
    <x:row r="716" ht="17" customHeight="1">
      <x:c r="A716" s="9" t="str">
        <x:v>2026-11-01</x:v>
      </x:c>
      <x:c r="B716" s="9" t="str">
        <x:v>Forecast</x:v>
      </x:c>
      <x:c r="C716" s="9" t="str">
        <x:v>Customer Success</x:v>
      </x:c>
      <x:c r="D716" s="107" t="n">
        <x:v>1.20555556</x:v>
      </x:c>
      <x:c r="E716" s="107" t="n">
        <x:v>0.19479167</x:v>
      </x:c>
      <x:c r="F716" s="107" t="n">
        <x:v>16.69375</x:v>
      </x:c>
    </x:row>
    <x:row r="717" ht="17" customHeight="1">
      <x:c r="A717" s="9" t="str">
        <x:v>2026-11-01</x:v>
      </x:c>
      <x:c r="B717" s="9" t="str">
        <x:v>Forecast</x:v>
      </x:c>
      <x:c r="C717" s="9" t="str">
        <x:v>Finance &amp; Corporate</x:v>
      </x:c>
      <x:c r="D717" s="107" t="n">
        <x:v>0</x:v>
      </x:c>
      <x:c r="E717" s="107" t="n">
        <x:v>0.17</x:v>
      </x:c>
      <x:c r="F717" s="107" t="n">
        <x:v>8.67</x:v>
      </x:c>
    </x:row>
    <x:row r="718" ht="17" customHeight="1">
      <x:c r="A718" s="9" t="str">
        <x:v>2026-11-01</x:v>
      </x:c>
      <x:c r="B718" s="9" t="str">
        <x:v>Forecast</x:v>
      </x:c>
      <x:c r="C718" s="9" t="str">
        <x:v>Operations</x:v>
      </x:c>
      <x:c r="D718" s="107" t="n">
        <x:v>1.76</x:v>
      </x:c>
      <x:c r="E718" s="107" t="n">
        <x:v>0.22083333</x:v>
      </x:c>
      <x:c r="F718" s="107" t="n">
        <x:v>27.97916667</x:v>
      </x:c>
    </x:row>
    <x:row r="719" ht="17" customHeight="1">
      <x:c r="A719" s="9" t="str">
        <x:v>2026-11-01</x:v>
      </x:c>
      <x:c r="B719" s="9" t="str">
        <x:v>Forecast</x:v>
      </x:c>
      <x:c r="C719" s="9" t="str">
        <x:v>Sales</x:v>
      </x:c>
      <x:c r="D719" s="107" t="n">
        <x:v>0</x:v>
      </x:c>
      <x:c r="E719" s="107" t="n">
        <x:v>0.24166667</x:v>
      </x:c>
      <x:c r="F719" s="107" t="n">
        <x:v>8.4025</x:v>
      </x:c>
    </x:row>
    <x:row r="720" ht="17" customHeight="1">
      <x:c r="A720" s="9" t="str">
        <x:v>2026-11-01</x:v>
      </x:c>
      <x:c r="B720" s="9" t="str">
        <x:v>Forecast</x:v>
      </x:c>
      <x:c r="C720" s="9" t="str">
        <x:v>Technology</x:v>
      </x:c>
      <x:c r="D720" s="107" t="n">
        <x:v>0</x:v>
      </x:c>
      <x:c r="E720" s="107" t="n">
        <x:v>0.6947916700000001</x:v>
      </x:c>
      <x:c r="F720" s="107" t="n">
        <x:v>18.25</x:v>
      </x:c>
    </x:row>
    <x:row r="721" ht="17" customHeight="1">
      <x:c r="A721" s="9" t="str">
        <x:v>2026-12-01</x:v>
      </x:c>
      <x:c r="B721" s="9" t="str">
        <x:v>Forecast</x:v>
      </x:c>
      <x:c r="C721" s="9" t="str">
        <x:v>Customer Success</x:v>
      </x:c>
      <x:c r="D721" s="107" t="n">
        <x:v>1.20555556</x:v>
      </x:c>
      <x:c r="E721" s="107" t="n">
        <x:v>0.19479167</x:v>
      </x:c>
      <x:c r="F721" s="107" t="n">
        <x:v>16.49895833</x:v>
      </x:c>
    </x:row>
    <x:row r="722" ht="17" customHeight="1">
      <x:c r="A722" s="9" t="str">
        <x:v>2026-12-01</x:v>
      </x:c>
      <x:c r="B722" s="9" t="str">
        <x:v>Forecast</x:v>
      </x:c>
      <x:c r="C722" s="9" t="str">
        <x:v>Finance &amp; Corporate</x:v>
      </x:c>
      <x:c r="D722" s="107" t="n">
        <x:v>0</x:v>
      </x:c>
      <x:c r="E722" s="107" t="n">
        <x:v>0.17</x:v>
      </x:c>
      <x:c r="F722" s="107" t="n">
        <x:v>8.5</x:v>
      </x:c>
    </x:row>
    <x:row r="723" ht="17" customHeight="1">
      <x:c r="A723" s="9" t="str">
        <x:v>2026-12-01</x:v>
      </x:c>
      <x:c r="B723" s="9" t="str">
        <x:v>Forecast</x:v>
      </x:c>
      <x:c r="C723" s="9" t="str">
        <x:v>Operations</x:v>
      </x:c>
      <x:c r="D723" s="107" t="n">
        <x:v>1.76</x:v>
      </x:c>
      <x:c r="E723" s="107" t="n">
        <x:v>0.22083333</x:v>
      </x:c>
      <x:c r="F723" s="107" t="n">
        <x:v>27.75833333</x:v>
      </x:c>
    </x:row>
    <x:row r="724" ht="17" customHeight="1">
      <x:c r="A724" s="9" t="str">
        <x:v>2026-12-01</x:v>
      </x:c>
      <x:c r="B724" s="9" t="str">
        <x:v>Forecast</x:v>
      </x:c>
      <x:c r="C724" s="9" t="str">
        <x:v>Sales</x:v>
      </x:c>
      <x:c r="D724" s="107" t="n">
        <x:v>0</x:v>
      </x:c>
      <x:c r="E724" s="107" t="n">
        <x:v>0.24166667</x:v>
      </x:c>
      <x:c r="F724" s="107" t="n">
        <x:v>8.16083333</x:v>
      </x:c>
    </x:row>
    <x:row r="725" ht="17" customHeight="1">
      <x:c r="A725" s="9" t="str">
        <x:v>2026-12-01</x:v>
      </x:c>
      <x:c r="B725" s="9" t="str">
        <x:v>Forecast</x:v>
      </x:c>
      <x:c r="C725" s="9" t="str">
        <x:v>Technology</x:v>
      </x:c>
      <x:c r="D725" s="107" t="n">
        <x:v>0</x:v>
      </x:c>
      <x:c r="E725" s="107" t="n">
        <x:v>0.6947916700000001</x:v>
      </x:c>
      <x:c r="F725" s="107" t="n">
        <x:v>17.55520833</x:v>
      </x:c>
    </x:row>
    <x:row r="726" ht="17" customHeight="1">
      <x:c r="A726" s="9" t="str">
        <x:v>2027-01-01</x:v>
      </x:c>
      <x:c r="B726" s="9" t="str">
        <x:v>Forecast</x:v>
      </x:c>
      <x:c r="C726" s="9" t="str">
        <x:v>Customer Success</x:v>
      </x:c>
      <x:c r="D726" s="107" t="n">
        <x:v>1.20555556</x:v>
      </x:c>
      <x:c r="E726" s="107" t="n">
        <x:v>0.19479167</x:v>
      </x:c>
      <x:c r="F726" s="107" t="n">
        <x:v>16.30416667</x:v>
      </x:c>
    </x:row>
    <x:row r="727" ht="17" customHeight="1">
      <x:c r="A727" s="9" t="str">
        <x:v>2027-01-01</x:v>
      </x:c>
      <x:c r="B727" s="9" t="str">
        <x:v>Forecast</x:v>
      </x:c>
      <x:c r="C727" s="9" t="str">
        <x:v>Finance &amp; Corporate</x:v>
      </x:c>
      <x:c r="D727" s="107" t="n">
        <x:v>0</x:v>
      </x:c>
      <x:c r="E727" s="107" t="n">
        <x:v>0.17</x:v>
      </x:c>
      <x:c r="F727" s="107" t="n">
        <x:v>8.33</x:v>
      </x:c>
    </x:row>
    <x:row r="728" ht="17" customHeight="1">
      <x:c r="A728" s="9" t="str">
        <x:v>2027-01-01</x:v>
      </x:c>
      <x:c r="B728" s="9" t="str">
        <x:v>Forecast</x:v>
      </x:c>
      <x:c r="C728" s="9" t="str">
        <x:v>Operations</x:v>
      </x:c>
      <x:c r="D728" s="107" t="n">
        <x:v>1.76</x:v>
      </x:c>
      <x:c r="E728" s="107" t="n">
        <x:v>0.46527777000000003</x:v>
      </x:c>
      <x:c r="F728" s="107" t="n">
        <x:v>27.29305556</x:v>
      </x:c>
    </x:row>
    <x:row r="729" ht="17" customHeight="1">
      <x:c r="A729" s="9" t="str">
        <x:v>2027-01-01</x:v>
      </x:c>
      <x:c r="B729" s="9" t="str">
        <x:v>Forecast</x:v>
      </x:c>
      <x:c r="C729" s="9" t="str">
        <x:v>Sales</x:v>
      </x:c>
      <x:c r="D729" s="107" t="n">
        <x:v>0</x:v>
      </x:c>
      <x:c r="E729" s="107" t="n">
        <x:v>0.24166667</x:v>
      </x:c>
      <x:c r="F729" s="107" t="n">
        <x:v>7.91916667</x:v>
      </x:c>
    </x:row>
    <x:row r="730" ht="17" customHeight="1">
      <x:c r="A730" s="9" t="str">
        <x:v>2027-01-01</x:v>
      </x:c>
      <x:c r="B730" s="9" t="str">
        <x:v>Forecast</x:v>
      </x:c>
      <x:c r="C730" s="9" t="str">
        <x:v>Technology</x:v>
      </x:c>
      <x:c r="D730" s="107" t="n">
        <x:v>0</x:v>
      </x:c>
      <x:c r="E730" s="107" t="n">
        <x:v>0.6947916700000001</x:v>
      </x:c>
      <x:c r="F730" s="107" t="n">
        <x:v>16.860416670000003</x:v>
      </x:c>
    </x:row>
    <x:row r="731" ht="17" customHeight="1">
      <x:c r="A731" s="9" t="str">
        <x:v>2027-02-01</x:v>
      </x:c>
      <x:c r="B731" s="9" t="str">
        <x:v>Forecast</x:v>
      </x:c>
      <x:c r="C731" s="9" t="str">
        <x:v>Customer Success</x:v>
      </x:c>
      <x:c r="D731" s="107" t="n">
        <x:v>1.20555556</x:v>
      </x:c>
      <x:c r="E731" s="107" t="n">
        <x:v>0.19479167</x:v>
      </x:c>
      <x:c r="F731" s="107" t="n">
        <x:v>16.109375</x:v>
      </x:c>
    </x:row>
    <x:row r="732" ht="17" customHeight="1">
      <x:c r="A732" s="9" t="str">
        <x:v>2027-02-01</x:v>
      </x:c>
      <x:c r="B732" s="9" t="str">
        <x:v>Forecast</x:v>
      </x:c>
      <x:c r="C732" s="9" t="str">
        <x:v>Finance &amp; Corporate</x:v>
      </x:c>
      <x:c r="D732" s="107" t="n">
        <x:v>0</x:v>
      </x:c>
      <x:c r="E732" s="107" t="n">
        <x:v>0.17</x:v>
      </x:c>
      <x:c r="F732" s="107" t="n">
        <x:v>8.16</x:v>
      </x:c>
    </x:row>
    <x:row r="733" ht="17" customHeight="1">
      <x:c r="A733" s="9" t="str">
        <x:v>2027-02-01</x:v>
      </x:c>
      <x:c r="B733" s="9" t="str">
        <x:v>Forecast</x:v>
      </x:c>
      <x:c r="C733" s="9" t="str">
        <x:v>Operations</x:v>
      </x:c>
      <x:c r="D733" s="107" t="n">
        <x:v>0</x:v>
      </x:c>
      <x:c r="E733" s="107" t="n">
        <x:v>0.46527777000000003</x:v>
      </x:c>
      <x:c r="F733" s="107" t="n">
        <x:v>26.82777778</x:v>
      </x:c>
    </x:row>
    <x:row r="734" ht="17" customHeight="1">
      <x:c r="A734" s="9" t="str">
        <x:v>2027-02-01</x:v>
      </x:c>
      <x:c r="B734" s="9" t="str">
        <x:v>Forecast</x:v>
      </x:c>
      <x:c r="C734" s="9" t="str">
        <x:v>Sales</x:v>
      </x:c>
      <x:c r="D734" s="107" t="n">
        <x:v>0</x:v>
      </x:c>
      <x:c r="E734" s="107" t="n">
        <x:v>0.24166667</x:v>
      </x:c>
      <x:c r="F734" s="107" t="n">
        <x:v>7.6775</x:v>
      </x:c>
    </x:row>
    <x:row r="735" ht="17" customHeight="1">
      <x:c r="A735" s="9" t="str">
        <x:v>2027-02-01</x:v>
      </x:c>
      <x:c r="B735" s="9" t="str">
        <x:v>Forecast</x:v>
      </x:c>
      <x:c r="C735" s="9" t="str">
        <x:v>Technology</x:v>
      </x:c>
      <x:c r="D735" s="107" t="n">
        <x:v>0</x:v>
      </x:c>
      <x:c r="E735" s="107" t="n">
        <x:v>0.6947916700000001</x:v>
      </x:c>
      <x:c r="F735" s="107" t="n">
        <x:v>16.165625</x:v>
      </x:c>
    </x:row>
    <x:row r="736" ht="17" customHeight="1">
      <x:c r="A736" s="9" t="str">
        <x:v>2027-03-01</x:v>
      </x:c>
      <x:c r="B736" s="9" t="str">
        <x:v>Forecast</x:v>
      </x:c>
      <x:c r="C736" s="9" t="str">
        <x:v>Customer Success</x:v>
      </x:c>
      <x:c r="D736" s="107" t="n">
        <x:v>1.20555556</x:v>
      </x:c>
      <x:c r="E736" s="107" t="n">
        <x:v>0.42083334</x:v>
      </x:c>
      <x:c r="F736" s="107" t="n">
        <x:v>15.68854166</x:v>
      </x:c>
    </x:row>
    <x:row r="737" ht="17" customHeight="1">
      <x:c r="A737" s="9" t="str">
        <x:v>2027-03-01</x:v>
      </x:c>
      <x:c r="B737" s="9" t="str">
        <x:v>Forecast</x:v>
      </x:c>
      <x:c r="C737" s="9" t="str">
        <x:v>Finance &amp; Corporate</x:v>
      </x:c>
      <x:c r="D737" s="107" t="n">
        <x:v>0</x:v>
      </x:c>
      <x:c r="E737" s="107" t="n">
        <x:v>0.17</x:v>
      </x:c>
      <x:c r="F737" s="107" t="n">
        <x:v>7.99</x:v>
      </x:c>
    </x:row>
    <x:row r="738" ht="17" customHeight="1">
      <x:c r="A738" s="9" t="str">
        <x:v>2027-03-01</x:v>
      </x:c>
      <x:c r="B738" s="9" t="str">
        <x:v>Forecast</x:v>
      </x:c>
      <x:c r="C738" s="9" t="str">
        <x:v>Operations</x:v>
      </x:c>
      <x:c r="D738" s="107" t="n">
        <x:v>0</x:v>
      </x:c>
      <x:c r="E738" s="107" t="n">
        <x:v>0.46527777000000003</x:v>
      </x:c>
      <x:c r="F738" s="107" t="n">
        <x:v>26.3625</x:v>
      </x:c>
    </x:row>
    <x:row r="739" ht="17" customHeight="1">
      <x:c r="A739" s="9" t="str">
        <x:v>2027-03-01</x:v>
      </x:c>
      <x:c r="B739" s="9" t="str">
        <x:v>Forecast</x:v>
      </x:c>
      <x:c r="C739" s="9" t="str">
        <x:v>Sales</x:v>
      </x:c>
      <x:c r="D739" s="107" t="n">
        <x:v>0</x:v>
      </x:c>
      <x:c r="E739" s="107" t="n">
        <x:v>0.24166667</x:v>
      </x:c>
      <x:c r="F739" s="107" t="n">
        <x:v>7.43583333</x:v>
      </x:c>
    </x:row>
    <x:row r="740" ht="17" customHeight="1">
      <x:c r="A740" s="9" t="str">
        <x:v>2027-03-01</x:v>
      </x:c>
      <x:c r="B740" s="9" t="str">
        <x:v>Forecast</x:v>
      </x:c>
      <x:c r="C740" s="9" t="str">
        <x:v>Technology</x:v>
      </x:c>
      <x:c r="D740" s="107" t="n">
        <x:v>0</x:v>
      </x:c>
      <x:c r="E740" s="107" t="n">
        <x:v>0.6947916700000001</x:v>
      </x:c>
      <x:c r="F740" s="107" t="n">
        <x:v>15.47083333</x:v>
      </x:c>
    </x:row>
    <x:row r="741" ht="17" customHeight="1">
      <x:c r="A741" s="9" t="str">
        <x:v>2027-04-01</x:v>
      </x:c>
      <x:c r="B741" s="9" t="str">
        <x:v>Forecast</x:v>
      </x:c>
      <x:c r="C741" s="9" t="str">
        <x:v>Customer Success</x:v>
      </x:c>
      <x:c r="D741" s="107" t="n">
        <x:v>0</x:v>
      </x:c>
      <x:c r="E741" s="107" t="n">
        <x:v>0.42083334</x:v>
      </x:c>
      <x:c r="F741" s="107" t="n">
        <x:v>15.26770834</x:v>
      </x:c>
    </x:row>
    <x:row r="742" ht="17" customHeight="1">
      <x:c r="A742" s="9" t="str">
        <x:v>2027-04-01</x:v>
      </x:c>
      <x:c r="B742" s="9" t="str">
        <x:v>Forecast</x:v>
      </x:c>
      <x:c r="C742" s="9" t="str">
        <x:v>Finance &amp; Corporate</x:v>
      </x:c>
      <x:c r="D742" s="107" t="n">
        <x:v>0</x:v>
      </x:c>
      <x:c r="E742" s="107" t="n">
        <x:v>0.17</x:v>
      </x:c>
      <x:c r="F742" s="107" t="n">
        <x:v>7.82</x:v>
      </x:c>
    </x:row>
    <x:row r="743" ht="17" customHeight="1">
      <x:c r="A743" s="9" t="str">
        <x:v>2027-04-01</x:v>
      </x:c>
      <x:c r="B743" s="9" t="str">
        <x:v>Forecast</x:v>
      </x:c>
      <x:c r="C743" s="9" t="str">
        <x:v>Operations</x:v>
      </x:c>
      <x:c r="D743" s="107" t="n">
        <x:v>0</x:v>
      </x:c>
      <x:c r="E743" s="107" t="n">
        <x:v>0.46527777000000003</x:v>
      </x:c>
      <x:c r="F743" s="107" t="n">
        <x:v>25.89722222</x:v>
      </x:c>
    </x:row>
    <x:row r="744" ht="17" customHeight="1">
      <x:c r="A744" s="9" t="str">
        <x:v>2027-04-01</x:v>
      </x:c>
      <x:c r="B744" s="9" t="str">
        <x:v>Forecast</x:v>
      </x:c>
      <x:c r="C744" s="9" t="str">
        <x:v>Sales</x:v>
      </x:c>
      <x:c r="D744" s="107" t="n">
        <x:v>0</x:v>
      </x:c>
      <x:c r="E744" s="107" t="n">
        <x:v>0.24166667</x:v>
      </x:c>
      <x:c r="F744" s="107" t="n">
        <x:v>7.1941666699999995</x:v>
      </x:c>
    </x:row>
    <x:row r="745" ht="17" customHeight="1">
      <x:c r="A745" s="9" t="str">
        <x:v>2027-04-01</x:v>
      </x:c>
      <x:c r="B745" s="9" t="str">
        <x:v>Forecast</x:v>
      </x:c>
      <x:c r="C745" s="9" t="str">
        <x:v>Technology</x:v>
      </x:c>
      <x:c r="D745" s="107" t="n">
        <x:v>0</x:v>
      </x:c>
      <x:c r="E745" s="107" t="n">
        <x:v>0.6947916700000001</x:v>
      </x:c>
      <x:c r="F745" s="107" t="n">
        <x:v>14.77604167</x:v>
      </x:c>
    </x:row>
    <x:row r="746" ht="17" customHeight="1">
      <x:c r="A746" s="9" t="str">
        <x:v>2027-05-01</x:v>
      </x:c>
      <x:c r="B746" s="9" t="str">
        <x:v>Forecast</x:v>
      </x:c>
      <x:c r="C746" s="9" t="str">
        <x:v>Customer Success</x:v>
      </x:c>
      <x:c r="D746" s="107" t="n">
        <x:v>0</x:v>
      </x:c>
      <x:c r="E746" s="107" t="n">
        <x:v>0.42083334</x:v>
      </x:c>
      <x:c r="F746" s="107" t="n">
        <x:v>14.846875</x:v>
      </x:c>
    </x:row>
    <x:row r="747" ht="17" customHeight="1">
      <x:c r="A747" s="9" t="str">
        <x:v>2027-05-01</x:v>
      </x:c>
      <x:c r="B747" s="9" t="str">
        <x:v>Forecast</x:v>
      </x:c>
      <x:c r="C747" s="9" t="str">
        <x:v>Finance &amp; Corporate</x:v>
      </x:c>
      <x:c r="D747" s="107" t="n">
        <x:v>0</x:v>
      </x:c>
      <x:c r="E747" s="107" t="n">
        <x:v>0.17</x:v>
      </x:c>
      <x:c r="F747" s="107" t="n">
        <x:v>7.65</x:v>
      </x:c>
    </x:row>
    <x:row r="748" ht="17" customHeight="1">
      <x:c r="A748" s="9" t="str">
        <x:v>2027-05-01</x:v>
      </x:c>
      <x:c r="B748" s="9" t="str">
        <x:v>Forecast</x:v>
      </x:c>
      <x:c r="C748" s="9" t="str">
        <x:v>Operations</x:v>
      </x:c>
      <x:c r="D748" s="107" t="n">
        <x:v>0</x:v>
      </x:c>
      <x:c r="E748" s="107" t="n">
        <x:v>0.46527777000000003</x:v>
      </x:c>
      <x:c r="F748" s="107" t="n">
        <x:v>25.43194445</x:v>
      </x:c>
    </x:row>
    <x:row r="749" ht="17" customHeight="1">
      <x:c r="A749" s="9" t="str">
        <x:v>2027-05-01</x:v>
      </x:c>
      <x:c r="B749" s="9" t="str">
        <x:v>Forecast</x:v>
      </x:c>
      <x:c r="C749" s="9" t="str">
        <x:v>Sales</x:v>
      </x:c>
      <x:c r="D749" s="107" t="n">
        <x:v>0</x:v>
      </x:c>
      <x:c r="E749" s="107" t="n">
        <x:v>0.24166667</x:v>
      </x:c>
      <x:c r="F749" s="107" t="n">
        <x:v>6.9525</x:v>
      </x:c>
    </x:row>
    <x:row r="750" ht="17" customHeight="1">
      <x:c r="A750" s="9" t="str">
        <x:v>2027-05-01</x:v>
      </x:c>
      <x:c r="B750" s="9" t="str">
        <x:v>Forecast</x:v>
      </x:c>
      <x:c r="C750" s="9" t="str">
        <x:v>Technology</x:v>
      </x:c>
      <x:c r="D750" s="107" t="n">
        <x:v>0</x:v>
      </x:c>
      <x:c r="E750" s="107" t="n">
        <x:v>0.6947916700000001</x:v>
      </x:c>
      <x:c r="F750" s="107" t="n">
        <x:v>14.08125</x:v>
      </x:c>
    </x:row>
    <x:row r="751" ht="17" customHeight="1">
      <x:c r="A751" s="9" t="str">
        <x:v>2027-06-01</x:v>
      </x:c>
      <x:c r="B751" s="9" t="str">
        <x:v>Forecast</x:v>
      </x:c>
      <x:c r="C751" s="9" t="str">
        <x:v>Customer Success</x:v>
      </x:c>
      <x:c r="D751" s="107" t="n">
        <x:v>0</x:v>
      </x:c>
      <x:c r="E751" s="107" t="n">
        <x:v>0.42083334</x:v>
      </x:c>
      <x:c r="F751" s="107" t="n">
        <x:v>14.426041660000001</x:v>
      </x:c>
    </x:row>
    <x:row r="752" ht="17" customHeight="1">
      <x:c r="A752" s="9" t="str">
        <x:v>2027-06-01</x:v>
      </x:c>
      <x:c r="B752" s="9" t="str">
        <x:v>Forecast</x:v>
      </x:c>
      <x:c r="C752" s="9" t="str">
        <x:v>Finance &amp; Corporate</x:v>
      </x:c>
      <x:c r="D752" s="107" t="n">
        <x:v>0</x:v>
      </x:c>
      <x:c r="E752" s="107" t="n">
        <x:v>0.17</x:v>
      </x:c>
      <x:c r="F752" s="107" t="n">
        <x:v>7.48</x:v>
      </x:c>
    </x:row>
    <x:row r="753" ht="17" customHeight="1">
      <x:c r="A753" s="9" t="str">
        <x:v>2027-06-01</x:v>
      </x:c>
      <x:c r="B753" s="9" t="str">
        <x:v>Forecast</x:v>
      </x:c>
      <x:c r="C753" s="9" t="str">
        <x:v>Operations</x:v>
      </x:c>
      <x:c r="D753" s="107" t="n">
        <x:v>0</x:v>
      </x:c>
      <x:c r="E753" s="107" t="n">
        <x:v>0.46527777000000003</x:v>
      </x:c>
      <x:c r="F753" s="107" t="n">
        <x:v>24.96666666</x:v>
      </x:c>
    </x:row>
    <x:row r="754" ht="17" customHeight="1">
      <x:c r="A754" s="9" t="str">
        <x:v>2027-06-01</x:v>
      </x:c>
      <x:c r="B754" s="9" t="str">
        <x:v>Forecast</x:v>
      </x:c>
      <x:c r="C754" s="9" t="str">
        <x:v>Sales</x:v>
      </x:c>
      <x:c r="D754" s="107" t="n">
        <x:v>0</x:v>
      </x:c>
      <x:c r="E754" s="107" t="n">
        <x:v>0.24166667</x:v>
      </x:c>
      <x:c r="F754" s="107" t="n">
        <x:v>6.71083333</x:v>
      </x:c>
    </x:row>
    <x:row r="755" ht="17" customHeight="1">
      <x:c r="A755" s="9" t="str">
        <x:v>2027-06-01</x:v>
      </x:c>
      <x:c r="B755" s="9" t="str">
        <x:v>Forecast</x:v>
      </x:c>
      <x:c r="C755" s="9" t="str">
        <x:v>Technology</x:v>
      </x:c>
      <x:c r="D755" s="107" t="n">
        <x:v>0</x:v>
      </x:c>
      <x:c r="E755" s="107" t="n">
        <x:v>0.525</x:v>
      </x:c>
      <x:c r="F755" s="107" t="n">
        <x:v>21.70625</x:v>
      </x:c>
    </x:row>
  </x:sheetData>
  <x:mergeCells>
    <x:mergeCell ref="A1:F2"/>
    <x:mergeCell ref="A3:F3"/>
  </x:mergeCells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0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5" hidden="0" customWidth="1"/>
  </x:cols>
  <x:sheetData>
    <x:row r="1" ht="25" customHeight="1">
      <x:c r="A1" s="3" t="str">
        <x:v>Forecast Model Data</x:v>
      </x:c>
      <x:c r="B1" s="3"/>
      <x:c r="C1" s="3"/>
      <x:c r="D1" s="3"/>
      <x:c r="E1" s="3"/>
      <x:c r="F1" s="3"/>
      <x:c r="G1" s="3"/>
      <x:c r="H1" s="3"/>
    </x:row>
    <x:row r="2" ht="25" customHeight="1">
      <x:c r="A2" s="3"/>
      <x:c r="B2" s="3"/>
      <x:c r="C2" s="3"/>
      <x:c r="D2" s="3"/>
      <x:c r="E2" s="3"/>
      <x:c r="F2" s="3"/>
      <x:c r="G2" s="3"/>
      <x:c r="H2" s="3"/>
    </x:row>
    <x:row r="3" ht="25" customHeight="1">
      <x:c r="A3" s="6" t="str">
        <x:v>Backtest metrics and champion model flags</x:v>
      </x:c>
      <x:c r="B3" s="6"/>
      <x:c r="C3" s="6"/>
      <x:c r="D3" s="6"/>
      <x:c r="E3" s="6"/>
      <x:c r="F3" s="6"/>
      <x:c r="G3" s="6"/>
      <x:c r="H3" s="6"/>
    </x:row>
    <x:row r="5" ht="17" customHeight="1">
      <x:c r="A5" s="13" t="str">
        <x:v>BusinessUnit</x:v>
      </x:c>
      <x:c r="B5" s="13" t="str">
        <x:v>Model</x:v>
      </x:c>
      <x:c r="C5" s="13" t="str">
        <x:v>MAE</x:v>
      </x:c>
      <x:c r="D5" s="13" t="str">
        <x:v>RMSE</x:v>
      </x:c>
      <x:c r="E5" s="13" t="str">
        <x:v>WAPE</x:v>
      </x:c>
      <x:c r="F5" s="13" t="str">
        <x:v>Bias</x:v>
      </x:c>
      <x:c r="G5" s="13" t="str">
        <x:v>Score</x:v>
      </x:c>
      <x:c r="H5" s="13" t="str">
        <x:v>ChampionFlag</x:v>
      </x:c>
    </x:row>
    <x:row r="6" ht="17" customHeight="1">
      <x:c r="A6" s="9" t="str">
        <x:v>Digital Commerce</x:v>
      </x:c>
      <x:c r="B6" s="9" t="str">
        <x:v>Linear Trend + Seasonality</x:v>
      </x:c>
      <x:c r="C6" s="107" t="n">
        <x:v>0.602433286111</x:v>
      </x:c>
      <x:c r="D6" s="107" t="n">
        <x:v>0.8892960877920001</x:v>
      </x:c>
      <x:c r="E6" s="108" t="n">
        <x:v>0.00996</x:v>
      </x:c>
      <x:c r="F6" s="108" t="n">
        <x:v>-0.008097</x:v>
      </x:c>
      <x:c r="G6" s="108" t="n">
        <x:v>0.012389</x:v>
      </x:c>
      <x:c r="H6" s="17" t="b">
        <x:v>1</x:v>
      </x:c>
    </x:row>
    <x:row r="7" ht="17" customHeight="1">
      <x:c r="A7" s="9" t="str">
        <x:v>Digital Commerce</x:v>
      </x:c>
      <x:c r="B7" s="9" t="str">
        <x:v>Log-Ridge Seasonal</x:v>
      </x:c>
      <x:c r="C7" s="107" t="n">
        <x:v>2.654047742423</x:v>
      </x:c>
      <x:c r="D7" s="107" t="n">
        <x:v>3.534939991091</x:v>
      </x:c>
      <x:c r="E7" s="108" t="n">
        <x:v>0.043881</x:v>
      </x:c>
      <x:c r="F7" s="108" t="n">
        <x:v>0.043881</x:v>
      </x:c>
      <x:c r="G7" s="108" t="n">
        <x:v>0.057045</x:v>
      </x:c>
      <x:c r="H7" s="17" t="b">
        <x:v>0</x:v>
      </x:c>
    </x:row>
    <x:row r="8" ht="17" customHeight="1">
      <x:c r="A8" s="9" t="str">
        <x:v>Digital Commerce</x:v>
      </x:c>
      <x:c r="B8" s="9" t="str">
        <x:v>Seasonal Naive</x:v>
      </x:c>
      <x:c r="C8" s="107" t="n">
        <x:v>7.99976103</x:v>
      </x:c>
      <x:c r="D8" s="107" t="n">
        <x:v>8.046068940876</x:v>
      </x:c>
      <x:c r="E8" s="108" t="n">
        <x:v>0.132264</x:v>
      </x:c>
      <x:c r="F8" s="108" t="n">
        <x:v>-0.132264</x:v>
      </x:c>
      <x:c r="G8" s="108" t="n">
        <x:v>0.171944</x:v>
      </x:c>
      <x:c r="H8" s="17" t="b">
        <x:v>0</x:v>
      </x:c>
    </x:row>
    <x:row r="9" ht="17" customHeight="1">
      <x:c r="A9" s="9" t="str">
        <x:v>Digital Commerce</x:v>
      </x:c>
      <x:c r="B9" s="9" t="str">
        <x:v>Gradient Boosting</x:v>
      </x:c>
      <x:c r="C9" s="107" t="n">
        <x:v>9.467474176666999</x:v>
      </x:c>
      <x:c r="D9" s="107" t="n">
        <x:v>10.372848684739</x:v>
      </x:c>
      <x:c r="E9" s="108" t="n">
        <x:v>0.156531</x:v>
      </x:c>
      <x:c r="F9" s="108" t="n">
        <x:v>-0.156531</x:v>
      </x:c>
      <x:c r="G9" s="108" t="n">
        <x:v>0.20349</x:v>
      </x:c>
      <x:c r="H9" s="17" t="b">
        <x:v>0</x:v>
      </x:c>
    </x:row>
    <x:row r="10" ht="17" customHeight="1">
      <x:c r="A10" s="9" t="str">
        <x:v>Retail Stores</x:v>
      </x:c>
      <x:c r="B10" s="9" t="str">
        <x:v>Linear Trend + Seasonality</x:v>
      </x:c>
      <x:c r="C10" s="107" t="n">
        <x:v>1.0113272213889999</x:v>
      </x:c>
      <x:c r="D10" s="107" t="n">
        <x:v>1.227430260041</x:v>
      </x:c>
      <x:c r="E10" s="108" t="n">
        <x:v>0.028352</x:v>
      </x:c>
      <x:c r="F10" s="108" t="n">
        <x:v>0.028352</x:v>
      </x:c>
      <x:c r="G10" s="108" t="n">
        <x:v>0.036858</x:v>
      </x:c>
      <x:c r="H10" s="17" t="b">
        <x:v>1</x:v>
      </x:c>
    </x:row>
    <x:row r="11" ht="17" customHeight="1">
      <x:c r="A11" s="9" t="str">
        <x:v>Retail Stores</x:v>
      </x:c>
      <x:c r="B11" s="9" t="str">
        <x:v>Log-Ridge Seasonal</x:v>
      </x:c>
      <x:c r="C11" s="107" t="n">
        <x:v>1.910160089783</x:v>
      </x:c>
      <x:c r="D11" s="107" t="n">
        <x:v>2.349158483111</x:v>
      </x:c>
      <x:c r="E11" s="108" t="n">
        <x:v>0.053551</x:v>
      </x:c>
      <x:c r="F11" s="108" t="n">
        <x:v>0.053551</x:v>
      </x:c>
      <x:c r="G11" s="108" t="n">
        <x:v>0.069616</x:v>
      </x:c>
      <x:c r="H11" s="17" t="b">
        <x:v>0</x:v>
      </x:c>
    </x:row>
    <x:row r="12" ht="17" customHeight="1">
      <x:c r="A12" s="9" t="str">
        <x:v>Retail Stores</x:v>
      </x:c>
      <x:c r="B12" s="9" t="str">
        <x:v>Seasonal Naive</x:v>
      </x:c>
      <x:c r="C12" s="107" t="n">
        <x:v>2.234133523333</x:v>
      </x:c>
      <x:c r="D12" s="107" t="n">
        <x:v>2.294033546208</x:v>
      </x:c>
      <x:c r="E12" s="108" t="n">
        <x:v>0.062633</x:v>
      </x:c>
      <x:c r="F12" s="108" t="n">
        <x:v>-0.062633</x:v>
      </x:c>
      <x:c r="G12" s="108" t="n">
        <x:v>0.081423</x:v>
      </x:c>
      <x:c r="H12" s="17" t="b">
        <x:v>0</x:v>
      </x:c>
    </x:row>
    <x:row r="13" ht="17" customHeight="1">
      <x:c r="A13" s="9" t="str">
        <x:v>Retail Stores</x:v>
      </x:c>
      <x:c r="B13" s="9" t="str">
        <x:v>Gradient Boosting</x:v>
      </x:c>
      <x:c r="C13" s="107" t="n">
        <x:v>4.428097554907</x:v>
      </x:c>
      <x:c r="D13" s="107" t="n">
        <x:v>5.024319651993</x:v>
      </x:c>
      <x:c r="E13" s="108" t="n">
        <x:v>0.12414</x:v>
      </x:c>
      <x:c r="F13" s="108" t="n">
        <x:v>-0.081043</x:v>
      </x:c>
      <x:c r="G13" s="108" t="n">
        <x:v>0.148453</x:v>
      </x:c>
      <x:c r="H13" s="17" t="b">
        <x:v>0</x:v>
      </x:c>
    </x:row>
    <x:row r="14" ht="17" customHeight="1">
      <x:c r="A14" s="9" t="str">
        <x:v>Subscription Services</x:v>
      </x:c>
      <x:c r="B14" s="9" t="str">
        <x:v>Log-Ridge Seasonal</x:v>
      </x:c>
      <x:c r="C14" s="107" t="n">
        <x:v>0.29627652385</x:v>
      </x:c>
      <x:c r="D14" s="107" t="n">
        <x:v>0.356523632845</x:v>
      </x:c>
      <x:c r="E14" s="108" t="n">
        <x:v>0.036423</x:v>
      </x:c>
      <x:c r="F14" s="108" t="n">
        <x:v>0.015355</x:v>
      </x:c>
      <x:c r="G14" s="108" t="n">
        <x:v>0.041029</x:v>
      </x:c>
      <x:c r="H14" s="17" t="b">
        <x:v>1</x:v>
      </x:c>
    </x:row>
    <x:row r="15" ht="17" customHeight="1">
      <x:c r="A15" s="9" t="str">
        <x:v>Subscription Services</x:v>
      </x:c>
      <x:c r="B15" s="9" t="str">
        <x:v>Linear Trend + Seasonality</x:v>
      </x:c>
      <x:c r="C15" s="107" t="n">
        <x:v>0.281501765</x:v>
      </x:c>
      <x:c r="D15" s="107" t="n">
        <x:v>0.34987898320199995</x:v>
      </x:c>
      <x:c r="E15" s="108" t="n">
        <x:v>0.034606</x:v>
      </x:c>
      <x:c r="F15" s="108" t="n">
        <x:v>-0.032294</x:v>
      </x:c>
      <x:c r="G15" s="108" t="n">
        <x:v>0.044295</x:v>
      </x:c>
      <x:c r="H15" s="17" t="b">
        <x:v>0</x:v>
      </x:c>
    </x:row>
    <x:row r="16" ht="17" customHeight="1">
      <x:c r="A16" s="9" t="str">
        <x:v>Subscription Services</x:v>
      </x:c>
      <x:c r="B16" s="9" t="str">
        <x:v>Seasonal Naive</x:v>
      </x:c>
      <x:c r="C16" s="107" t="n">
        <x:v>1.4403897583329999</x:v>
      </x:c>
      <x:c r="D16" s="107" t="n">
        <x:v>1.4717097476830001</x:v>
      </x:c>
      <x:c r="E16" s="108" t="n">
        <x:v>0.177074</x:v>
      </x:c>
      <x:c r="F16" s="108" t="n">
        <x:v>-0.177074</x:v>
      </x:c>
      <x:c r="G16" s="108" t="n">
        <x:v>0.230196</x:v>
      </x:c>
      <x:c r="H16" s="17" t="b">
        <x:v>0</x:v>
      </x:c>
    </x:row>
    <x:row r="17" ht="17" customHeight="1">
      <x:c r="A17" s="9" t="str">
        <x:v>Subscription Services</x:v>
      </x:c>
      <x:c r="B17" s="9" t="str">
        <x:v>Gradient Boosting</x:v>
      </x:c>
      <x:c r="C17" s="107" t="n">
        <x:v>2.093122629722</x:v>
      </x:c>
      <x:c r="D17" s="107" t="n">
        <x:v>2.10348211118</x:v>
      </x:c>
      <x:c r="E17" s="108" t="n">
        <x:v>0.257318</x:v>
      </x:c>
      <x:c r="F17" s="108" t="n">
        <x:v>-0.257318</x:v>
      </x:c>
      <x:c r="G17" s="108" t="n">
        <x:v>0.334513</x:v>
      </x:c>
      <x:c r="H17" s="17" t="b">
        <x:v>0</x:v>
      </x:c>
    </x:row>
    <x:row r="18" ht="17" customHeight="1">
      <x:c r="A18" s="9" t="str">
        <x:v>Wholesale</x:v>
      </x:c>
      <x:c r="B18" s="9" t="str">
        <x:v>Log-Ridge Seasonal</x:v>
      </x:c>
      <x:c r="C18" s="107" t="n">
        <x:v>0.5876682893130001</x:v>
      </x:c>
      <x:c r="D18" s="107" t="n">
        <x:v>0.680531680561</x:v>
      </x:c>
      <x:c r="E18" s="108" t="n">
        <x:v>0.016772</x:v>
      </x:c>
      <x:c r="F18" s="108" t="n">
        <x:v>-0.004134</x:v>
      </x:c>
      <x:c r="G18" s="108" t="n">
        <x:v>0.018012</x:v>
      </x:c>
      <x:c r="H18" s="17" t="b">
        <x:v>1</x:v>
      </x:c>
    </x:row>
    <x:row r="19" ht="17" customHeight="1">
      <x:c r="A19" s="9" t="str">
        <x:v>Wholesale</x:v>
      </x:c>
      <x:c r="B19" s="9" t="str">
        <x:v>Linear Trend + Seasonality</x:v>
      </x:c>
      <x:c r="C19" s="107" t="n">
        <x:v>0.95534307</x:v>
      </x:c>
      <x:c r="D19" s="107" t="n">
        <x:v>1.098106249172</x:v>
      </x:c>
      <x:c r="E19" s="108" t="n">
        <x:v>0.027265</x:v>
      </x:c>
      <x:c r="F19" s="108" t="n">
        <x:v>-0.00958</x:v>
      </x:c>
      <x:c r="G19" s="108" t="n">
        <x:v>0.030139</x:v>
      </x:c>
      <x:c r="H19" s="17" t="b">
        <x:v>0</x:v>
      </x:c>
    </x:row>
    <x:row r="20" ht="17" customHeight="1">
      <x:c r="A20" s="9" t="str">
        <x:v>Wholesale</x:v>
      </x:c>
      <x:c r="B20" s="9" t="str">
        <x:v>Seasonal Naive</x:v>
      </x:c>
      <x:c r="C20" s="107" t="n">
        <x:v>3.592160828333</x:v>
      </x:c>
      <x:c r="D20" s="107" t="n">
        <x:v>3.738075993199</x:v>
      </x:c>
      <x:c r="E20" s="108" t="n">
        <x:v>0.10252</x:v>
      </x:c>
      <x:c r="F20" s="108" t="n">
        <x:v>-0.10252</x:v>
      </x:c>
      <x:c r="G20" s="108" t="n">
        <x:v>0.133276</x:v>
      </x:c>
      <x:c r="H20" s="17" t="b">
        <x:v>0</x:v>
      </x:c>
    </x:row>
    <x:row r="21" ht="17" customHeight="1">
      <x:c r="A21" s="9" t="str">
        <x:v>Wholesale</x:v>
      </x:c>
      <x:c r="B21" s="9" t="str">
        <x:v>Gradient Boosting</x:v>
      </x:c>
      <x:c r="C21" s="107" t="n">
        <x:v>5.960889738611</x:v>
      </x:c>
      <x:c r="D21" s="107" t="n">
        <x:v>6.505098152169</x:v>
      </x:c>
      <x:c r="E21" s="108" t="n">
        <x:v>0.170123</x:v>
      </x:c>
      <x:c r="F21" s="108" t="n">
        <x:v>-0.170123</x:v>
      </x:c>
      <x:c r="G21" s="108" t="n">
        <x:v>0.22116</x:v>
      </x:c>
      <x:c r="H21" s="17" t="b">
        <x:v>0</x:v>
      </x:c>
    </x:row>
  </x:sheetData>
  <x:mergeCells>
    <x:mergeCell ref="A1:H2"/>
    <x:mergeCell ref="A3:H3"/>
  </x:mergeCells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4" hidden="0" customWidth="1"/>
    <x:col min="3" max="3" width="14" hidden="0" customWidth="1"/>
    <x:col min="4" max="4" width="22" hidden="0" customWidth="1"/>
    <x:col min="5" max="5" width="22" hidden="0" customWidth="1"/>
    <x:col min="6" max="6" width="19" hidden="0" customWidth="1"/>
    <x:col min="7" max="7" width="19" hidden="0" customWidth="1"/>
    <x:col min="8" max="8" width="19" hidden="0" customWidth="1"/>
    <x:col min="9" max="9" width="15" hidden="0" customWidth="1"/>
    <x:col min="10" max="10" width="16" hidden="0" customWidth="1"/>
    <x:col min="11" max="11" width="16" hidden="0" customWidth="1"/>
  </x:cols>
  <x:sheetData>
    <x:row r="1" ht="25" customHeight="1">
      <x:c r="A1" s="3" t="str">
        <x:v>Variance Data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5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3" ht="25" customHeight="1">
      <x:c r="A3" s="6" t="str">
        <x:v>H1 actual, FY forecast and prior-year comparison outputs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</x:row>
    <x:row r="5" ht="17" customHeight="1">
      <x:c r="A5" s="13" t="str">
        <x:v>Comparison</x:v>
      </x:c>
      <x:c r="B5" s="13" t="str">
        <x:v>Metric</x:v>
      </x:c>
      <x:c r="C5" s="13" t="str">
        <x:v>MetricOrder</x:v>
      </x:c>
      <x:c r="D5" s="13" t="str">
        <x:v>CurrentLabel</x:v>
      </x:c>
      <x:c r="E5" s="13" t="str">
        <x:v>ComparatorLabel</x:v>
      </x:c>
      <x:c r="F5" s="13" t="str">
        <x:v>CurrentValueTRY</x:v>
      </x:c>
      <x:c r="G5" s="13" t="str">
        <x:v>ComparatorValueTRY</x:v>
      </x:c>
      <x:c r="H5" s="13" t="str">
        <x:v>VarianceTRY</x:v>
      </x:c>
      <x:c r="I5" s="13" t="str">
        <x:v>VariancePct</x:v>
      </x:c>
      <x:c r="J5" s="13" t="str">
        <x:v>FavorableFlag</x:v>
      </x:c>
      <x:c r="K5" s="13" t="str">
        <x:v>Status</x:v>
      </x:c>
    </x:row>
    <x:row r="6" ht="17" customHeight="1">
      <x:c r="A6" s="9" t="str">
        <x:v>H1 2026 Actual vs Budget</x:v>
      </x:c>
      <x:c r="B6" s="9" t="str">
        <x:v>Revenue</x:v>
      </x:c>
      <x:c r="C6" s="9" t="n">
        <x:v>1</x:v>
      </x:c>
      <x:c r="D6" s="9" t="str">
        <x:v>Actual</x:v>
      </x:c>
      <x:c r="E6" s="9" t="str">
        <x:v>Budget</x:v>
      </x:c>
      <x:c r="F6" s="107" t="n">
        <x:v>835.95805073</x:v>
      </x:c>
      <x:c r="G6" s="107" t="n">
        <x:v>849.20110258</x:v>
      </x:c>
      <x:c r="H6" s="107" t="n">
        <x:v>-13.24305185</x:v>
      </x:c>
      <x:c r="I6" s="108" t="n">
        <x:v>-0.015595</x:v>
      </x:c>
      <x:c r="J6" s="17" t="b">
        <x:v>0</x:v>
      </x:c>
      <x:c r="K6" s="9" t="str">
        <x:v>Unfavorable</x:v>
      </x:c>
    </x:row>
    <x:row r="7" ht="17" customHeight="1">
      <x:c r="A7" s="9" t="str">
        <x:v>H1 2026 Actual vs Budget</x:v>
      </x:c>
      <x:c r="B7" s="9" t="str">
        <x:v>COGS</x:v>
      </x:c>
      <x:c r="C7" s="9" t="n">
        <x:v>2</x:v>
      </x:c>
      <x:c r="D7" s="9" t="str">
        <x:v>Actual</x:v>
      </x:c>
      <x:c r="E7" s="9" t="str">
        <x:v>Budget</x:v>
      </x:c>
      <x:c r="F7" s="107" t="n">
        <x:v>415.71592325</x:v>
      </x:c>
      <x:c r="G7" s="107" t="n">
        <x:v>415.59877091000004</x:v>
      </x:c>
      <x:c r="H7" s="107" t="n">
        <x:v>0.11715234</x:v>
      </x:c>
      <x:c r="I7" s="108" t="n">
        <x:v>0.000282</x:v>
      </x:c>
      <x:c r="J7" s="17" t="b">
        <x:v>0</x:v>
      </x:c>
      <x:c r="K7" s="9" t="str">
        <x:v>Unfavorable</x:v>
      </x:c>
    </x:row>
    <x:row r="8" ht="17" customHeight="1">
      <x:c r="A8" s="9" t="str">
        <x:v>H1 2026 Actual vs Budget</x:v>
      </x:c>
      <x:c r="B8" s="9" t="str">
        <x:v>Gross Profit</x:v>
      </x:c>
      <x:c r="C8" s="9" t="n">
        <x:v>3</x:v>
      </x:c>
      <x:c r="D8" s="9" t="str">
        <x:v>Actual</x:v>
      </x:c>
      <x:c r="E8" s="9" t="str">
        <x:v>Budget</x:v>
      </x:c>
      <x:c r="F8" s="107" t="n">
        <x:v>420.24212748</x:v>
      </x:c>
      <x:c r="G8" s="107" t="n">
        <x:v>433.60233167</x:v>
      </x:c>
      <x:c r="H8" s="107" t="n">
        <x:v>-13.36020419</x:v>
      </x:c>
      <x:c r="I8" s="108" t="n">
        <x:v>-0.030812</x:v>
      </x:c>
      <x:c r="J8" s="17" t="b">
        <x:v>0</x:v>
      </x:c>
      <x:c r="K8" s="9" t="str">
        <x:v>Unfavorable</x:v>
      </x:c>
    </x:row>
    <x:row r="9" ht="17" customHeight="1">
      <x:c r="A9" s="9" t="str">
        <x:v>H1 2026 Actual vs Budget</x:v>
      </x:c>
      <x:c r="B9" s="9" t="str">
        <x:v>Operating Expense</x:v>
      </x:c>
      <x:c r="C9" s="9" t="n">
        <x:v>4</x:v>
      </x:c>
      <x:c r="D9" s="9" t="str">
        <x:v>Actual</x:v>
      </x:c>
      <x:c r="E9" s="9" t="str">
        <x:v>Budget</x:v>
      </x:c>
      <x:c r="F9" s="107" t="n">
        <x:v>363.20367585</x:v>
      </x:c>
      <x:c r="G9" s="107" t="n">
        <x:v>381.70543249</x:v>
      </x:c>
      <x:c r="H9" s="107" t="n">
        <x:v>-18.50175664</x:v>
      </x:c>
      <x:c r="I9" s="108" t="n">
        <x:v>-0.048471</x:v>
      </x:c>
      <x:c r="J9" s="17" t="b">
        <x:v>1</x:v>
      </x:c>
      <x:c r="K9" s="9" t="str">
        <x:v>Favorable</x:v>
      </x:c>
    </x:row>
    <x:row r="10" ht="17" customHeight="1">
      <x:c r="A10" s="9" t="str">
        <x:v>H1 2026 Actual vs Budget</x:v>
      </x:c>
      <x:c r="B10" s="9" t="str">
        <x:v>EBITDA</x:v>
      </x:c>
      <x:c r="C10" s="9" t="n">
        <x:v>5</x:v>
      </x:c>
      <x:c r="D10" s="9" t="str">
        <x:v>Actual</x:v>
      </x:c>
      <x:c r="E10" s="9" t="str">
        <x:v>Budget</x:v>
      </x:c>
      <x:c r="F10" s="107" t="n">
        <x:v>57.038451630000004</x:v>
      </x:c>
      <x:c r="G10" s="107" t="n">
        <x:v>51.89689918</x:v>
      </x:c>
      <x:c r="H10" s="107" t="n">
        <x:v>5.14155245</x:v>
      </x:c>
      <x:c r="I10" s="108" t="n">
        <x:v>0.099072</x:v>
      </x:c>
      <x:c r="J10" s="17" t="b">
        <x:v>1</x:v>
      </x:c>
      <x:c r="K10" s="9" t="str">
        <x:v>Favorable</x:v>
      </x:c>
    </x:row>
    <x:row r="11" ht="17" customHeight="1">
      <x:c r="A11" s="9" t="str">
        <x:v>H1 2026 Actual vs Budget</x:v>
      </x:c>
      <x:c r="B11" s="9" t="str">
        <x:v>Depreciation</x:v>
      </x:c>
      <x:c r="C11" s="9" t="n">
        <x:v>6</x:v>
      </x:c>
      <x:c r="D11" s="9" t="str">
        <x:v>Actual</x:v>
      </x:c>
      <x:c r="E11" s="9" t="str">
        <x:v>Budget</x:v>
      </x:c>
      <x:c r="F11" s="107" t="n">
        <x:v>7.18000004</x:v>
      </x:c>
      <x:c r="G11" s="107" t="n">
        <x:v>7.24166668</x:v>
      </x:c>
      <x:c r="H11" s="107" t="n">
        <x:v>-0.06166664</x:v>
      </x:c>
      <x:c r="I11" s="108" t="n">
        <x:v>-0.008516</x:v>
      </x:c>
      <x:c r="J11" s="17" t="b">
        <x:v>1</x:v>
      </x:c>
      <x:c r="K11" s="9" t="str">
        <x:v>Favorable</x:v>
      </x:c>
    </x:row>
    <x:row r="12" ht="17" customHeight="1">
      <x:c r="A12" s="9" t="str">
        <x:v>H1 2026 Actual vs Budget</x:v>
      </x:c>
      <x:c r="B12" s="9" t="str">
        <x:v>EBIT</x:v>
      </x:c>
      <x:c r="C12" s="9" t="n">
        <x:v>7</x:v>
      </x:c>
      <x:c r="D12" s="9" t="str">
        <x:v>Actual</x:v>
      </x:c>
      <x:c r="E12" s="9" t="str">
        <x:v>Budget</x:v>
      </x:c>
      <x:c r="F12" s="107" t="n">
        <x:v>49.85845159</x:v>
      </x:c>
      <x:c r="G12" s="107" t="n">
        <x:v>44.6552325</x:v>
      </x:c>
      <x:c r="H12" s="107" t="n">
        <x:v>5.20321909</x:v>
      </x:c>
      <x:c r="I12" s="108" t="n">
        <x:v>0.11652</x:v>
      </x:c>
      <x:c r="J12" s="17" t="b">
        <x:v>1</x:v>
      </x:c>
      <x:c r="K12" s="9" t="str">
        <x:v>Favorable</x:v>
      </x:c>
    </x:row>
    <x:row r="13" ht="17" customHeight="1">
      <x:c r="A13" s="9" t="str">
        <x:v>H1 2026 Actual vs Budget</x:v>
      </x:c>
      <x:c r="B13" s="9" t="str">
        <x:v>Interest</x:v>
      </x:c>
      <x:c r="C13" s="9" t="n">
        <x:v>8</x:v>
      </x:c>
      <x:c r="D13" s="9" t="str">
        <x:v>Actual</x:v>
      </x:c>
      <x:c r="E13" s="9" t="str">
        <x:v>Budget</x:v>
      </x:c>
      <x:c r="F13" s="107" t="n">
        <x:v>3.00136032</x:v>
      </x:c>
      <x:c r="G13" s="107" t="n">
        <x:v>2.71821312</x:v>
      </x:c>
      <x:c r="H13" s="107" t="n">
        <x:v>0.2831472</x:v>
      </x:c>
      <x:c r="I13" s="108" t="n">
        <x:v>0.104167</x:v>
      </x:c>
      <x:c r="J13" s="17" t="b">
        <x:v>0</x:v>
      </x:c>
      <x:c r="K13" s="9" t="str">
        <x:v>Unfavorable</x:v>
      </x:c>
    </x:row>
    <x:row r="14" ht="17" customHeight="1">
      <x:c r="A14" s="9" t="str">
        <x:v>H1 2026 Actual vs Budget</x:v>
      </x:c>
      <x:c r="B14" s="9" t="str">
        <x:v>Tax</x:v>
      </x:c>
      <x:c r="C14" s="9" t="n">
        <x:v>9</x:v>
      </x:c>
      <x:c r="D14" s="9" t="str">
        <x:v>Actual</x:v>
      </x:c>
      <x:c r="E14" s="9" t="str">
        <x:v>Budget</x:v>
      </x:c>
      <x:c r="F14" s="107" t="n">
        <x:v>11.71427283</x:v>
      </x:c>
      <x:c r="G14" s="107" t="n">
        <x:v>10.48425483</x:v>
      </x:c>
      <x:c r="H14" s="107" t="n">
        <x:v>1.230018</x:v>
      </x:c>
      <x:c r="I14" s="108" t="n">
        <x:v>0.11732</x:v>
      </x:c>
      <x:c r="J14" s="17" t="b">
        <x:v>0</x:v>
      </x:c>
      <x:c r="K14" s="9" t="str">
        <x:v>Unfavorable</x:v>
      </x:c>
    </x:row>
    <x:row r="15" ht="17" customHeight="1">
      <x:c r="A15" s="9" t="str">
        <x:v>H1 2026 Actual vs Budget</x:v>
      </x:c>
      <x:c r="B15" s="9" t="str">
        <x:v>Net Income</x:v>
      </x:c>
      <x:c r="C15" s="9" t="n">
        <x:v>10</x:v>
      </x:c>
      <x:c r="D15" s="9" t="str">
        <x:v>Actual</x:v>
      </x:c>
      <x:c r="E15" s="9" t="str">
        <x:v>Budget</x:v>
      </x:c>
      <x:c r="F15" s="107" t="n">
        <x:v>35.14281844</x:v>
      </x:c>
      <x:c r="G15" s="107" t="n">
        <x:v>31.45276455</x:v>
      </x:c>
      <x:c r="H15" s="107" t="n">
        <x:v>3.69005389</x:v>
      </x:c>
      <x:c r="I15" s="108" t="n">
        <x:v>0.11732</x:v>
      </x:c>
      <x:c r="J15" s="17" t="b">
        <x:v>1</x:v>
      </x:c>
      <x:c r="K15" s="9" t="str">
        <x:v>Favorable</x:v>
      </x:c>
    </x:row>
    <x:row r="16" ht="17" customHeight="1">
      <x:c r="A16" s="9" t="str">
        <x:v>FY2026 Forecast vs Budget</x:v>
      </x:c>
      <x:c r="B16" s="9" t="str">
        <x:v>Revenue</x:v>
      </x:c>
      <x:c r="C16" s="9" t="n">
        <x:v>1</x:v>
      </x:c>
      <x:c r="D16" s="9" t="str">
        <x:v>Forecast</x:v>
      </x:c>
      <x:c r="E16" s="9" t="str">
        <x:v>Budget</x:v>
      </x:c>
      <x:c r="F16" s="107" t="n">
        <x:v>1790.8121778</x:v>
      </x:c>
      <x:c r="G16" s="107" t="n">
        <x:v>1838.8467251700001</x:v>
      </x:c>
      <x:c r="H16" s="107" t="n">
        <x:v>-48.03454737</x:v>
      </x:c>
      <x:c r="I16" s="108" t="n">
        <x:v>-0.026122</x:v>
      </x:c>
      <x:c r="J16" s="17" t="b">
        <x:v>0</x:v>
      </x:c>
      <x:c r="K16" s="9" t="str">
        <x:v>Unfavorable</x:v>
      </x:c>
    </x:row>
    <x:row r="17" ht="17" customHeight="1">
      <x:c r="A17" s="9" t="str">
        <x:v>FY2026 Forecast vs Budget</x:v>
      </x:c>
      <x:c r="B17" s="9" t="str">
        <x:v>COGS</x:v>
      </x:c>
      <x:c r="C17" s="9" t="n">
        <x:v>2</x:v>
      </x:c>
      <x:c r="D17" s="9" t="str">
        <x:v>Forecast</x:v>
      </x:c>
      <x:c r="E17" s="9" t="str">
        <x:v>Budget</x:v>
      </x:c>
      <x:c r="F17" s="107" t="n">
        <x:v>885.89735252</x:v>
      </x:c>
      <x:c r="G17" s="107" t="n">
        <x:v>896.67141397</x:v>
      </x:c>
      <x:c r="H17" s="107" t="n">
        <x:v>-10.77406145</x:v>
      </x:c>
      <x:c r="I17" s="108" t="n">
        <x:v>-0.012016</x:v>
      </x:c>
      <x:c r="J17" s="17" t="b">
        <x:v>1</x:v>
      </x:c>
      <x:c r="K17" s="9" t="str">
        <x:v>Favorable</x:v>
      </x:c>
    </x:row>
    <x:row r="18" ht="17" customHeight="1">
      <x:c r="A18" s="9" t="str">
        <x:v>FY2026 Forecast vs Budget</x:v>
      </x:c>
      <x:c r="B18" s="9" t="str">
        <x:v>Gross Profit</x:v>
      </x:c>
      <x:c r="C18" s="9" t="n">
        <x:v>3</x:v>
      </x:c>
      <x:c r="D18" s="9" t="str">
        <x:v>Forecast</x:v>
      </x:c>
      <x:c r="E18" s="9" t="str">
        <x:v>Budget</x:v>
      </x:c>
      <x:c r="F18" s="107" t="n">
        <x:v>904.91482528</x:v>
      </x:c>
      <x:c r="G18" s="107" t="n">
        <x:v>942.1753112</x:v>
      </x:c>
      <x:c r="H18" s="107" t="n">
        <x:v>-37.26048592</x:v>
      </x:c>
      <x:c r="I18" s="108" t="n">
        <x:v>-0.039547</x:v>
      </x:c>
      <x:c r="J18" s="17" t="b">
        <x:v>0</x:v>
      </x:c>
      <x:c r="K18" s="9" t="str">
        <x:v>Unfavorable</x:v>
      </x:c>
    </x:row>
    <x:row r="19" ht="17" customHeight="1">
      <x:c r="A19" s="9" t="str">
        <x:v>FY2026 Forecast vs Budget</x:v>
      </x:c>
      <x:c r="B19" s="9" t="str">
        <x:v>Operating Expense</x:v>
      </x:c>
      <x:c r="C19" s="9" t="n">
        <x:v>4</x:v>
      </x:c>
      <x:c r="D19" s="9" t="str">
        <x:v>Forecast</x:v>
      </x:c>
      <x:c r="E19" s="9" t="str">
        <x:v>Budget</x:v>
      </x:c>
      <x:c r="F19" s="107" t="n">
        <x:v>740.53377388</x:v>
      </x:c>
      <x:c r="G19" s="107" t="n">
        <x:v>783.40372339</x:v>
      </x:c>
      <x:c r="H19" s="107" t="n">
        <x:v>-42.86994951</x:v>
      </x:c>
      <x:c r="I19" s="108" t="n">
        <x:v>-0.054723</x:v>
      </x:c>
      <x:c r="J19" s="17" t="b">
        <x:v>1</x:v>
      </x:c>
      <x:c r="K19" s="9" t="str">
        <x:v>Favorable</x:v>
      </x:c>
    </x:row>
    <x:row r="20" ht="17" customHeight="1">
      <x:c r="A20" s="9" t="str">
        <x:v>FY2026 Forecast vs Budget</x:v>
      </x:c>
      <x:c r="B20" s="9" t="str">
        <x:v>EBITDA</x:v>
      </x:c>
      <x:c r="C20" s="9" t="n">
        <x:v>5</x:v>
      </x:c>
      <x:c r="D20" s="9" t="str">
        <x:v>Forecast</x:v>
      </x:c>
      <x:c r="E20" s="9" t="str">
        <x:v>Budget</x:v>
      </x:c>
      <x:c r="F20" s="107" t="n">
        <x:v>164.38105140000002</x:v>
      </x:c>
      <x:c r="G20" s="107" t="n">
        <x:v>158.77158781</x:v>
      </x:c>
      <x:c r="H20" s="107" t="n">
        <x:v>5.60946359</x:v>
      </x:c>
      <x:c r="I20" s="108" t="n">
        <x:v>0.03533</x:v>
      </x:c>
      <x:c r="J20" s="17" t="b">
        <x:v>1</x:v>
      </x:c>
      <x:c r="K20" s="9" t="str">
        <x:v>Favorable</x:v>
      </x:c>
    </x:row>
    <x:row r="21" ht="17" customHeight="1">
      <x:c r="A21" s="9" t="str">
        <x:v>FY2026 Forecast vs Budget</x:v>
      </x:c>
      <x:c r="B21" s="9" t="str">
        <x:v>Depreciation</x:v>
      </x:c>
      <x:c r="C21" s="9" t="n">
        <x:v>6</x:v>
      </x:c>
      <x:c r="D21" s="9" t="str">
        <x:v>Forecast</x:v>
      </x:c>
      <x:c r="E21" s="9" t="str">
        <x:v>Budget</x:v>
      </x:c>
      <x:c r="F21" s="107" t="n">
        <x:v>15.506250080000001</x:v>
      </x:c>
      <x:c r="G21" s="107" t="n">
        <x:v>15.67708336</x:v>
      </x:c>
      <x:c r="H21" s="107" t="n">
        <x:v>-0.17083328</x:v>
      </x:c>
      <x:c r="I21" s="108" t="n">
        <x:v>-0.010897</x:v>
      </x:c>
      <x:c r="J21" s="17" t="b">
        <x:v>1</x:v>
      </x:c>
      <x:c r="K21" s="9" t="str">
        <x:v>Favorable</x:v>
      </x:c>
    </x:row>
    <x:row r="22" ht="17" customHeight="1">
      <x:c r="A22" s="9" t="str">
        <x:v>FY2026 Forecast vs Budget</x:v>
      </x:c>
      <x:c r="B22" s="9" t="str">
        <x:v>EBIT</x:v>
      </x:c>
      <x:c r="C22" s="9" t="n">
        <x:v>7</x:v>
      </x:c>
      <x:c r="D22" s="9" t="str">
        <x:v>Forecast</x:v>
      </x:c>
      <x:c r="E22" s="9" t="str">
        <x:v>Budget</x:v>
      </x:c>
      <x:c r="F22" s="107" t="n">
        <x:v>148.87480132</x:v>
      </x:c>
      <x:c r="G22" s="107" t="n">
        <x:v>143.09450445</x:v>
      </x:c>
      <x:c r="H22" s="107" t="n">
        <x:v>5.78029687</x:v>
      </x:c>
      <x:c r="I22" s="108" t="n">
        <x:v>0.040395</x:v>
      </x:c>
      <x:c r="J22" s="17" t="b">
        <x:v>1</x:v>
      </x:c>
      <x:c r="K22" s="9" t="str">
        <x:v>Favorable</x:v>
      </x:c>
    </x:row>
    <x:row r="23" ht="17" customHeight="1">
      <x:c r="A23" s="9" t="str">
        <x:v>FY2026 Forecast vs Budget</x:v>
      </x:c>
      <x:c r="B23" s="9" t="str">
        <x:v>Interest</x:v>
      </x:c>
      <x:c r="C23" s="9" t="n">
        <x:v>8</x:v>
      </x:c>
      <x:c r="D23" s="9" t="str">
        <x:v>Forecast</x:v>
      </x:c>
      <x:c r="E23" s="9" t="str">
        <x:v>Budget</x:v>
      </x:c>
      <x:c r="F23" s="107" t="n">
        <x:v>5.7195734400000005</x:v>
      </x:c>
      <x:c r="G23" s="107" t="n">
        <x:v>5.43642624</x:v>
      </x:c>
      <x:c r="H23" s="107" t="n">
        <x:v>0.2831472</x:v>
      </x:c>
      <x:c r="I23" s="108" t="n">
        <x:v>0.052083</x:v>
      </x:c>
      <x:c r="J23" s="17" t="b">
        <x:v>0</x:v>
      </x:c>
      <x:c r="K23" s="9" t="str">
        <x:v>Unfavorable</x:v>
      </x:c>
    </x:row>
    <x:row r="24" ht="17" customHeight="1">
      <x:c r="A24" s="9" t="str">
        <x:v>FY2026 Forecast vs Budget</x:v>
      </x:c>
      <x:c r="B24" s="9" t="str">
        <x:v>Tax</x:v>
      </x:c>
      <x:c r="C24" s="9" t="n">
        <x:v>9</x:v>
      </x:c>
      <x:c r="D24" s="9" t="str">
        <x:v>Forecast</x:v>
      </x:c>
      <x:c r="E24" s="9" t="str">
        <x:v>Budget</x:v>
      </x:c>
      <x:c r="F24" s="107" t="n">
        <x:v>35.788806990000005</x:v>
      </x:c>
      <x:c r="G24" s="107" t="n">
        <x:v>34.414519549999994</x:v>
      </x:c>
      <x:c r="H24" s="107" t="n">
        <x:v>1.37428744</x:v>
      </x:c>
      <x:c r="I24" s="108" t="n">
        <x:v>0.039933</x:v>
      </x:c>
      <x:c r="J24" s="17" t="b">
        <x:v>0</x:v>
      </x:c>
      <x:c r="K24" s="9" t="str">
        <x:v>Unfavorable</x:v>
      </x:c>
    </x:row>
    <x:row r="25" ht="17" customHeight="1">
      <x:c r="A25" s="9" t="str">
        <x:v>FY2026 Forecast vs Budget</x:v>
      </x:c>
      <x:c r="B25" s="9" t="str">
        <x:v>Net Income</x:v>
      </x:c>
      <x:c r="C25" s="9" t="n">
        <x:v>10</x:v>
      </x:c>
      <x:c r="D25" s="9" t="str">
        <x:v>Forecast</x:v>
      </x:c>
      <x:c r="E25" s="9" t="str">
        <x:v>Budget</x:v>
      </x:c>
      <x:c r="F25" s="107" t="n">
        <x:v>107.36642089</x:v>
      </x:c>
      <x:c r="G25" s="107" t="n">
        <x:v>103.24355865999999</x:v>
      </x:c>
      <x:c r="H25" s="107" t="n">
        <x:v>4.12286223</x:v>
      </x:c>
      <x:c r="I25" s="108" t="n">
        <x:v>0.039933</x:v>
      </x:c>
      <x:c r="J25" s="17" t="b">
        <x:v>1</x:v>
      </x:c>
      <x:c r="K25" s="9" t="str">
        <x:v>Favorable</x:v>
      </x:c>
    </x:row>
    <x:row r="26" ht="17" customHeight="1">
      <x:c r="A26" s="9" t="str">
        <x:v>FY2025 Actual vs FY2024 Actual</x:v>
      </x:c>
      <x:c r="B26" s="9" t="str">
        <x:v>Revenue</x:v>
      </x:c>
      <x:c r="C26" s="9" t="n">
        <x:v>1</x:v>
      </x:c>
      <x:c r="D26" s="9" t="str">
        <x:v>FY2025 Actual</x:v>
      </x:c>
      <x:c r="E26" s="9" t="str">
        <x:v>FY2024 Actual</x:v>
      </x:c>
      <x:c r="F26" s="107" t="n">
        <x:v>1611.0232288299999</x:v>
      </x:c>
      <x:c r="G26" s="107" t="n">
        <x:v>1414.6112958499998</x:v>
      </x:c>
      <x:c r="H26" s="107" t="n">
        <x:v>196.41193298</x:v>
      </x:c>
      <x:c r="I26" s="108" t="n">
        <x:v>0.138845</x:v>
      </x:c>
      <x:c r="J26" s="17" t="b">
        <x:v>1</x:v>
      </x:c>
      <x:c r="K26" s="9" t="str">
        <x:v>Favorable</x:v>
      </x:c>
    </x:row>
    <x:row r="27" ht="17" customHeight="1">
      <x:c r="A27" s="9" t="str">
        <x:v>FY2025 Actual vs FY2024 Actual</x:v>
      </x:c>
      <x:c r="B27" s="9" t="str">
        <x:v>COGS</x:v>
      </x:c>
      <x:c r="C27" s="9" t="n">
        <x:v>2</x:v>
      </x:c>
      <x:c r="D27" s="9" t="str">
        <x:v>FY2025 Actual</x:v>
      </x:c>
      <x:c r="E27" s="9" t="str">
        <x:v>FY2024 Actual</x:v>
      </x:c>
      <x:c r="F27" s="107" t="n">
        <x:v>801.40817206</x:v>
      </x:c>
      <x:c r="G27" s="107" t="n">
        <x:v>705.6663918400001</x:v>
      </x:c>
      <x:c r="H27" s="107" t="n">
        <x:v>95.74178022</x:v>
      </x:c>
      <x:c r="I27" s="108" t="n">
        <x:v>0.135676</x:v>
      </x:c>
      <x:c r="J27" s="17" t="b">
        <x:v>0</x:v>
      </x:c>
      <x:c r="K27" s="9" t="str">
        <x:v>Unfavorable</x:v>
      </x:c>
    </x:row>
    <x:row r="28" ht="17" customHeight="1">
      <x:c r="A28" s="9" t="str">
        <x:v>FY2025 Actual vs FY2024 Actual</x:v>
      </x:c>
      <x:c r="B28" s="9" t="str">
        <x:v>Gross Profit</x:v>
      </x:c>
      <x:c r="C28" s="9" t="n">
        <x:v>3</x:v>
      </x:c>
      <x:c r="D28" s="9" t="str">
        <x:v>FY2025 Actual</x:v>
      </x:c>
      <x:c r="E28" s="9" t="str">
        <x:v>FY2024 Actual</x:v>
      </x:c>
      <x:c r="F28" s="107" t="n">
        <x:v>809.61505677</x:v>
      </x:c>
      <x:c r="G28" s="107" t="n">
        <x:v>708.94490401</x:v>
      </x:c>
      <x:c r="H28" s="107" t="n">
        <x:v>100.67015276000001</x:v>
      </x:c>
      <x:c r="I28" s="108" t="n">
        <x:v>0.142</x:v>
      </x:c>
      <x:c r="J28" s="17" t="b">
        <x:v>1</x:v>
      </x:c>
      <x:c r="K28" s="9" t="str">
        <x:v>Favorable</x:v>
      </x:c>
    </x:row>
    <x:row r="29" ht="17" customHeight="1">
      <x:c r="A29" s="9" t="str">
        <x:v>FY2025 Actual vs FY2024 Actual</x:v>
      </x:c>
      <x:c r="B29" s="9" t="str">
        <x:v>Operating Expense</x:v>
      </x:c>
      <x:c r="C29" s="9" t="n">
        <x:v>4</x:v>
      </x:c>
      <x:c r="D29" s="9" t="str">
        <x:v>FY2025 Actual</x:v>
      </x:c>
      <x:c r="E29" s="9" t="str">
        <x:v>FY2024 Actual</x:v>
      </x:c>
      <x:c r="F29" s="107" t="n">
        <x:v>667.27210174</x:v>
      </x:c>
      <x:c r="G29" s="107" t="n">
        <x:v>586.05817415</x:v>
      </x:c>
      <x:c r="H29" s="107" t="n">
        <x:v>81.21392759</x:v>
      </x:c>
      <x:c r="I29" s="108" t="n">
        <x:v>0.138577</x:v>
      </x:c>
      <x:c r="J29" s="17" t="b">
        <x:v>0</x:v>
      </x:c>
      <x:c r="K29" s="9" t="str">
        <x:v>Unfavorable</x:v>
      </x:c>
    </x:row>
    <x:row r="30" ht="17" customHeight="1">
      <x:c r="A30" s="9" t="str">
        <x:v>FY2025 Actual vs FY2024 Actual</x:v>
      </x:c>
      <x:c r="B30" s="9" t="str">
        <x:v>EBITDA</x:v>
      </x:c>
      <x:c r="C30" s="9" t="n">
        <x:v>5</x:v>
      </x:c>
      <x:c r="D30" s="9" t="str">
        <x:v>FY2025 Actual</x:v>
      </x:c>
      <x:c r="E30" s="9" t="str">
        <x:v>FY2024 Actual</x:v>
      </x:c>
      <x:c r="F30" s="107" t="n">
        <x:v>142.34295503</x:v>
      </x:c>
      <x:c r="G30" s="107" t="n">
        <x:v>122.88672986</x:v>
      </x:c>
      <x:c r="H30" s="107" t="n">
        <x:v>19.456225170000003</x:v>
      </x:c>
      <x:c r="I30" s="108" t="n">
        <x:v>0.158326</x:v>
      </x:c>
      <x:c r="J30" s="17" t="b">
        <x:v>1</x:v>
      </x:c>
      <x:c r="K30" s="9" t="str">
        <x:v>Favorable</x:v>
      </x:c>
    </x:row>
    <x:row r="31" ht="17" customHeight="1">
      <x:c r="A31" s="9" t="str">
        <x:v>FY2025 Actual vs FY2024 Actual</x:v>
      </x:c>
      <x:c r="B31" s="9" t="str">
        <x:v>Depreciation</x:v>
      </x:c>
      <x:c r="C31" s="9" t="n">
        <x:v>6</x:v>
      </x:c>
      <x:c r="D31" s="9" t="str">
        <x:v>FY2025 Actual</x:v>
      </x:c>
      <x:c r="E31" s="9" t="str">
        <x:v>FY2024 Actual</x:v>
      </x:c>
      <x:c r="F31" s="107" t="n">
        <x:v>10.95270837</x:v>
      </x:c>
      <x:c r="G31" s="107" t="n">
        <x:v>5.3066667</x:v>
      </x:c>
      <x:c r="H31" s="107" t="n">
        <x:v>5.64604167</x:v>
      </x:c>
      <x:c r="I31" s="108" t="n">
        <x:v>1.063953</x:v>
      </x:c>
      <x:c r="J31" s="17" t="b">
        <x:v>0</x:v>
      </x:c>
      <x:c r="K31" s="9" t="str">
        <x:v>Unfavorable</x:v>
      </x:c>
    </x:row>
    <x:row r="32" ht="17" customHeight="1">
      <x:c r="A32" s="9" t="str">
        <x:v>FY2025 Actual vs FY2024 Actual</x:v>
      </x:c>
      <x:c r="B32" s="9" t="str">
        <x:v>EBIT</x:v>
      </x:c>
      <x:c r="C32" s="9" t="n">
        <x:v>7</x:v>
      </x:c>
      <x:c r="D32" s="9" t="str">
        <x:v>FY2025 Actual</x:v>
      </x:c>
      <x:c r="E32" s="9" t="str">
        <x:v>FY2024 Actual</x:v>
      </x:c>
      <x:c r="F32" s="107" t="n">
        <x:v>131.39024666</x:v>
      </x:c>
      <x:c r="G32" s="107" t="n">
        <x:v>117.58006316</x:v>
      </x:c>
      <x:c r="H32" s="107" t="n">
        <x:v>13.8101835</x:v>
      </x:c>
      <x:c r="I32" s="108" t="n">
        <x:v>0.117453</x:v>
      </x:c>
      <x:c r="J32" s="17" t="b">
        <x:v>1</x:v>
      </x:c>
      <x:c r="K32" s="9" t="str">
        <x:v>Favorable</x:v>
      </x:c>
    </x:row>
    <x:row r="33" ht="17" customHeight="1">
      <x:c r="A33" s="9" t="str">
        <x:v>FY2025 Actual vs FY2024 Actual</x:v>
      </x:c>
      <x:c r="B33" s="9" t="str">
        <x:v>Interest</x:v>
      </x:c>
      <x:c r="C33" s="9" t="n">
        <x:v>8</x:v>
      </x:c>
      <x:c r="D33" s="9" t="str">
        <x:v>FY2025 Actual</x:v>
      </x:c>
      <x:c r="E33" s="9" t="str">
        <x:v>FY2024 Actual</x:v>
      </x:c>
      <x:c r="F33" s="107" t="n">
        <x:v>5.662944</x:v>
      </x:c>
      <x:c r="G33" s="107" t="n">
        <x:v>5.3424</x:v>
      </x:c>
      <x:c r="H33" s="107" t="n">
        <x:v>0.320544</x:v>
      </x:c>
      <x:c r="I33" s="108" t="n">
        <x:v>0.06</x:v>
      </x:c>
      <x:c r="J33" s="17" t="b">
        <x:v>0</x:v>
      </x:c>
      <x:c r="K33" s="9" t="str">
        <x:v>Unfavorable</x:v>
      </x:c>
    </x:row>
    <x:row r="34" ht="17" customHeight="1">
      <x:c r="A34" s="9" t="str">
        <x:v>FY2025 Actual vs FY2024 Actual</x:v>
      </x:c>
      <x:c r="B34" s="9" t="str">
        <x:v>Tax</x:v>
      </x:c>
      <x:c r="C34" s="9" t="n">
        <x:v>9</x:v>
      </x:c>
      <x:c r="D34" s="9" t="str">
        <x:v>FY2025 Actual</x:v>
      </x:c>
      <x:c r="E34" s="9" t="str">
        <x:v>FY2024 Actual</x:v>
      </x:c>
      <x:c r="F34" s="107" t="n">
        <x:v>31.431825670000002</x:v>
      </x:c>
      <x:c r="G34" s="107" t="n">
        <x:v>28.05941579</x:v>
      </x:c>
      <x:c r="H34" s="107" t="n">
        <x:v>3.3724098799999997</x:v>
      </x:c>
      <x:c r="I34" s="108" t="n">
        <x:v>0.120188</x:v>
      </x:c>
      <x:c r="J34" s="17" t="b">
        <x:v>0</x:v>
      </x:c>
      <x:c r="K34" s="9" t="str">
        <x:v>Unfavorable</x:v>
      </x:c>
    </x:row>
    <x:row r="35" ht="17" customHeight="1">
      <x:c r="A35" s="9" t="str">
        <x:v>FY2025 Actual vs FY2024 Actual</x:v>
      </x:c>
      <x:c r="B35" s="9" t="str">
        <x:v>Net Income</x:v>
      </x:c>
      <x:c r="C35" s="9" t="n">
        <x:v>10</x:v>
      </x:c>
      <x:c r="D35" s="9" t="str">
        <x:v>FY2025 Actual</x:v>
      </x:c>
      <x:c r="E35" s="9" t="str">
        <x:v>FY2024 Actual</x:v>
      </x:c>
      <x:c r="F35" s="107" t="n">
        <x:v>94.29547699</x:v>
      </x:c>
      <x:c r="G35" s="107" t="n">
        <x:v>84.17824737000001</x:v>
      </x:c>
      <x:c r="H35" s="107" t="n">
        <x:v>10.11722962</x:v>
      </x:c>
      <x:c r="I35" s="108" t="n">
        <x:v>0.120188</x:v>
      </x:c>
      <x:c r="J35" s="17" t="b">
        <x:v>1</x:v>
      </x:c>
      <x:c r="K35" s="9" t="str">
        <x:v>Favorable</x:v>
      </x:c>
    </x:row>
  </x:sheetData>
  <x:mergeCells>
    <x:mergeCell ref="A1:K2"/>
    <x:mergeCell ref="A3:K3"/>
  </x:mergeCells>
  <x:pageMargins left="0.7" right="0.7" top="0.75" bottom="0.75" header="0.3" footer="0.3"/>
</x:worksheet>
</file>